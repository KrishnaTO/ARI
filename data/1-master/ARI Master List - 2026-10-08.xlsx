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PHABETICAL" sheetId="1" r:id="rId5"/>
    <sheet state="visible" name="CODES" sheetId="2" r:id="rId6"/>
  </sheets>
  <definedNames>
    <definedName localSheetId="1" name="adsfasdf">CODES!$C$1:$J$707</definedName>
    <definedName name="SQL">#REF!</definedName>
    <definedName name="Sorter">#REF!</definedName>
    <definedName name="FM">#REF!</definedName>
    <definedName localSheetId="1" name="SORT">CODES!$C$1:$J$707</definedName>
    <definedName localSheetId="1" name="SRT">CODES!$C$1:$J$707</definedName>
    <definedName name="adsfasdf">ALPHABETICAL!$AB$1:$AM$180</definedName>
    <definedName name="SORT">ALPHABETICAL!$AB$1:$AM$180</definedName>
    <definedName name="adloader">#REF!</definedName>
    <definedName name="SRT">ALPHABETICAL!$AB$1:$AM$180</definedName>
    <definedName hidden="1" localSheetId="0" name="_xlnm._FilterDatabase">ALPHABETICAL!$A$1:$AM$221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116">
      <text>
        <t xml:space="preserve">Searched afterwards. Source: Martins et al. / Postow et al. (NEJM), incidence of irAEs in patients on ICI therapy.</t>
      </text>
    </comment>
    <comment authorId="0" ref="X116">
      <text>
        <t xml:space="preserve">Searched afterwards. Source: Martins et al. / Postow et al. (NEJM), incidence of irAEs in patients on ICI therapy.</t>
      </text>
    </comment>
    <comment authorId="0" ref="W17">
      <text>
        <t xml:space="preserve">Searched afterwards. Source: Lancaster et al. / PubMed, paraneoplastic/autoimmune limbic encephalitis.</t>
      </text>
    </comment>
    <comment authorId="0" ref="X17">
      <text>
        <t xml:space="preserve">Searched afterwards. Source: Lancaster et al. / PubMed, paraneoplastic/autoimmune limbic encephalitis.</t>
      </text>
    </comment>
    <comment authorId="0" ref="W207">
      <text>
        <t xml:space="preserve">Searched afterwards. Metric type identified from academic literature (prevalence).</t>
      </text>
    </comment>
    <comment authorId="0" ref="W141">
      <text>
        <t xml:space="preserve">Searched afterwards. Source: Vasculitis Foundation / PMC8062312, US MPA prevalence approx 1.3 per 100,000.</t>
      </text>
    </comment>
    <comment authorId="0" ref="X141">
      <text>
        <t xml:space="preserve">Searched afterwards. Source: Vasculitis Foundation / PMC8062312, US MPA prevalence approx 1.3 per 100,000.</t>
      </text>
    </comment>
    <comment authorId="0" ref="W42">
      <text>
        <t xml:space="preserve">Searched afterwards. Source: Fang et al. / Mayo Clinic, emerging autoimmune meningoencephalomyelitis.</t>
      </text>
    </comment>
    <comment authorId="0" ref="X42">
      <text>
        <t xml:space="preserve">Searched afterwards. Source: Fang et al. / Mayo Clinic, emerging autoimmune meningoencephalomyelitis.</t>
      </text>
    </comment>
    <comment authorId="0" ref="W199">
      <text>
        <t xml:space="preserve">Searched afterwards. Source: Milner et al. / Flanagan et al., monogenic immune dysregulation syndrome.</t>
      </text>
    </comment>
    <comment authorId="0" ref="X199">
      <text>
        <t xml:space="preserve">Searched afterwards. Source: Milner et al. / Flanagan et al., monogenic immune dysregulation syndrome.</t>
      </text>
    </comment>
    <comment authorId="0" ref="W34">
      <text>
        <t xml:space="preserve">Searched afterwards. Source: Beigneux et al. / NEJM, ultra-rare autoimmune dyslipidemia.</t>
      </text>
    </comment>
    <comment authorId="0" ref="X34">
      <text>
        <t xml:space="preserve">Searched afterwards. Source: Beigneux et al. / NEJM, ultra-rare autoimmune dyslipidemia.</t>
      </text>
    </comment>
    <comment authorId="0" ref="W191">
      <text>
        <t xml:space="preserve">Searched afterwards. Source: CDC / Carapetis et al., Sydenham chorea is rare in the US following decline of acute rheumatic fever.</t>
      </text>
    </comment>
    <comment authorId="0" ref="X191">
      <text>
        <t xml:space="preserve">Searched afterwards. Source: CDC / Carapetis et al., Sydenham chorea is rare in the US following decline of acute rheumatic fever.</t>
      </text>
    </comment>
    <comment authorId="0" ref="W125">
      <text>
        <t xml:space="preserve">Searched afterwards. Source: Restrepo et al. / ASRM, detected in 2-5% of couples evaluated for infertility.</t>
      </text>
    </comment>
    <comment authorId="0" ref="X125">
      <text>
        <t xml:space="preserve">Searched afterwards. Source: Restrepo et al. / ASRM, detected in 2-5% of couples evaluated for infertility.</t>
      </text>
    </comment>
    <comment authorId="0" ref="W59">
      <text>
        <t xml:space="preserve">Searched afterwards. Source: Rosenbaum et al. / American Uveitis Society, primary retinal vasculitis.</t>
      </text>
    </comment>
    <comment authorId="0" ref="X59">
      <text>
        <t xml:space="preserve">Searched afterwards. Source: Rosenbaum et al. / American Uveitis Society, primary retinal vasculitis.</t>
      </text>
    </comment>
    <comment authorId="0" ref="X216">
      <text>
        <t xml:space="preserve">Searched afterwards. Source: Vasculitis Foundation / PMC4852114, incidence 4.5/100,000 person-years; prevalence ~1 in 10,000 to 25,000.</t>
      </text>
    </comment>
    <comment authorId="0" ref="X183">
      <text>
        <t xml:space="preserve">Searched afterwards. Source: Cleveland Clinic / Bien et al., estimated incidence approx 1.7 to 2.4 per 10 million (1 in ~5,000,000).</t>
      </text>
    </comment>
    <comment authorId="0" ref="W117">
      <text>
        <t xml:space="preserve">Searched afterwards. Source: Barzaghi et al. / Orphanet, rare FOXP3 deficiency.</t>
      </text>
    </comment>
    <comment authorId="0" ref="X117">
      <text>
        <t xml:space="preserve">Searched afterwards. Source: Barzaghi et al. / Orphanet, rare FOXP3 deficiency.</t>
      </text>
    </comment>
    <comment authorId="0" ref="W51">
      <text>
        <t xml:space="preserve">Searched afterwards. Source: Querol et al. / EAN/PNS Guidelines 2021, ~5-10% of CIDP variants.</t>
      </text>
    </comment>
    <comment authorId="0" ref="X51">
      <text>
        <t xml:space="preserve">Searched afterwards. Source: Querol et al. / EAN/PNS Guidelines 2021, ~5-10% of CIDP variants.</t>
      </text>
    </comment>
    <comment authorId="0" ref="W208">
      <text>
        <t xml:space="preserve">Searched afterwards. Metric type identified from academic literature (prevalence).</t>
      </text>
    </comment>
    <comment authorId="0" ref="X43">
      <text>
        <t xml:space="preserve">Searched afterwards. Source: Bozzi et al. (PLoS One 2025) / Roumier et al., US AIHA prevalence.</t>
      </text>
    </comment>
    <comment authorId="0" ref="W200">
      <text>
        <t xml:space="preserve">Searched afterwards. Source: Milner et al. / Flanagan et al., monogenic immune dysregulation syndrome.</t>
      </text>
    </comment>
    <comment authorId="0" ref="X200">
      <text>
        <t xml:space="preserve">Searched afterwards. Source: Milner et al. / Flanagan et al., monogenic immune dysregulation syndrome.</t>
      </text>
    </comment>
    <comment authorId="0" ref="W35">
      <text>
        <t xml:space="preserve">Searched afterwards. Source: Pivonello et al. / NORD, rare lymphocytic infundibulo-neurohypophysitis.</t>
      </text>
    </comment>
    <comment authorId="0" ref="X35">
      <text>
        <t xml:space="preserve">Searched afterwards. Source: Pivonello et al. / NORD, rare lymphocytic infundibulo-neurohypophysitis.</t>
      </text>
    </comment>
    <comment authorId="0" ref="W126">
      <text>
        <t xml:space="preserve">Searched afterwards. Source: CDC / Gastroenterology 2023, US IBD prevalence approx 721 per 100,000 (2.4-3.1 million adults).</t>
      </text>
    </comment>
    <comment authorId="0" ref="X126">
      <text>
        <t xml:space="preserve">Searched afterwards. Source: CDC / Gastroenterology 2023, US IBD prevalence approx 721 per 100,000 (2.4-3.1 million adults).</t>
      </text>
    </comment>
    <comment authorId="0" ref="X217">
      <text>
        <t xml:space="preserve">Searched afterwards. Source: Vasculitis Foundation / PMC4852114, incidence 4.5/100,000 person-years; prevalence ~1 in 10,000 to 25,000.</t>
      </text>
    </comment>
    <comment authorId="0" ref="X184">
      <text>
        <t xml:space="preserve">Searched afterwards. Source: Cleveland Clinic / Bien et al., estimated incidence approx 1.7 to 2.4 per 10 million (1 in ~5,000,000).</t>
      </text>
    </comment>
    <comment authorId="0" ref="W85">
      <text>
        <t xml:space="preserve">Searched afterwards. Source: Watkin et al. / NORD, rare hereditary autoimmune pulmonary-renal syndrome.</t>
      </text>
    </comment>
    <comment authorId="0" ref="X85">
      <text>
        <t xml:space="preserve">Searched afterwards. Source: Watkin et al. / NORD, rare hereditary autoimmune pulmonary-renal syndrome.</t>
      </text>
    </comment>
    <comment authorId="0" ref="W19">
      <text>
        <t xml:space="preserve">Searched afterwards. Source: Sabater et al. / Gaig et al., rare neurodegenerative tauopathy/encephalopathy.</t>
      </text>
    </comment>
    <comment authorId="0" ref="X19">
      <text>
        <t xml:space="preserve">Searched afterwards. Source: Sabater et al. / Gaig et al., rare neurodegenerative tauopathy/encephalopathy.</t>
      </text>
    </comment>
    <comment authorId="0" ref="W44">
      <text>
        <t xml:space="preserve">Searched afterwards. Source: Franchini et al., acquired hemophilia B is &lt;1-2% of acquired hemophilias.</t>
      </text>
    </comment>
    <comment authorId="0" ref="X44">
      <text>
        <t xml:space="preserve">Searched afterwards. Source: Franchini et al., acquired hemophilia B is &lt;1-2% of acquired hemophilias.</t>
      </text>
    </comment>
    <comment authorId="0" ref="W127">
      <text>
        <t xml:space="preserve">Searched afterwards. Source: Church et al. / NORD, ultra-rare outside of East Asia.</t>
      </text>
    </comment>
    <comment authorId="0" ref="X127">
      <text>
        <t xml:space="preserve">Searched afterwards. Source: Church et al. / NORD, ultra-rare outside of East Asia.</t>
      </text>
    </comment>
    <comment authorId="0" ref="W61">
      <text>
        <t xml:space="preserve">Searched afterwards. Source: Johnson et al. (Neurology 2021) / ASRA, US SFN prevalence and autoimmune subset.</t>
      </text>
    </comment>
    <comment authorId="0" ref="W28">
      <text>
        <t xml:space="preserve">Searched afterwards. Source: Shoenfeld et al., adjuvant-induced autoimmune/inflammatory condition.</t>
      </text>
    </comment>
    <comment authorId="0" ref="X61">
      <text>
        <t xml:space="preserve">Searched afterwards. Source: Johnson et al. (Neurology 2021) / ASRA, US SFN prevalence and autoimmune subset.</t>
      </text>
    </comment>
    <comment authorId="0" ref="X28">
      <text>
        <t xml:space="preserve">Searched afterwards. Source: Shoenfeld et al., adjuvant-induced autoimmune/inflammatory condition.</t>
      </text>
    </comment>
    <comment authorId="0" ref="W119">
      <text>
        <t xml:space="preserve">Searched afterwards. Source: Allenbach et al. / Mayo Clinic, necrotizing autoimmune myopathy prevalence.</t>
      </text>
    </comment>
    <comment authorId="0" ref="X119">
      <text>
        <t xml:space="preserve">Searched afterwards. Source: Allenbach et al. / Mayo Clinic, necrotizing autoimmune myopathy prevalence.</t>
      </text>
    </comment>
    <comment authorId="0" ref="W53">
      <text>
        <t xml:space="preserve">Searched afterwards. Source: Petzold et al. / Lancet Neurology, isolated autoimmune optic neuropathy.</t>
      </text>
    </comment>
    <comment authorId="0" ref="W20">
      <text>
        <t xml:space="preserve">Searched afterwards. Source: van Sonderen et al. / PubMed, incidence approx 0.83 per million person-years.</t>
      </text>
    </comment>
    <comment authorId="0" ref="X53">
      <text>
        <t xml:space="preserve">Searched afterwards. Source: Petzold et al. / Lancet Neurology, isolated autoimmune optic neuropathy.</t>
      </text>
    </comment>
    <comment authorId="0" ref="X20">
      <text>
        <t xml:space="preserve">Searched afterwards. Source: van Sonderen et al. / PubMed, incidence approx 0.83 per million person-years.</t>
      </text>
    </comment>
    <comment authorId="0" ref="W210">
      <text>
        <t xml:space="preserve">Searched afterwards. Source: Orphanet / Trallero-Araguás et al., anti-TIF1-gamma accounts for 15-25% of adult DM cases.</t>
      </text>
    </comment>
    <comment authorId="0" ref="W177">
      <text>
        <t xml:space="preserve">Searched afterwards. Source: Beck et al. / CJASN, annual incidence approx 10-12 per million adults.</t>
      </text>
    </comment>
    <comment authorId="0" ref="X210">
      <text>
        <t xml:space="preserve">Searched afterwards. Source: Orphanet / Trallero-Araguás et al., anti-TIF1-gamma accounts for 15-25% of adult DM cases.</t>
      </text>
    </comment>
    <comment authorId="0" ref="X177">
      <text>
        <t xml:space="preserve">Searched afterwards. Source: Beck et al. / CJASN, annual incidence approx 10-12 per million adults.</t>
      </text>
    </comment>
    <comment authorId="0" ref="W70">
      <text>
        <t xml:space="preserve">Searched afterwards. Source: Odaka et al. / Wakerley et al., rare GQ1b antibody spectrum variant.</t>
      </text>
    </comment>
    <comment authorId="0" ref="X70">
      <text>
        <t xml:space="preserve">Searched afterwards. Source: Odaka et al. / Wakerley et al., rare GQ1b antibody spectrum variant.</t>
      </text>
    </comment>
    <comment authorId="0" ref="W161">
      <text>
        <t xml:space="preserve">Searched afterwards. Source: Anhalt et al. / NORD, ultra-rare autoimmune bullous disease.</t>
      </text>
    </comment>
    <comment authorId="0" ref="X161">
      <text>
        <t xml:space="preserve">Searched afterwards. Source: Anhalt et al. / NORD, ultra-rare autoimmune bullous disease.</t>
      </text>
    </comment>
    <comment authorId="0" ref="W29">
      <text>
        <t xml:space="preserve">Searched afterwards. Source: Dragon-Durey et al. / NORD, ~10% of aHUS cases; aHUS prev ~1-2 per million.</t>
      </text>
    </comment>
    <comment authorId="0" ref="X29">
      <text>
        <t xml:space="preserve">Searched afterwards. Source: Dragon-Durey et al. / NORD, ~10% of aHUS cases; aHUS prev ~1-2 per million.</t>
      </text>
    </comment>
    <comment authorId="0" ref="W153">
      <text>
        <t xml:space="preserve">Searched afterwards. Source: Buyon et al. / Lupus Foundation, incidence approx 1 in 15,000 to 20,000 live births.</t>
      </text>
    </comment>
    <comment authorId="0" ref="W120">
      <text>
        <t xml:space="preserve">Searched afterwards. Source: MedlinePlus / Joly et al., annual US incidence 1.7 to 4.5 per million.</t>
      </text>
    </comment>
    <comment authorId="0" ref="X153">
      <text>
        <t xml:space="preserve">Searched afterwards. Source: Buyon et al. / Lupus Foundation, incidence approx 1 in 15,000 to 20,000 live births.</t>
      </text>
    </comment>
    <comment authorId="0" ref="X120">
      <text>
        <t xml:space="preserve">Searched afterwards. Source: MedlinePlus / Joly et al., annual US incidence 1.7 to 4.5 per million.</t>
      </text>
    </comment>
    <comment authorId="0" ref="W21">
      <text>
        <t xml:space="preserve">Searched afterwards. Source: Foundation for Peripheral Neuropathy / NORD, prevalence approx 1 per 100,000.</t>
      </text>
    </comment>
    <comment authorId="0" ref="X21">
      <text>
        <t xml:space="preserve">Searched afterwards. Source: Foundation for Peripheral Neuropathy / NORD, prevalence approx 1 per 100,000.</t>
      </text>
    </comment>
    <comment authorId="0" ref="W211">
      <text>
        <t xml:space="preserve">Searched afterwards. Source: Orphanet / Trallero-Araguás et al., anti-TIF1-gamma accounts for 15-25% of adult DM cases.</t>
      </text>
    </comment>
    <comment authorId="0" ref="X211">
      <text>
        <t xml:space="preserve">Searched afterwards. Source: Orphanet / Trallero-Araguás et al., anti-TIF1-gamma accounts for 15-25% of adult DM cases.</t>
      </text>
    </comment>
    <comment authorId="0" ref="W145">
      <text>
        <t xml:space="preserve">Searched afterwards. Source: Barrow Neurological Institute / AHA Stroke, US prevalence approx 0.9 per 100,000.</t>
      </text>
    </comment>
    <comment authorId="0" ref="W112">
      <text>
        <t xml:space="preserve">Searched afterwards. Source: Carlson et al. / ACR, cutaneous leukocytoclastic/hypersensitivity vasculitis.</t>
      </text>
    </comment>
    <comment authorId="0" ref="X145">
      <text>
        <t xml:space="preserve">Searched afterwards. Source: Barrow Neurological Institute / AHA Stroke, US prevalence approx 0.9 per 100,000.</t>
      </text>
    </comment>
    <comment authorId="0" ref="X112">
      <text>
        <t xml:space="preserve">Searched afterwards. Source: Carlson et al. / ACR, cutaneous leukocytoclastic/hypersensitivity vasculitis.</t>
      </text>
    </comment>
    <comment authorId="0" ref="W46">
      <text>
        <t xml:space="preserve">Searched afterwards. Source: Clarke et al. / NORD, isolated idiopathic/autoimmune hypoparathyroidism.</t>
      </text>
    </comment>
    <comment authorId="0" ref="W13">
      <text>
        <t xml:space="preserve">Searched afterwards. Source: Mayo Clinic / PubMed studies on autoimmune encephalitis subtypes.</t>
      </text>
    </comment>
    <comment authorId="0" ref="X46">
      <text>
        <t xml:space="preserve">Searched afterwards. Source: Clarke et al. / NORD, isolated idiopathic/autoimmune hypoparathyroidism.</t>
      </text>
    </comment>
    <comment authorId="0" ref="X13">
      <text>
        <t xml:space="preserve">Searched afterwards. Source: Mayo Clinic / PubMed studies on autoimmune encephalitis subtypes.</t>
      </text>
    </comment>
    <comment authorId="0" ref="W137">
      <text>
        <t xml:space="preserve">Searched afterwards. Source: Lopez-Herrera et al. / NORD, ultra-rare genetic immunodeficiency.</t>
      </text>
    </comment>
    <comment authorId="0" ref="X137">
      <text>
        <t xml:space="preserve">Searched afterwards. Source: Lopez-Herrera et al. / NORD, ultra-rare genetic immunodeficiency.</t>
      </text>
    </comment>
    <comment authorId="0" ref="W71">
      <text>
        <t xml:space="preserve">Searched afterwards. Source: Classification criteria for birdshot (PMC8517033) / Foster et al., US prevalence approx 1/100,000.</t>
      </text>
    </comment>
    <comment authorId="0" ref="X71">
      <text>
        <t xml:space="preserve">Searched afterwards. Source: Classification criteria for birdshot (PMC8517033) / Foster et al., US prevalence approx 1/100,000.</t>
      </text>
    </comment>
    <comment authorId="0" ref="W162">
      <text>
        <t xml:space="preserve">Searched afterwards. Source: NORD / ASH, rare autoimmune hemolytic anemia (&lt;1-2% of AIHA).</t>
      </text>
    </comment>
    <comment authorId="0" ref="W129">
      <text>
        <t xml:space="preserve">Searched afterwards. Source: ATS/ERS / Raghu et al., connective tissue disease-associated ILD prevalence.</t>
      </text>
    </comment>
    <comment authorId="0" ref="X162">
      <text>
        <t xml:space="preserve">Searched afterwards. Source: NORD / ASH, rare autoimmune hemolytic anemia (&lt;1-2% of AIHA).</t>
      </text>
    </comment>
    <comment authorId="0" ref="X129">
      <text>
        <t xml:space="preserve">Searched afterwards. Source: ATS/ERS / Raghu et al., connective tissue disease-associated ILD prevalence.</t>
      </text>
    </comment>
    <comment authorId="0" ref="W88">
      <text>
        <t xml:space="preserve">Searched afterwards. Source: Kuehn et al. / Schwab et al., primary immune deficiency with immune dysregulation.</t>
      </text>
    </comment>
    <comment authorId="0" ref="W55">
      <text>
        <t xml:space="preserve">Searched afterwards. Source: Devaux et al. / PubMed, paranodal antibody neuropathy subset.</t>
      </text>
    </comment>
    <comment authorId="0" ref="X88">
      <text>
        <t xml:space="preserve">Searched afterwards. Source: Kuehn et al. / Schwab et al., primary immune deficiency with immune dysregulation.</t>
      </text>
    </comment>
    <comment authorId="0" ref="W22">
      <text>
        <t xml:space="preserve">Searched afterwards. Source: American College of Rheumatology / Orphanet, rare dermatomyositis subset.</t>
      </text>
    </comment>
    <comment authorId="0" ref="X55">
      <text>
        <t xml:space="preserve">Searched afterwards. Source: Devaux et al. / PubMed, paranodal antibody neuropathy subset.</t>
      </text>
    </comment>
    <comment authorId="0" ref="X22">
      <text>
        <t xml:space="preserve">Searched afterwards. Source: American College of Rheumatology / Orphanet, rare dermatomyositis subset.</t>
      </text>
    </comment>
    <comment authorId="0" ref="W146">
      <text>
        <t xml:space="preserve">Searched afterwards. Source: AANEM / NORD, prevalence approx 1 per 100,000.</t>
      </text>
    </comment>
    <comment authorId="0" ref="X146">
      <text>
        <t xml:space="preserve">Searched afterwards. Source: AANEM / NORD, prevalence approx 1 per 100,000.</t>
      </text>
    </comment>
    <comment authorId="0" ref="W47">
      <text>
        <t xml:space="preserve">Searched afterwards. Source: Caturegli et al. / Endocrine Society, rare pituitary inflammation.</t>
      </text>
    </comment>
    <comment authorId="0" ref="W14">
      <text>
        <t xml:space="preserve">Searched afterwards. Source: Dubey et al. / Mayo Clinic epidemiology of neural autoantibodies.</t>
      </text>
    </comment>
    <comment authorId="0" ref="X47">
      <text>
        <t xml:space="preserve">Searched afterwards. Source: Caturegli et al. / Endocrine Society, rare pituitary inflammation.</t>
      </text>
    </comment>
    <comment authorId="0" ref="X14">
      <text>
        <t xml:space="preserve">Searched afterwards. Source: Dubey et al. / Mayo Clinic epidemiology of neural autoantibodies.</t>
      </text>
    </comment>
    <comment authorId="0" ref="W39">
      <text>
        <t xml:space="preserve">Searched afterwards. Source: Akram et al. / Orphanet, rare adult/pediatric intractable enteropathy.</t>
      </text>
    </comment>
    <comment authorId="0" ref="X39">
      <text>
        <t xml:space="preserve">Searched afterwards. Source: Akram et al. / Orphanet, rare adult/pediatric intractable enteropathy.</t>
      </text>
    </comment>
    <comment authorId="0" ref="W31">
      <text>
        <t xml:space="preserve">Searched afterwards. Source: Stone et al. / Mayo Clinic, rare non-infectious thoracic aortitis.</t>
      </text>
    </comment>
    <comment authorId="0" ref="X31">
      <text>
        <t xml:space="preserve">Searched afterwards. Source: Stone et al. / Mayo Clinic, rare non-infectious thoracic aortitis.</t>
      </text>
    </comment>
    <comment authorId="0" ref="W122">
      <text>
        <t xml:space="preserve">Searched afterwards. Source: Needham et al. / NORD, prevalence approx 1-2 per 100,000 (1 in 125,000 in adults &gt;50).</t>
      </text>
    </comment>
    <comment authorId="0" ref="X122">
      <text>
        <t xml:space="preserve">Searched afterwards. Source: Needham et al. / NORD, prevalence approx 1-2 per 100,000 (1 in 125,000 in adults &gt;50).</t>
      </text>
    </comment>
    <comment authorId="0" ref="W56">
      <text>
        <t xml:space="preserve">Searched afterwards. Source: Vernino / Fedorowski et al., estimated autoimmune subset of POTS.</t>
      </text>
    </comment>
    <comment authorId="0" ref="W23">
      <text>
        <t xml:space="preserve">Searched afterwards. Source: NORD / ACR, rare myositis specific autoantibody phenotype.</t>
      </text>
    </comment>
    <comment authorId="0" ref="X56">
      <text>
        <t xml:space="preserve">Searched afterwards. Source: Vernino / Fedorowski et al., estimated autoimmune subset of POTS.</t>
      </text>
    </comment>
    <comment authorId="0" ref="X23">
      <text>
        <t xml:space="preserve">Searched afterwards. Source: NORD / ACR, rare myositis specific autoantibody phenotype.</t>
      </text>
    </comment>
    <comment authorId="0" ref="W213">
      <text>
        <t xml:space="preserve">Searched afterwards. Source: Arioglu et al. / Endocrine Society, ultra-rare autoimmune insulin receptor disorder.</t>
      </text>
    </comment>
    <comment authorId="0" ref="X213">
      <text>
        <t xml:space="preserve">Searched afterwards. Source: Arioglu et al. / Endocrine Society, ultra-rare autoimmune insulin receptor disorder.</t>
      </text>
    </comment>
    <comment authorId="0" ref="W48">
      <text>
        <t xml:space="preserve">Searched afterwards. Source: Graus et al. / Lancet Neurology, seronegative autoimmune encephalitis.</t>
      </text>
    </comment>
    <comment authorId="0" ref="W15">
      <text>
        <t xml:space="preserve">Searched afterwards. Source: Balint et al. / PubMed, extremely rare synaptic encephalitis.</t>
      </text>
    </comment>
    <comment authorId="0" ref="X48">
      <text>
        <t xml:space="preserve">Searched afterwards. Source: Graus et al. / Lancet Neurology, seronegative autoimmune encephalitis.</t>
      </text>
    </comment>
    <comment authorId="0" ref="X15">
      <text>
        <t xml:space="preserve">Searched afterwards. Source: Balint et al. / PubMed, extremely rare synaptic encephalitis.</t>
      </text>
    </comment>
    <comment authorId="0" ref="W73">
      <text>
        <t xml:space="preserve">Searched afterwards. Source: Chan et al. / Lupus Foundation, rare vesiculobullous eruption in &lt;1-2% of SLE.</t>
      </text>
    </comment>
    <comment authorId="0" ref="X73">
      <text>
        <t xml:space="preserve">Searched afterwards. Source: Chan et al. / Lupus Foundation, rare vesiculobullous eruption in &lt;1-2% of SLE.</t>
      </text>
    </comment>
    <comment authorId="0" ref="W131">
      <text>
        <t xml:space="preserve">Searched afterwards. Source: Arnulf et al. / NORD, prevalence approx 1-2 per million.</t>
      </text>
    </comment>
    <comment authorId="0" ref="X131">
      <text>
        <t xml:space="preserve">Searched afterwards. Source: Arnulf et al. / NORD, prevalence approx 1-2 per million.</t>
      </text>
    </comment>
    <comment authorId="0" ref="W65">
      <text>
        <t xml:space="preserve">Searched afterwards. Source: Watts et al. / ACR, aggregated systemic vasculitides prevalence.</t>
      </text>
    </comment>
    <comment authorId="0" ref="W32">
      <text>
        <t xml:space="preserve">Searched afterwards. Source: Cleveland Clinic / Vernino et al., approx 100 new cases diagnosed annually in US.</t>
      </text>
    </comment>
    <comment authorId="0" ref="X65">
      <text>
        <t xml:space="preserve">Searched afterwards. Source: Watts et al. / ACR, aggregated systemic vasculitides prevalence.</t>
      </text>
    </comment>
    <comment authorId="0" ref="X32">
      <text>
        <t xml:space="preserve">Searched afterwards. Source: Cleveland Clinic / Vernino et al., approx 100 new cases diagnosed annually in US.</t>
      </text>
    </comment>
    <comment authorId="0" ref="W123">
      <text>
        <t xml:space="preserve">Searched afterwards. Source: Needham et al. / NORD, prevalence approx 1-2 per 100,000.</t>
      </text>
    </comment>
    <comment authorId="0" ref="X123">
      <text>
        <t xml:space="preserve">Searched afterwards. Source: Needham et al. / NORD, prevalence approx 1-2 per 100,000.</t>
      </text>
    </comment>
    <comment authorId="0" ref="W214">
      <text>
        <t xml:space="preserve">Searched afterwards. Source: Arioglu et al. / Endocrine Society, ultra-rare autoimmune insulin receptor disorder.</t>
      </text>
    </comment>
    <comment authorId="0" ref="X214">
      <text>
        <t xml:space="preserve">Searched afterwards. Source: Arioglu et al. / Endocrine Society, ultra-rare autoimmune insulin receptor disorder.</t>
      </text>
    </comment>
    <comment authorId="0" ref="W115">
      <text>
        <t xml:space="preserve">Searched afterwards. Source: Wallace et al. / Stone et al., IgG4-related orbital disease subset.</t>
      </text>
    </comment>
    <comment authorId="0" ref="X115">
      <text>
        <t xml:space="preserve">Searched afterwards. Source: Wallace et al. / Stone et al., IgG4-related orbital disease subset.</t>
      </text>
    </comment>
    <comment authorId="0" ref="W16">
      <text>
        <t xml:space="preserve">Searched afterwards. Source: Pettingill et al. / PubMed, ultra-rare encephalitis subtype.</t>
      </text>
    </comment>
    <comment authorId="0" ref="X16">
      <text>
        <t xml:space="preserve">Searched afterwards. Source: Pettingill et al. / PubMed, ultra-rare encephalitis subtype.</t>
      </text>
    </comment>
    <comment authorId="0" ref="W41">
      <text>
        <t xml:space="preserve">Searched afterwards. Source: Mayo Clinic Neuro-gastroenterology / PubMed, achalasia prev ~10/100,000.</t>
      </text>
    </comment>
    <comment authorId="0" ref="W8">
      <text>
        <t xml:space="preserve">Searched afterwards. Source: Browne et al. / PubMed; extremely rare in US, predominantly SE Asian descent.</t>
      </text>
    </comment>
    <comment authorId="0" ref="X41">
      <text>
        <t xml:space="preserve">Searched afterwards. Source: Mayo Clinic Neuro-gastroenterology / PubMed, achalasia prev ~10/100,000.</t>
      </text>
    </comment>
    <comment authorId="0" ref="X8">
      <text>
        <t xml:space="preserve">Searched afterwards. Source: Browne et al. / PubMed; extremely rare in US, predominantly SE Asian descent.</t>
      </text>
    </comment>
    <comment authorId="0" ref="X132">
      <text>
        <t xml:space="preserve">Searched afterwards. Source: JAAD (All of Us study 2022) / StatPearls, US lichen planus prevalence approx 0.5-1%.</t>
      </text>
    </comment>
    <comment authorId="0" ref="W66">
      <text>
        <t xml:space="preserve">Searched afterwards. Source: AHA / Circulation, calcific aortic valve disease in adults over 65.</t>
      </text>
    </comment>
    <comment authorId="0" ref="W33">
      <text>
        <t xml:space="preserve">Searched afterwards. Source: Mitoma et al. / PubMed, idiopathic/autoimmune cerebellar ataxia.</t>
      </text>
    </comment>
    <comment authorId="0" ref="X66">
      <text>
        <t xml:space="preserve">Searched afterwards. Source: AHA / Circulation, calcific aortic valve disease in adults over 65.</t>
      </text>
    </comment>
    <comment authorId="0" ref="X33">
      <text>
        <t xml:space="preserve">Searched afterwards. Source: Mitoma et al. / PubMed, idiopathic/autoimmune cerebellar ataxia.</t>
      </text>
    </comment>
    <comment authorId="0" ref="W190">
      <text>
        <t xml:space="preserve">Searched afterwards. Source: CDC / Carapetis et al., Sydenham chorea is rare in the US following decline of acute rheumatic fever.</t>
      </text>
    </comment>
    <comment authorId="0" ref="X190">
      <text>
        <t xml:space="preserve">Searched afterwards. Source: CDC / Carapetis et al., Sydenham chorea is rare in the US following decline of acute rheumatic fever.</t>
      </text>
    </comment>
    <comment authorId="0" ref="W58">
      <text>
        <t xml:space="preserve">Searched afterwards. Source: Orphanet / American Lung Association, US prevalence ~6-7 per million (1 in ~150k).</t>
      </text>
    </comment>
    <comment authorId="0" ref="X58">
      <text>
        <t xml:space="preserve">Searched afterwards. Source: Orphanet / American Lung Association, US prevalence ~6-7 per million (1 in ~150k).</t>
      </text>
    </comment>
  </commentList>
</comments>
</file>

<file path=xl/sharedStrings.xml><?xml version="1.0" encoding="utf-8"?>
<sst xmlns="http://schemas.openxmlformats.org/spreadsheetml/2006/main" count="9135" uniqueCount="5282">
  <si>
    <t xml:space="preserve"> 
Disease 
🤧</t>
  </si>
  <si>
    <t>Parent</t>
  </si>
  <si>
    <t xml:space="preserve">Child Disease
</t>
  </si>
  <si>
    <r>
      <rPr>
        <rFont val="Calibri"/>
        <b/>
        <color rgb="FFFFFFFF"/>
        <sz val="53.0"/>
      </rPr>
      <t xml:space="preserve">
Mesh Terms 🦠
</t>
    </r>
    <r>
      <rPr>
        <rFont val="Calibri"/>
        <b/>
        <color rgb="FFFFFF00"/>
        <sz val="53.0"/>
      </rPr>
      <t xml:space="preserve">
</t>
    </r>
  </si>
  <si>
    <t>prevtype
(I incidence)
P prevalence)</t>
  </si>
  <si>
    <t>List
🛒
L?
O?</t>
  </si>
  <si>
    <t>Veredict 👨🏼‍⚖️</t>
  </si>
  <si>
    <t>Disease Code
A (acronym)
C (this means there are multiple concept IDs in the OMOP vocabulary - something that should be fix)
G A group name - not to be Included
N (our official name)
S (synonym)
T (subType) Type
U (Obsolete SNOMED code that we must keep to work with old data)
V (A disease name that conflates a suspected or confirmed autoimmune disease with a disease that is not autoimmune)
Z (high prevalence disease with low % of autoimmune)</t>
  </si>
  <si>
    <t>Autoimune Disease Definition (according to 
Autoimmune Registry) 📖</t>
  </si>
  <si>
    <r>
      <rPr>
        <rFont val="Calibri"/>
        <color rgb="FFFFFFFF"/>
        <sz val="21.0"/>
      </rPr>
      <t>SNOMED
CODE
⛄️</t>
    </r>
    <r>
      <rPr>
        <rFont val="Calibri"/>
        <color rgb="FFFFFFFF"/>
        <sz val="12.0"/>
      </rPr>
      <t xml:space="preserve">
C (code plus?) A record for an additional snomed code for the disease
G (general) Group Not in Use at this Time
H (A record with the name that does not use any special characters (e.g., Sjogrens instead of Sjögren's)
N (name) This is Not a synonym, it is the main record for the disease
R (An N record that has been removed from the list of diseases)
S (synonym)
T (subType) Type
Z (high prevalence condition that is rarely autoimmune)</t>
    </r>
  </si>
  <si>
    <t>DXCODE?</t>
  </si>
  <si>
    <t>Autoimune Disease Definition (according to ROSE &amp; MCKAY) 📖
*Include Chapter &amp; Page #</t>
  </si>
  <si>
    <t>ConceptID?</t>
  </si>
  <si>
    <t>System 🫀</t>
  </si>
  <si>
    <t>Sort</t>
  </si>
  <si>
    <t xml:space="preserve">
Target Antigens 🪄
</t>
  </si>
  <si>
    <t>AOU</t>
  </si>
  <si>
    <t>Target Cells 🎯</t>
  </si>
  <si>
    <t>Antibodies 🧬</t>
  </si>
  <si>
    <t>Acquired epidermolysis bullosa</t>
  </si>
  <si>
    <t>Self Reactive Cells 🦠</t>
  </si>
  <si>
    <t>Acquired epidermolysis bullosa, EBA
Autoimmune epidermolysis bullosa
Epidermolysis bullosa acquisita</t>
  </si>
  <si>
    <t>I</t>
  </si>
  <si>
    <t>PATHOPHYSIOLOGY 🔀</t>
  </si>
  <si>
    <t>Summary Evidence Autoimmunity 🔍
-Antibody
-Antibody Suspected
-Gene polymorphisms/mutations
-HLA gene region
-Immune Mediated
(Cytokine response or something else, what is the marker?)
-T cell)
-Antigen Presenting Cells?
Undisputed</t>
  </si>
  <si>
    <r>
      <rPr>
        <rFont val="Calibri"/>
        <b/>
        <color rgb="FF000000"/>
        <sz val="17.0"/>
        <u/>
      </rPr>
      <t>1. Genes/Genetic Regions/Transcription Factors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</si>
  <si>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r>
      <rPr>
        <rFont val="Calibri"/>
        <b/>
        <color rgb="FF000000"/>
        <sz val="17.0"/>
        <u/>
      </rPr>
      <t>2. Antigens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</si>
  <si>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r>
      <rPr>
        <rFont val="Calibri"/>
        <b/>
        <color rgb="FF000000"/>
        <sz val="17.0"/>
        <u/>
      </rPr>
      <t>3. Antigen Presenting Cells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</si>
  <si>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r>
      <rPr>
        <rFont val="Calibri"/>
        <b/>
        <color rgb="FF000000"/>
        <sz val="17.0"/>
        <u/>
      </rPr>
      <t>4. T Cells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</si>
  <si>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r>
      <rPr>
        <rFont val="Calibri"/>
        <b/>
        <color rgb="FF000000"/>
        <sz val="17.0"/>
        <u/>
      </rPr>
      <t>5. Antibodies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</si>
  <si>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r>
      <rPr>
        <rFont val="Calibri"/>
        <b/>
        <color rgb="FFFFFFFF"/>
        <sz val="40.0"/>
      </rPr>
      <t>Top Review Articles 📜</t>
    </r>
    <r>
      <rPr>
        <rFont val="Calibri"/>
        <b/>
        <color rgb="FFFFFFFF"/>
        <sz val="20.0"/>
      </rPr>
      <t xml:space="preserve">
(Best Review Articles on the Disease)</t>
    </r>
  </si>
  <si>
    <r>
      <rPr>
        <rFont val="Calibri"/>
        <b/>
        <color rgb="FFFFFFFF"/>
        <sz val="49.0"/>
      </rPr>
      <t>Landmark Studies  🔑</t>
    </r>
    <r>
      <rPr>
        <rFont val="Calibri"/>
        <b/>
        <color rgb="FFFFFFFF"/>
        <sz val="20.0"/>
      </rPr>
      <t xml:space="preserve">
(Helped Discover and Understand the Fundamental Clinical but not the Etiological Characteristics of the Disease)</t>
    </r>
  </si>
  <si>
    <r>
      <rPr>
        <rFont val="Calibri"/>
        <b/>
        <color rgb="FFFFFFFF"/>
        <sz val="19.0"/>
      </rPr>
      <t xml:space="preserve">Symptoms
</t>
    </r>
    <r>
      <rPr>
        <rFont val="Calibri"/>
        <b/>
        <color rgb="FFFFFF00"/>
        <sz val="19.0"/>
      </rPr>
      <t>Reclassify based on Frequency using Clinical/Laboratorial Etiology of Autoimmune &amp; Autoinflammatory Disease</t>
    </r>
  </si>
  <si>
    <t>Global Incidence/Prevalence</t>
  </si>
  <si>
    <t>N</t>
  </si>
  <si>
    <r>
      <rPr>
        <rFont val="Calibri"/>
        <b/>
        <color rgb="FF000000"/>
        <sz val="18.0"/>
      </rPr>
      <t xml:space="preserve">prevtype
(I incidence)
P prevalence)
</t>
    </r>
    <r>
      <rPr>
        <rFont val="Calibri"/>
        <b/>
        <color rgb="FF000000"/>
        <sz val="18.0"/>
      </rPr>
      <t xml:space="preserve">
-Where did the data come from</t>
    </r>
  </si>
  <si>
    <t>Incidence/Prevalence in the US 🇺🇸</t>
  </si>
  <si>
    <t>Female
Male
Ratio</t>
  </si>
  <si>
    <r>
      <rPr>
        <rFont val="Calibri"/>
        <b/>
        <color rgb="FF000000"/>
        <sz val="18.0"/>
      </rPr>
      <t xml:space="preserve">Age of onset
</t>
    </r>
    <r>
      <rPr>
        <rFont val="Calibri"/>
        <b/>
        <color rgb="FF000000"/>
        <sz val="16.0"/>
      </rPr>
      <t>(minage)</t>
    </r>
  </si>
  <si>
    <r>
      <rPr>
        <rFont val="Calibri"/>
        <b/>
        <color rgb="FF000000"/>
        <sz val="19.0"/>
      </rPr>
      <t xml:space="preserve">Age of onset
</t>
    </r>
    <r>
      <rPr>
        <rFont val="Calibri"/>
        <b/>
        <color rgb="FF000000"/>
        <sz val="16.0"/>
      </rPr>
      <t>(maxage)</t>
    </r>
  </si>
  <si>
    <t xml:space="preserve">Summary Evidence Autoinflammation 🔍
-Gene polymorphisms/mutations
-gene region
-Unknown
-Innate Cells
 -Netosis
-Inflammasome
-Transcription Factors/Cytokines
-Complement
-Innate Receptors
Undisputed
</t>
  </si>
  <si>
    <r>
      <rPr>
        <rFont val="Calibri"/>
        <b/>
        <color rgb="FF000000"/>
        <sz val="17.0"/>
        <u/>
      </rPr>
      <t>1. Genes/Genetic Regions/Transcription Factors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</si>
  <si>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r>
      <rPr>
        <rFont val="Calibri"/>
        <b/>
        <color rgb="FF000000"/>
        <sz val="17.0"/>
        <u/>
      </rPr>
      <t>2. Inflammasome Activation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</si>
  <si>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r>
      <rPr>
        <rFont val="Calibri"/>
        <b/>
        <color rgb="FF000000"/>
        <sz val="17.0"/>
        <u/>
      </rPr>
      <t>3. Cytokines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</si>
  <si>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r>
      <rPr>
        <rFont val="Calibri"/>
        <b/>
        <color rgb="FF000000"/>
        <sz val="17.0"/>
        <u/>
      </rPr>
      <t>4. Innate Immune Cells/Receptors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</si>
  <si>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r>
      <rPr>
        <rFont val="Calibri"/>
        <b/>
        <color rgb="FF000000"/>
        <sz val="17.0"/>
        <u/>
      </rPr>
      <t>5. NETosis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</si>
  <si>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r>
      <rPr>
        <rFont val="Calibri"/>
        <b/>
        <color rgb="FF000000"/>
        <sz val="17.0"/>
        <u/>
      </rPr>
      <t>6. Complement/Acute Phase Reactants 🤹🏻</t>
    </r>
    <r>
      <rPr>
        <rFont val="Calibri"/>
        <b/>
        <color rgb="FF000000"/>
        <sz val="12.0"/>
      </rPr>
      <t xml:space="preserve">
1. Theoretical (1)
2.  in silico (2)
3. In vitro animal cells (3)
4. In vitro human cells (4)
</t>
    </r>
    <r>
      <rPr>
        <rFont val="Calibri"/>
        <b/>
        <color rgb="FF000000"/>
        <sz val="12.0"/>
        <u/>
      </rPr>
      <t>in vivo animals</t>
    </r>
    <r>
      <rPr>
        <rFont val="Calibri"/>
        <b/>
        <color rgb="FF000000"/>
        <sz val="12.0"/>
      </rPr>
      <t xml:space="preserve">  
5 - animals distantly related to humans, 1 method (5)
6- animals highly related to humans, many methods (6)
</t>
    </r>
    <r>
      <rPr>
        <rFont val="Calibri"/>
        <b/>
        <color rgb="FF000000"/>
        <sz val="12.0"/>
        <u/>
      </rPr>
      <t xml:space="preserve">in vivo humans </t>
    </r>
    <r>
      <rPr>
        <rFont val="Calibri"/>
        <b/>
        <color rgb="FF000000"/>
        <sz val="12.0"/>
      </rPr>
      <t xml:space="preserve">
7 - Case Report (no control group) humans (7)
8  -    observational few/weak methodologies/subjects (8)
9 - observational strong/many methodologies/subjects (9)
10 - systematic revision/metaanalysis (10)</t>
    </r>
  </si>
  <si>
    <t xml:space="preserve">Molecular Mimicry 🦠
Bacteria/Virus </t>
  </si>
  <si>
    <t xml:space="preserve">Enviromental Triggers ☢️
</t>
  </si>
  <si>
    <t>Association with other Autoimmune Diseases ☯️</t>
  </si>
  <si>
    <t>Countries and Regions with Very High Prevalence of Disease 🗺️</t>
  </si>
  <si>
    <t>EBA</t>
  </si>
  <si>
    <t>Treatments
 💊</t>
  </si>
  <si>
    <t>Acquired hemophilia</t>
  </si>
  <si>
    <t>A</t>
  </si>
  <si>
    <t>Factor 8 deficiency, acquired
Hemophilia A, acquired
Factor VIII deficiency, acquired</t>
  </si>
  <si>
    <t>Autoimmune epidermolysis bullosa</t>
  </si>
  <si>
    <t>S</t>
  </si>
  <si>
    <t>Epidermolysis bullosa acquisita</t>
  </si>
  <si>
    <t>Autoimmune</t>
  </si>
  <si>
    <t>Acquired Hemophilia is an autoimmune disorder in which the immune system targets and damages a type of protein in the blood necessary for clotting.  The result is spontaneous bleeding that is difficult to stop, which may occur both on the surface of the skin and internal to the body, affecting muscles and organs.  Patients also bruise easily with little trauma.  A range of triggers can cause severe bleeding episodes, including physical activity, surgery, and giving birth.  Bleeding may also occur with no obvious cause.  Treatments are available to control bleeding episodes.  Without medical care, patients are at risk of muscle death or of life-threatening bleeding complications.</t>
  </si>
  <si>
    <t>In addition to marking cells for ADCC or phagocytosis, autoantibodies can also cause significant pathology by functionally disturbing physiological processes. Important examples of this type of autoantibody-induced mechanism are antibodies to proteins and glycoproteins, such as to factor VIII (Zeitler et al., 2013) in acquired hemophilia or to β2-glycoprotein I, which induce thrombotic events in the antiphospholipid antibody syndrome (Giannakopoulos and Krilis, 2013) (see Chapters 51 and 34).</t>
  </si>
  <si>
    <t>Blood</t>
  </si>
  <si>
    <t>Factor VIII</t>
  </si>
  <si>
    <t>Endothelial cells (sinusoidal / microvascular endothelial cells) (80%)
Hepatocytes (20%)</t>
  </si>
  <si>
    <t>• Anti-factor VIII autoantibodies</t>
  </si>
  <si>
    <t>• Autoreactive CD4+ T cells (Factor VIII-specific)
• Autoreactive B cells / plasma cells (producing anti-FVIII antibodies)</t>
  </si>
  <si>
    <t>Acquired haemophilia</t>
  </si>
  <si>
    <t>1. Environmental triggers (pregnancy, malignancy, autoimmune disorders) or idiopathic loss of immune tolerance activate autoreactive CD4+ T cells against circulating Factor VIII.
2. Clonal expansion of B cells produces polyclonal IgG (mostly IgG4/IgG1) autoantibodies directed against the A2, C2, or A3 domains of Factor VIII.
3. Anti-FVIII antibodies bind and neutralize Factor VIII procoagulant function, sterically hindering interactions with Factor IXa, phospholipids, or von Willebrand factor, or accelerating FVIII clearance.
4. Intrinsic tenase complex assembly is severely impaired, blocking thrombin generation and downstream fibrin formation.
5. Ineffective hemostasis leads to spontaneous, severe mucocutaneous, intramuscular, and retroperitoneal hemorrhages.</t>
  </si>
  <si>
    <t>Acute disseminated encephalomyelitis</t>
  </si>
  <si>
    <t>Acute hemorrhagic leukoencephalitis</t>
  </si>
  <si>
    <t>Antibody</t>
  </si>
  <si>
    <t>T</t>
  </si>
  <si>
    <t>Hurst's disease</t>
  </si>
  <si>
    <t>72986009.1</t>
  </si>
  <si>
    <t>Weston-Hurst syndrome</t>
  </si>
  <si>
    <t>72986009.2</t>
  </si>
  <si>
    <t>• Extensive subcutaneous hematomas &amp; ecchymoses (80–90%)
• Deep muscle / retroperitoneal bleeding (40–50%)
• Mucosal and gastrointestinal hemorrhage (20–30%)
• Hemarthrosis (&lt;5%)</t>
  </si>
  <si>
    <t>ADEM</t>
  </si>
  <si>
    <t>incidence</t>
  </si>
  <si>
    <t>1.0 cases per 666,667</t>
  </si>
  <si>
    <t>Nonvasculitic autoimmune inflammatory meningoencephalitis</t>
  </si>
  <si>
    <t>Acute febrile mucocutaneous lymph node syndrome</t>
  </si>
  <si>
    <t>P</t>
  </si>
  <si>
    <t>Moderate</t>
  </si>
  <si>
    <t>75053002</t>
  </si>
  <si>
    <t>• Unknown / unconfirmed</t>
  </si>
  <si>
    <t>• Pregnancy / postpartum
• Malignancy
• Medications (penicillin, interferon)</t>
  </si>
  <si>
    <t>Kawasaki syndrome</t>
  </si>
  <si>
    <t>• Systemic lupus erythematosus
• Rheumatoid arthritis
• Sjogren's syndrome</t>
  </si>
  <si>
    <t>75053002.1</t>
  </si>
  <si>
    <t>• Worldwide (rare, ~1.5 per million/year)</t>
  </si>
  <si>
    <t>• Bypassing agents (rFVIIa, FEIBA)
• Immunosuppression (corticosteroids, cyclophosphamide)
• Rituximab</t>
  </si>
  <si>
    <t>Kawasaki's disease</t>
  </si>
  <si>
    <t>75053002.2</t>
  </si>
  <si>
    <t>Encephalomyelitis, Acute Disseminated
Acute Disseminated Encephalomyelitides
Acute Disseminated Encephalomyelitis
Disseminated Encephalomyelitis, Acute
Encephalitis, Post-Vaccinal
Encephalitis, Post Vaccinal
Post-Vaccinal Encephalitides
Post-Vaccinal Encephalitis
Post Vaccinal Encephalitis
Encephalitis, Postvaccinal
Postvaccinal Encephalitis
Encephalitis, Vaccination
Vaccination Encephalitis
Post-Vaccinal Encephalomyelitis
Encephalomyelitis, Post-Vaccinal
Post-Vaccinal Encephalomyelitides
Post Vaccinal Encephalomyelitis
Postinfectious Encephalomyelitis
Encephalomyelitis, Postinfectious
Encephalomyelitis, Postexanthem
Postexanthem Encephalomyelitis
ADEM
Hurst's disease
Weston-Hurst syndrome
Nonvasculitic autoimmune inflammatory meningoencephalitis</t>
  </si>
  <si>
    <t>Lymph node syndrome</t>
  </si>
  <si>
    <t>75053002.3</t>
  </si>
  <si>
    <t>Acute disseminated encephalomyelitis (ADEM) is caused when inflammation stemming from fever or immunization damages the myelin sheaths of nerves in the brain, spinal cord, and occasionally the optic nerves, leading to abnormal nerve function.  Onset is brief but intense and occurs predominantly in children.  Patients often experience complete recovery within 6 months and do not experience relapses. The risk of developing ADEM depends on several factors, including genetics, exposure to infectious organisms, immunization exposure, and lighter skin pigmentation. ADEM can affect people of all ethnic backgrounds globally. Between 50% to 85% of ADEM cases are linked to a prior infection or vaccination, with many following a viral or bacterial infection. Nonetheless, the specific pathogen causing ADEM is often unknown.</t>
  </si>
  <si>
    <t xml:space="preserve">
Subtype of Acute disseminated encephalomyelitis
However, using sensitive solution phase assays, high-affinity autoantibodies to MBP and MOG can be detected in the serum and CSF of patients with acute disseminated encephalomyelitis and MS (O'Connor et al., 2003, 2005, 2007; Zhou et al., 2006).
https://pubmed.ncbi.nlm.nih.gov/15139593/</t>
  </si>
  <si>
    <t>Mucocutaneous lymph node syndrome</t>
  </si>
  <si>
    <t>Nervous System</t>
  </si>
  <si>
    <t>75053002.4</t>
  </si>
  <si>
    <t>Myelin basic protein (MBP)
Myelin oligodendrocyte glycoprotein (MOG)</t>
  </si>
  <si>
    <t>Oligodendrocytes (90%)
Myelinating Schwann cells / Astrocytes (10%)</t>
  </si>
  <si>
    <t xml:space="preserve">
high-affinity autoantibodies to MBP and MOG</t>
  </si>
  <si>
    <t>Acute lichenoid pityriasis</t>
  </si>
  <si>
    <t>• Autoreactive CD4+ T cells (myelin-reactive: MBP/MOG)
• Autoreactive B cells / plasma cells (anti-MOG/MBP antibodies)</t>
  </si>
  <si>
    <t>1. Preceding systemic viral/bacterial infection or vaccination triggers an inflammatory state with antigen presentation.
2. Molecular mimicry between microbial antigens and CNS myelin components (MBP, MOG) activates autoreactive CD4+ Th1 and Th17 cells.
3. Primed myelin-reactive T cells cross the blood-brain barrier into the central nervous system parenchyma.
4. Infiltration induces recruitment of microglia and macrophages, releasing TNF-α, IFN-γ, and reactive oxygen species alongside anti-myelin autoantibodies.
5. Widespread perivenular inflammation, complement activation, and demyelination across the cerebral cortex, subcortical white matter, and spinal cord result in acute multifocal neurological deficits.</t>
  </si>
  <si>
    <t>PLEVA</t>
  </si>
  <si>
    <t>Acuta guttale parapsoriasis</t>
  </si>
  <si>
    <t>Mucha-Habermann disease</t>
  </si>
  <si>
    <t>Pityriasis lichenoides et varioliformis acuta</t>
  </si>
  <si>
    <t>• Acute encephalopathy / altered mental state (70–90%)
• Motor weakness / hemiparesis or paraparesis (60–75%)
• Cerebellar ataxia (50–65%)
• Cranial neuropathies / bilateral optic neuritis (30–40%)</t>
  </si>
  <si>
    <t>1.0 cases per 125,000 to 250,000</t>
  </si>
  <si>
    <t>Addison's disease</t>
  </si>
  <si>
    <t>1.0 cases per 8,333,333 to 100,000,000
1.0 cases per 166,667 to 1,428,571</t>
  </si>
  <si>
    <t>Child: 5
Adult: 30</t>
  </si>
  <si>
    <t>Child: 10
Adult: 40</t>
  </si>
  <si>
    <t>• Measles, mumps, rubella
• Influenza, EBV, CMV
• Post-vaccination (rare)</t>
  </si>
  <si>
    <t>Autoimmune adrenalitis</t>
  </si>
  <si>
    <t>• Preceding viral or bacterial infection
• Immunizations (rabies, MMR, influenza)
• Upper respiratory infection</t>
  </si>
  <si>
    <t>• Rare; occasionally associated with MS or MOGAD spectrum</t>
  </si>
  <si>
    <t>• Worldwide (higher incidence in children, winter/spring)</t>
  </si>
  <si>
    <t>Adrenal cortical hypofunction</t>
  </si>
  <si>
    <t>V</t>
  </si>
  <si>
    <t>• High-dose IV methylprednisolone
• Intravenous immunoglobulin (IVIG)
• Plasma exchange (PLEX)</t>
  </si>
  <si>
    <t>Adrenal Insufficiency</t>
  </si>
  <si>
    <t>Mucocutaneous Lymph Node Syndrome
Kawasaki Disease
Kawasaki Syndrome
Lymph Node Syndrome, Mucocutaneous
Acute febrile mucocutaneous lymph node syndrome</t>
  </si>
  <si>
    <t>Primary adrenal insufficiency</t>
  </si>
  <si>
    <t xml:space="preserve">Acute febrile mucocutaneous lymph node syndrome, also known as Kawasaki's Disease, is a rare disorder with sudden onset resulting in fever and inflammation of the blood vessels (vasculitis).  This inflammation restricts blood flow and damages vital organs and tissues, leading to heart disease.  Patients are predominantly children.  
The cause of Kawasaki's Disease is uncertain but is believed to be autoimmune.  Patients who do not suffer damage to the coronary arteries (ex. aneurysms) are expected to heal completely.  Patients who do suffer aneurysms are at greater risk of complications and heart failure, but many can be expected to recover within 2 years.  Relapse is uncommon.  Short-term and long-term treatments and procedures that protect the heart and coronary arteries are available.
</t>
  </si>
  <si>
    <t>Adult onset Still's disease</t>
  </si>
  <si>
    <t>Some investigators have reported evidence that patients with Kawasaki's disease have circulating autoantibodies that react with activated endothelial cells (Leung et al., 1986a,b, 1989; Grunebaum et al., 2002; Kaneko et al., 2004). Kaneko et al. (2004) identified a number of candidate target antigens using a cDNA expression library derived from tumor necrosis factor (TNF)-α-stimulated human umbilical vein endothelial cells. Tropomyosin was the most likely autoantigen recognized by anti-endothelial cell autoantibodies. Mor et al. (2002) have identified autoantibodies to tropomyosin in another form of vasculitis, Behçet's disease. Cunningham et al. (1999) have reported IgM autoantibodies to cardiac myosin in Kawasaki's disease. These autoantibodies differ from the antimyosin antibodies of patients with acute rheumatic fever.</t>
  </si>
  <si>
    <t>Vascular system</t>
  </si>
  <si>
    <t>Endothelial cell antigens
Tropomyosin
Cardiac myosin</t>
  </si>
  <si>
    <t>Vascular endothelial cells (60%)
Vascular smooth muscle cells (25%)
Cardiomyocytes (15%)</t>
  </si>
  <si>
    <t>• Anti-endothelial cell antibodies (AECA)
• Anti-tropomyosin antibodies
• Anti-cardiac myosin IgM</t>
  </si>
  <si>
    <t>Unconfirmed</t>
  </si>
  <si>
    <t>1. Inhaled or ingested pathogen/superantigen in genetically susceptible individuals triggers innate immune activation and marked endothelial activation.
2. Robust secretion of pro-inflammatory cytokines (IL-1β, IL-6, TNF-α) by circulating monocytes and activated T cells induces systemic endothelial injury.
3. Anti-endothelial cell autoantibodies (AECA) and activated neutrophils infiltrate the medium-sized muscular arteries.
4. Infiltration of the coronary arterial wall causes necrotizing arteritis, internal elastic lamina breakdown, and destruction of the vascular media.
5. Loss of structural integrity results in coronary artery ectasia, aneurysm formation, thrombotic occlusion, or myocardial ischemia.</t>
  </si>
  <si>
    <t>Adult Still's disease</t>
  </si>
  <si>
    <t>239920006.1</t>
  </si>
  <si>
    <t>Age related macular degeneration</t>
  </si>
  <si>
    <t>Z</t>
  </si>
  <si>
    <t>Alopecia areata</t>
  </si>
  <si>
    <t>Alopecia Totalis</t>
  </si>
  <si>
    <t>Alopecia Universalis</t>
  </si>
  <si>
    <t>Angiofollicular lymph node hyperplasia</t>
  </si>
  <si>
    <t>• High unremitting fever ≥5 days (100%)
• Strawberry tongue &amp; cracked erythematous lips (90–95%)
• Bilateral non-exudative bulbar conjunctivitis (85–90%)
• Polymorphous exanthem rash (80–90%)
• Indurative edema/erythema of hands and feet (75–85%)
• Unilateral cervical lymphadenopathy (50–75%)</t>
  </si>
  <si>
    <t>1.0 cases per 6,667 to 10,000</t>
  </si>
  <si>
    <t>Castleman Disease</t>
  </si>
  <si>
    <t>prevalence</t>
  </si>
  <si>
    <t>1.0 cases per 2,865</t>
  </si>
  <si>
    <t>Castleman's disease</t>
  </si>
  <si>
    <t>Strong</t>
  </si>
  <si>
    <t>207036003.2</t>
  </si>
  <si>
    <t>Ankylosing spondylitis</t>
  </si>
  <si>
    <t>• Postulated superantigens (Staphylococcus, Streptococcus)
• Coronaviruses, enterovirus</t>
  </si>
  <si>
    <t>• Inhaled environmental antigens/pollutants
• Seasonal wind patterns / tropospheric winds
• Viral respiratory triggers</t>
  </si>
  <si>
    <t>• Rarely co-occurs with juvenile idiopathic arthritis</t>
  </si>
  <si>
    <t>• East Asia (highest in Japan, Korea, Taiwan)</t>
  </si>
  <si>
    <t>• Intravenous immunoglobulin (IVIG)
• High-dose aspirin
• Infliximab or corticosteroids (for IVIG-resistant cases)</t>
  </si>
  <si>
    <t>Axial spondyloarthritis</t>
  </si>
  <si>
    <t>Spondyloarthritis</t>
  </si>
  <si>
    <t>Acute lichenoid pityriasis
Pityriasis Lichenoides
Habermann's Disease
Disease, Habermann's
Habermanns Disease
Habermann Disease
Disease, Habermann
Pityriasis Lichenoides Chronica
Pityriasis Lichenoides, Chronic
Chronic Pityriasis Lichenoides
Pityriasis Lichenoides et Varioliformis Acuta
Pityriasis Lichenoides, Acute
Acute Pityriasis Lichenoides
Mucha-Habermann Disease
Disease, Mucha-Habermann
Mucha Habermann Disease
PLEVA
Pityriasis lichenoides et varioliformis acuta</t>
  </si>
  <si>
    <t>Anti-glomerular basement membrane disease</t>
  </si>
  <si>
    <t>Pityriasis lichenoides et varioliformis acuta (PLEVA) is the acute form of an inflammatory skin condition called pityriasis lichenoides. People with PLEVA may develop a few to more than one hundred scaling papules which may become filled with blood and/or pus or erode into crusted red-brown spots. Papules may itch or burn, and some people may experience fever or joint pain. Although PLEVA may occur at any age (including infancy), it most commonly affects children and young adults.</t>
  </si>
  <si>
    <t>Goodpasture syndrome</t>
  </si>
  <si>
    <t>Inflammatory skin condition (PLEVA / Mucha-Habermann disease) characterized by recurring crusted papules and subepidermal lymphocytic infiltration; considered autoinflammatory or reactive to infectious antigens rather than classic autoantibody-mediated autoimmunity. Chapter 65, pp. 960–970.</t>
  </si>
  <si>
    <t>Skin</t>
  </si>
  <si>
    <t>50581000</t>
  </si>
  <si>
    <t>Unknown</t>
  </si>
  <si>
    <t>Epidermal keratinocytes (80%)
Dermal microvascular endothelial cells (20%)</t>
  </si>
  <si>
    <t>1. Viral infection, medication exposure, or immune trigger induces an aberrant clonal CD8+ T-cell cutaneous response.
2. Antigen-driven recruitment of cytotoxic T lymphocytes occurs at the superficial vascular plexus and dermal-epidermal junction.
3. Infiltrating CD8+ T cells and granzyme/perforin release induce widespread hydropic degeneration and apoptosis of basal epidermal keratinocytes.
4. Perivascular lymphocytic cuffing and microvascular endothelial damage trigger erythrocyte extravasation and focal necrosis.
5. Widespread epidermal necrosis, crusting, and intraepidermal vesiculation manifest clinically as recurring inflammatory crusted papules.</t>
  </si>
  <si>
    <t>Goodpasture disease</t>
  </si>
  <si>
    <t>788613004.3</t>
  </si>
  <si>
    <t>Anti-glomerular basement membrane nephritis</t>
  </si>
  <si>
    <t>Anti-glomerular basement membrane tubulointerstitial nephritis</t>
  </si>
  <si>
    <t>U</t>
  </si>
  <si>
    <t>Anti-GBM disease</t>
  </si>
  <si>
    <t>Goodpasture's disease</t>
  </si>
  <si>
    <t>• Recurrent crops of erythematous, purpuric, necrotic, and crusted papules (90–100%)
• Pruritus or burning sensation (40–60%)
• Varicelliform cicatricial scar formation (30–40%)</t>
  </si>
  <si>
    <t>1.0 cases per 2,500 to 5,000</t>
  </si>
  <si>
    <t>788613004.2</t>
  </si>
  <si>
    <t>Goodpasture's syndrome</t>
  </si>
  <si>
    <t>1.0 cases per 2,588</t>
  </si>
  <si>
    <t>50581000.1</t>
  </si>
  <si>
    <t>Antineutrophil cytoplasmic antibody positive vasculitis</t>
  </si>
  <si>
    <t>Churg-Strauss syndrome</t>
  </si>
  <si>
    <t>• EBV, CMV, Parvovirus B19
• Toxoplasma gondii, HIV</t>
  </si>
  <si>
    <t>• Viral infections
• Medications (estrogen, hormonal therapy)
• Radiotherapy</t>
  </si>
  <si>
    <t>Granulomatosis with polyangiitis</t>
  </si>
  <si>
    <t>• Celiac disease
• Crohn's disease
• Rheumatoid arthritis</t>
  </si>
  <si>
    <t>• Worldwide (equally distributed)</t>
  </si>
  <si>
    <t>Wegener's Granulomatosis</t>
  </si>
  <si>
    <t>195353004.1</t>
  </si>
  <si>
    <t>• Topical corticosteroids
• Systemic antibiotics (erythromycin, tetracyclines)
• Phototherapy (narrowband UVB)</t>
  </si>
  <si>
    <t>722191003</t>
  </si>
  <si>
    <t>Addison's disease
Autoimmune adrenalitis
Adrenal cortical hypofunction
Adrenal Insufficiency
Primary adrenal insufficiency</t>
  </si>
  <si>
    <t>ANCA vasculitis</t>
  </si>
  <si>
    <t>Addison's disease is a hormonal disorder that occurs when the adrenal glands do not produce enough of certain hormones. The two hormones that tend to be affected the most are cortisol and aldosterone. Symptoms may occur slowly over several months, and most people do not realize these are symptoms of Addison’s and ignore them. Early symptoms include fatigue, dizziness or fainting due to low blood pressure, sweating due to low blood sugar, upset stomach, abdominal pain, and muscle cramps or weakness. If symptoms become worse quickly, then it can develop into an adrenal crisis, resulting in death if not treated quickly enough.</t>
  </si>
  <si>
    <t>Eosinophilic granulomatosis with polyangiitis</t>
  </si>
  <si>
    <t>Primary adrenal insufficiency caused by autoimmune destruction of the adrenal cortex, characterized by circulating autoantibodies against steroid 21-hydroxylase (CYP21A2) and lymphocytic infiltration resulting in severe cortisol and aldosterone deficiencies. Chapter 43, pp. 605–616.</t>
  </si>
  <si>
    <t>722191003.2</t>
  </si>
  <si>
    <t>Glands</t>
  </si>
  <si>
    <t>ANCA-associated vasculitis</t>
  </si>
  <si>
    <t>21-hydroxylase (CYP21A2)</t>
  </si>
  <si>
    <t>722191003.3</t>
  </si>
  <si>
    <t>Adrenocortical steroid-producing cells (zona fasciculata / reticularis) (100%)</t>
  </si>
  <si>
    <t>adrenal cortical antibodies—ACA</t>
  </si>
  <si>
    <t>Anti-neutrophil cytoplasmic antibody-associated vasculitis</t>
  </si>
  <si>
    <t>• Autoreactive CD4+ T cells (21-hydroxylase-specific)
• Autoreactive CD8+ cytotoxic T cells
• Autoreactive B cells / plasma cells (anti-21-hydroxylase)</t>
  </si>
  <si>
    <t>722191003.4</t>
  </si>
  <si>
    <t>1. Breakdown of central or peripheral immune tolerance in individuals with high-risk HLA-DR3-DQ2/DR4 haplotypes.
2. Antigen-presenting cells present the microsomal enzyme steroid 21-hydroxylase (CYP21A2) to naive T helper cells.
3. Generation of autoreactive CD4+ Th1 cells and 21-hydroxylase-specific autoantibodies (ACA) accompanied by CD8+ cytotoxic T cell expansion.
4. Lymphocytic infiltration of the adrenal cortex with perforin-, granzyme-, and IFN-γ-mediated apoptosis of steroidogenic cells in the zona fasciculata, glomerulosa, and reticularis.
5. Progressive cortical atrophy (&gt;90% destruction) depletes cortisol, aldosterone, and adrenal androgens, leading to life-threatening adrenal crisis.</t>
  </si>
  <si>
    <t>Churg Strauss syndrome</t>
  </si>
  <si>
    <t>82275008.1</t>
  </si>
  <si>
    <t>Antiphospholipid syndrome</t>
  </si>
  <si>
    <t>aCL syndrome</t>
  </si>
  <si>
    <t>Anticardiolipin antibody syndrome</t>
  </si>
  <si>
    <t>• Chronic severe fatigue and asthenia (95–100%)
• Mucocutaneous hyperpigmentation (90–95%)
• Anorexia and progressive weight loss (90–95%)
• Orthostatic hypotension and dizziness (85–90%)
• Salt craving (15–20%)</t>
  </si>
  <si>
    <t>Hughes syndrome</t>
  </si>
  <si>
    <t>1.0 cases per 7,143 to 11,111</t>
  </si>
  <si>
    <t>Lupus anticoagulant syndrome</t>
  </si>
  <si>
    <t>1.0 cases per 4,525 to 23,981</t>
  </si>
  <si>
    <t>Antisynthetase syndrome</t>
  </si>
  <si>
    <t>• Mycobacterium tuberculosis (historical)
• Viral triggers (CMV, EBV)</t>
  </si>
  <si>
    <t>• Chronic stress / physiological trauma
• Exposure to infectious pathogens
• Smoking</t>
  </si>
  <si>
    <t>• Hashimoto's thyroiditis
• Type 1 diabetes
• Vitiligo
• Celiac disease</t>
  </si>
  <si>
    <t>• Northern Europe / Scandinavia (higher prevalence)</t>
  </si>
  <si>
    <t>• Hydrocortisone (glucocorticoid replacement)
• Fludrocortisone (mineralocorticoid replacement)
• Stress-dose steroids for adrenal crisis</t>
  </si>
  <si>
    <t>Adult onset Still's disease
Adult Still's disease</t>
  </si>
  <si>
    <t>Anti-Jo1 syndrome</t>
  </si>
  <si>
    <t>Aplastic anemia</t>
  </si>
  <si>
    <t>Adult onset Still's disease (AoSD) is a rare form of inflammatory arthritis that affects the entire body, impacting joints and organs. Typically affecting individuals over the age of 16, patients often endure bouts of elevated fever, joint discomfort, and skin rash. Blood tests commonly indicate elevated white blood cell counts. Despite extensive research, the exact cause of AoSD remains elusive, with uncertainty over whether it stems from autoimmune or autoinflammatory origins. The disease's progression varies widely among patients; while some experience sudden onset followed by swift and complete recovery, others contend with chronic manifestations or symptom flare-ups alternating with periods of remission. AoSD bears a resemblance to systemic juvenile rheumatoid arthritis, differing primarily in the age of onset. Although a definitive cure remains elusive, treatment options exist to manage inflammation and mitigate potential organ damage. There are three main patterns of the clinical course of AoSD namely monophasic, intermittent, and chronic. There is an approximately equal distribution in each category however some studies have shown a chronic articular pattern to be more common.</t>
  </si>
  <si>
    <t>Systemic autoinflammatory disorder sharing core features with systemic juvenile idiopathic arthritis, characterized by quotidian spiking fevers, evanescent salmon-pink maculopapular rash, arthritis, hyperferritinemia, and marked neutrophilia driven by IL-1, IL-6, and IL-18. Chapter 50, pp. 698–708; Chapter 62, pp. 910–920.</t>
  </si>
  <si>
    <t>Systemic</t>
  </si>
  <si>
    <t>Autoimmune angioedema</t>
  </si>
  <si>
    <t>Macrophages / monocytes (50%)
Neutrophils (30%)
Synovial fibroblasts (20%)</t>
  </si>
  <si>
    <t>antibodies to cyclic citrullinated peptides</t>
  </si>
  <si>
    <t>Acquired angiodema</t>
  </si>
  <si>
    <t>1. Environmental pathogen exposure or danger-associated molecular patterns (DAMPs) activate the NLRP3 inflammasome in genetically predisposed hosts.
2. Massive overproduction and systemic release of pro-inflammatory cytokines, specifically IL-1β, IL-6, and IL-18.
3. Profound neutrophil and monocyte/macrophage hyperactivation, causing massive release of ferritin and acute-phase reactants.
4. Systemic cytokine storm induces capillary endothelial leakage, microvascular inflammation, and synovial hypervascularity.
5. Persistent hyperinflammatory cascade leads to quotidian spiking fevers, evanescent macular rash, serositis, proliferative synovitis, and potential macrophage activation syndrome (MAS).</t>
  </si>
  <si>
    <t>Autoimmune disease</t>
  </si>
  <si>
    <t>G</t>
  </si>
  <si>
    <t>85828009</t>
  </si>
  <si>
    <t>Autoimmune disorder of inner ear</t>
  </si>
  <si>
    <t>Ménière's disease</t>
  </si>
  <si>
    <t>• High spiking quotidian fevers (95–100%)
• Polyarthralgias / inflammatory arthritis (85–95%)
• Evanescent salmon-pink maculopapular rash (85–90%)
• Severe sore throat / odynophagia (65–70%)
• Marked splenomegaly / lymphadenopathy (50–65%)</t>
  </si>
  <si>
    <t>1.0 cases per 60,000 to 100,000</t>
  </si>
  <si>
    <t>Autoimmune encephalitis</t>
  </si>
  <si>
    <t>1.0 cases per 100,000 to 1,000,000</t>
  </si>
  <si>
    <t>Bickerstaff's brainstem encephalitis</t>
  </si>
  <si>
    <t>427086003</t>
  </si>
  <si>
    <t>• Yersinia enterocolitica, Mycoplasma
• EBV, Parvovirus B19, CMV</t>
  </si>
  <si>
    <t>Bickerstaff encephalitis</t>
  </si>
  <si>
    <t>• Viral and bacterial infections
• Trauma / physical stressors
• Vaccinations</t>
  </si>
  <si>
    <t>• Rheumatoid arthritis
• Systemic lupus erythematosus
• Sjogren's syndrome</t>
  </si>
  <si>
    <t>427086003.1</t>
  </si>
  <si>
    <t>• Worldwide (low prevalence; reported in Europe and East Asia)</t>
  </si>
  <si>
    <t>Bickerstaff's encephalitis</t>
  </si>
  <si>
    <t>427086003.2</t>
  </si>
  <si>
    <t>• High-dose NSAIDs and systemic corticosteroids
• Methotrexate
• IL-1 inhibitors (anakinra, canakinumab)
• IL-6 inhibitors (tocilizumab)</t>
  </si>
  <si>
    <t>Autoimmune encephalitis caused by N-methyl D-aspartate receptor antibody</t>
  </si>
  <si>
    <t>Adult-onset immunodeficiency due to anti-IFN-gamma autoantibodies</t>
  </si>
  <si>
    <t>Limbic encephalitis with N-methyl-D-aspartate receptor antibodies</t>
  </si>
  <si>
    <t>Acquired adult-onset immunodeficiency; Adult-onset immunodeficiency; AOID; adult-onset immunodeficiency syndrome; anti-IFN-γ autoantibody-associated adult-onset immunodeficiency; anti-interferon-gamma autoantibody-associated adult-onset immunodeficiency; anti-IFN-γ autoantibody syndrome; anti-interferon-gamma autoantibody syndrome; neutralizing anti-IFN-γ autoantibody-associated immunodeficiency; nAIGA-associated immunodeficiency; AIGA-associated adult-onset immunodeficiency</t>
  </si>
  <si>
    <t>Anti-NMDA receptor encephalitis</t>
  </si>
  <si>
    <t>Adult-onset immunodeficiency due to anti-interferon-gamma autoantibodies is an acquired immune condition where neutralizing autoantibodies target interferon-gamma, an essential signaling cytokine for cellular immunity. This impairment leaves individuals highly susceptible to severe, recurrent opportunistic infections, notably disseminated non-tuberculous mycobacterial infections. The condition typically arises in adulthood and is treated with antimicrobials combined with targeted immunosuppressive therapies to reduce antibody production.</t>
  </si>
  <si>
    <t>Adult-onset immunodeficiency is characterized by high-titer neutralizing autoantibodies against interferon-gamma (IFN-γ), impairing cell-mediated immunity and predisposing patients to severe opportunistic infections, particularly non-tuberculous mycobacteria. Chapter 50, pp. 695–702.</t>
  </si>
  <si>
    <t>452281000124106</t>
  </si>
  <si>
    <t>452281000124106.1</t>
  </si>
  <si>
    <t>Interferon-gamma (IFN-γ)</t>
  </si>
  <si>
    <t>Anti-N-methyl-D-aspartate receptor encephalitis</t>
  </si>
  <si>
    <t>Macrophages / monocytes (65%)
Dendritic cells (20%)
NK / T lymphocytes (15%)</t>
  </si>
  <si>
    <t>• Neutralizing anti-IFN-γ autoantibodies</t>
  </si>
  <si>
    <t>452281000124106.3</t>
  </si>
  <si>
    <t>• Autoreactive B cells / plasma cells (anti-IFN-γ producing)
• Autoreactive CD4+ T helper cells</t>
  </si>
  <si>
    <t>1. Genetic susceptibility (predominantly HLA-DRB1*15:02 and HLA-DRB1*16:02) combined with unknown environmental exposures triggers immune dysregulation.
2. Clonal B-cell expansion and plasma cell differentiation produce high-titer neutralizing IgG autoantibodies targeting interferon-gamma (IFN-γ).
3. Circulating autoantibodies bind endogenous IFN-γ, blocking its interaction with cell-surface IFN-γ receptors (IFNGR1/IFNGR2).
4. Inhibition of IFN-γ signaling abolishes STAT1 phosphorylation, impairing macrophage activation, nitric oxide production, and phagolysosomal maturation.
5. Collapse of cell-mediated immunity leaves tissues unable to control intracellular pathogens, resulting in disseminated non-tuberculous mycobacterial (NTM) infections and opportunistic fungal disease.</t>
  </si>
  <si>
    <t>Anti-NMDA Encephalitis</t>
  </si>
  <si>
    <t>452281000124106.2</t>
  </si>
  <si>
    <t>Autoimmune gastritis</t>
  </si>
  <si>
    <t>Macrocytic Anemia</t>
  </si>
  <si>
    <t>84027009</t>
  </si>
  <si>
    <t>Megaloblastic Anemia</t>
  </si>
  <si>
    <t>• Disseminated non-tuberculous mycobacterial (NTM) infections (80–90%)
• Chronic suppurative lymphadenitis (65–75%)
• Reactive pustular/neutrophilic dermatoses (Sweet-like) (40–50%)
• Opportunistic fungal infections (cryptococcosis, penicilliosis) (30–40%)</t>
  </si>
  <si>
    <t>Pernicious anemia</t>
  </si>
  <si>
    <t>1.0 cases per 1,000,000</t>
  </si>
  <si>
    <t>Extremely rare</t>
  </si>
  <si>
    <t>84568007</t>
  </si>
  <si>
    <t>Atrophic gastritis</t>
  </si>
  <si>
    <t>• Non-tuberculous mycobacteria (opportunistic trigger)
• Varicella zoster virus</t>
  </si>
  <si>
    <t>• Environmental mycobacterial exposure
• Soil and untreated water contact</t>
  </si>
  <si>
    <t>84568007.1</t>
  </si>
  <si>
    <t>• Systemic lupus erythematosus
• Myasthenia gravis</t>
  </si>
  <si>
    <t>• Southeast Asia (Thailand, Taiwan, Hong Kong)</t>
  </si>
  <si>
    <t>• Antimycobacterial therapy
• Rituximab (anti-CD20)
• Cyclophosphamide / IVIG</t>
  </si>
  <si>
    <t>Autoimmune atrophic gastritis</t>
  </si>
  <si>
    <t>84568007.2</t>
  </si>
  <si>
    <t>Eosinophilic gastritis</t>
  </si>
  <si>
    <t>84568007.3</t>
  </si>
  <si>
    <t xml:space="preserve">Age-related macular degeneration (AMD) leads to the loss of central vision, which impairs activities such as reading, driving, and recognizing faces. Many factors may be involved in the development of AMD, including genetic predisposition and environmental factors like smoking and diet, and some studies have found a link with immune system components such as complement proteins. These proteins, part of the immune system's response to pathogens, can mistakenly target retinal cells, leading to inflammation and damage. Furthermore, individuals with autoimmune diseases like lupus or rheumatoid arthritis may have an increased risk of developing AMD, as their immune systems are already prone to attacking self-tissues. Understanding this autoimmune connection opens new avenues for potential treatments, such as immunomodulatory therapies, which aim to regulate the immune response and protect retinal health.
However, based on the research available at this time, there is no evidence that AMD is an autoimmune disease. </t>
  </si>
  <si>
    <t>No mention as a primary autoimmune disease in Rose &amp; Mackay; considered a degenerative retinopathy with secondary complement activation and local inflammatory components. Chapter 55, pp. 775–788.</t>
  </si>
  <si>
    <t>Autoimmune enteropathy</t>
  </si>
  <si>
    <t>Eye</t>
  </si>
  <si>
    <t>Autoimmune hemolytic anemia</t>
  </si>
  <si>
    <t>Retinal pigment epithelial (RPE) cells (70%)
Photoreceptor cells (rods and cones) (20%)
Choriocapillaris endothelial cells (10%)</t>
  </si>
  <si>
    <t>1. Aging, oxidative stress, cigarette smoke, and genetic variants in complement genes (CFH, CFI, C3) impair retinal pigment epithelium (RPE) proteostasis.
2. Accumulation of intracellular lipofuscin and extracellular lipid-protein deposits (drusen) in Bruch's membrane.
3. Uncontrolled alternative complement pathway activation and local macrophage infiltration initiate chronic parainflammation.
4. Sustained oxidative and inflammatory injury drives progressive apoptosis of RPE cells and adjacent overlying photoreceptor rods and cones (geographic atrophy).
5. In wet AMD, elevated vascular endothelial growth factor (VEGF) induces aberrant choroidal neovascularization with subretinal leakage and scarring.</t>
  </si>
  <si>
    <t>Autoimmune hemolytic anemia mixed type</t>
  </si>
  <si>
    <t>718716008</t>
  </si>
  <si>
    <t>Autoimmune hepatitis</t>
  </si>
  <si>
    <t>408335007</t>
  </si>
  <si>
    <t>• Central scotoma / dark blurry patch in central field of vision (80–90%)
• Impaired color vision and contrast sensitivity (70–80%)
• Metamorphopsia / distortion of straight lines (60–75%)</t>
  </si>
  <si>
    <t>Autoimmune hepatitis type 1</t>
  </si>
  <si>
    <t>1.0 cases per 12 to 15</t>
  </si>
  <si>
    <t>721711009</t>
  </si>
  <si>
    <t>Most cases of AMD are not autoimmune</t>
  </si>
  <si>
    <t>Autoimmune hepatitis type 2</t>
  </si>
  <si>
    <t>721712002</t>
  </si>
  <si>
    <t>Autoimmune hepatitis type 3</t>
  </si>
  <si>
    <t>721713007</t>
  </si>
  <si>
    <t>• Chlamydia pneumoniae
• Cytomegalovirus (CMV)</t>
  </si>
  <si>
    <t>• Cigarette smoking
• High dietary fat / low antioxidant intake
• Chronic sunlight / UV light exposure</t>
  </si>
  <si>
    <t>Chronic autoimmune hepatitis</t>
  </si>
  <si>
    <t>• Rheumatoid arthritis
• Systemic lupus erythematosus</t>
  </si>
  <si>
    <t>• North America and Western Europe (elderly populations)</t>
  </si>
  <si>
    <t>16098491000119109</t>
  </si>
  <si>
    <t>• Anti-VEGF intravitreal injections (wet AMD)
• AREDS2 antioxidant vitamin supplements
• Complement inhibitors (pegcetacoplan, avacincaptad pegol)</t>
  </si>
  <si>
    <t>Autoimmune lymphoproliferative syndrome</t>
  </si>
  <si>
    <t>Alopecia Totalis
Alopecia areata
Alopecia Universalis</t>
  </si>
  <si>
    <t>Canale-Smith syndrome</t>
  </si>
  <si>
    <t>Alopecia areata is a type of hair loss that occurs when your immune system mistakenly attacks hair follicles, which is where hair growth begins. The damage to the follicle is usually not permanent. Experts do not know why the immune system attacks the follicles.</t>
  </si>
  <si>
    <t>Non-scarring hair loss disorder mediated by the collapse of hair follicle immune privilege, driven by an inflammatory peribulbar infiltrate of autoreactive CD4+ and CD8+ T cells, NK cells, and Th1 cytokines targeting anagen hair follicles. Chapter 66, pp. 970–982.</t>
  </si>
  <si>
    <t>Trichohyalin
Hair follicle antigens</t>
  </si>
  <si>
    <t>Autoimmune neutropenia</t>
  </si>
  <si>
    <t>Anagen hair follicle keratinocytes (80%)
Dermal papilla cells (15%)
Follicular melanocytes (5%)</t>
  </si>
  <si>
    <t>antibodies to tyrosine hydroxylases</t>
  </si>
  <si>
    <t>• Autoreactive CD8+ NKG2D+ cytotoxic T cells
• Autoreactive CD4+ T helper cells</t>
  </si>
  <si>
    <t>Primary autoimmune neutropenia</t>
  </si>
  <si>
    <t>1. Environmental stressors and genetic risk variants collapse the physiological immune privilege of anagen hair follicles.
2. Upregulation of MHC Class I (HLA-A/B/C) and MICA/ULBP3 molecules on the follicular epithelium.
3. Autoreactive CD8+ NKG2D+ cytotoxic T cells and CD4+ Th1 cells recognize hair follicle melanocyte/keratinocyte autoantigens (trichohyalin).
4. Dense peribulbar lymphocytic infiltration ("swarm of bees") and massive production of IFN-γ and IL-15 induce premature transition from anagen into catagen/telogen phase.
5. Follicular dystrophy, structural shaft weakening, and hair detachment cause patchy to universal non-scarring alopecia.</t>
  </si>
  <si>
    <t>Autoimmune neutropenia of infancy</t>
  </si>
  <si>
    <t>234425008.1</t>
  </si>
  <si>
    <t>Autoimmune oophoritis</t>
  </si>
  <si>
    <t>Premature ovarian failure due to autoimmune oophoritis</t>
  </si>
  <si>
    <t>Autoimmune pancreatitis</t>
  </si>
  <si>
    <t>• Smooth, sharply circumscribed round/oval patches of non-scarring alopecia (90–95%)
• Exclamation-point hairs at active borders (30–40%)
• Trachyonychia / geometric fingernail pitting (10–30%)</t>
  </si>
  <si>
    <t>448542008</t>
  </si>
  <si>
    <t>1.0 cases per 500</t>
  </si>
  <si>
    <t>1.0 cases per 476</t>
  </si>
  <si>
    <t>Lymphoplasmocytic sclerosing pancreatitis</t>
  </si>
  <si>
    <t>• Cytomegalovirus (CMV)
• Hepatitis C virus
• EBV</t>
  </si>
  <si>
    <t>Nonalcoholic destructive pancreatitis</t>
  </si>
  <si>
    <t>• Emotional or physical stress
• Febrile viral infections
• Local skin trauma (Koebner phenomenon)</t>
  </si>
  <si>
    <t>• Hashimoto's thyroiditis
• Vitiligo
• Type 1 diabetes
• Psoriasis</t>
  </si>
  <si>
    <t>• Worldwide (equally distributed, ~2% lifetime risk)</t>
  </si>
  <si>
    <t>Tumefactive pancreatitis</t>
  </si>
  <si>
    <t>• Intralesional or topical corticosteroids
• JAK inhibitors (baricitinib, ritlecitinib)
• Topical minoxidil / immunotherapy (DPCP)</t>
  </si>
  <si>
    <t>Angiofollicular lymph node hyperplasia
Castleman Disease
Castleman's disease</t>
  </si>
  <si>
    <t>Autoimmune pancreatitis type 1</t>
  </si>
  <si>
    <t>Castleman disease (CD) is a group of rare disorders that involve enlarged lymph nodes due to an unexplained activation of the immune system that leads to a hyper-inflammatory state, causing damage to multiple organs. Based on the number of regions in the body that have enlarged lymph nodes, CD can be classified as unicentric or multicentric. This difference is important because unicentric CD and multicentric CD require different treatments. There are four main types of CD:
Unicentric Castleman disease (UCD)
POEMS-associated multicentric Castleman disease (POEMS-MCD)
HHV-8-associated multicentric Castleman disease (HHV-8+MCD)
HHV-8-negative/idiopathic multicentric Castleman disease (iMCD)</t>
  </si>
  <si>
    <t>Angiofollicular lymph node hyperplasia (Castleman disease) is a nonmalignant lymphoproliferative disorder driven by excessive production of interleukin-6 (IL-6), presenting with localized or systemic lymphadenopathy and systemic inflammation. Chapter 50, pp. 698–705.</t>
  </si>
  <si>
    <t>Autoimmune pancreatitis type 2</t>
  </si>
  <si>
    <t>Follicular dendritic cells (40%)
Endothelial cells (30%)
Plasma cells / B lymphocytes (30%)</t>
  </si>
  <si>
    <t>1. Idiopathic triggers, somatic mutations, or HHV-8 viral infection stimulate lymph node stromal cells and follicular dendritic cells.
2. Massive, dysregulated secretion of interleukin-6 (IL-6) into the local microenvironment and systemic circulation.
3. IL-6 promotes hyperplastic germinal center proliferation, follicular dendritic cell hyperplasia, and robust endothelial vascular proliferation.
4. Downstream induction of hepatic acute-phase reactants (CRP, fibrinogen) and polyclonal hypergammaglobulinemia.
5. Systemic inflammatory cascade drives constitutional symptoms, marked lymphadenopathy, hepatosplenomegaly, anasarca, and cytopenias.</t>
  </si>
  <si>
    <t>Autoimmune progesterone dermatitis</t>
  </si>
  <si>
    <t>APD</t>
  </si>
  <si>
    <t>Autoimmune retinopathy</t>
  </si>
  <si>
    <t>Birdshot chorioretinopathy</t>
  </si>
  <si>
    <t>• Persistent painless peripheral or mediastinal lymphadenopathy (90–100%)
• Systemic B-symptoms: fevers, night sweats, weight loss (60–75%)
• Hepatosplenomegaly (30–50%)
• Peripheral edema, ascites, or anasarca (30–40%)</t>
  </si>
  <si>
    <t>Birdshot retinopathy</t>
  </si>
  <si>
    <t>1.0 cases per 50,000 to 100,000</t>
  </si>
  <si>
    <t>231981005.1</t>
  </si>
  <si>
    <t>1.0 cases per 75,188 to 270,270</t>
  </si>
  <si>
    <t>Birdshot chorioretinitis</t>
  </si>
  <si>
    <t>• Human herpesvirus 8 (HHV-8) in multicentric form
• EBV (in selected subtypes)</t>
  </si>
  <si>
    <t>• Viral coinfections (HIV)
• Chronic immune activation</t>
  </si>
  <si>
    <t>231981005.2</t>
  </si>
  <si>
    <t>• Sjogren's syndrome
• Systemic lupus erythematosus
• Autoimmune hemolytic anemia</t>
  </si>
  <si>
    <t>Autoimmune thyroiditis</t>
  </si>
  <si>
    <t>• Worldwide (HHV-8-negative Castleman has uniform distribution)</t>
  </si>
  <si>
    <t>Hashimoto thyroiditis</t>
  </si>
  <si>
    <t>• Surgical resection (unicentric)
• Anti-IL-6 antibody (siltuximab, tocilizumab)
• Rituximab / chemotherapy (multicentric)</t>
  </si>
  <si>
    <t>Ankylosing spondylitis
Axial spondyloarthritis
Spondyloarthritis</t>
  </si>
  <si>
    <t>Hashimoto's disease</t>
  </si>
  <si>
    <t>Ord's thyroiditis</t>
  </si>
  <si>
    <t>Ankylosing spondylitis, a form of arthritis, triggers inflammation in the spine's joints and ligaments, potentially extending to peripheral joints such as knees, ankles, and hips. Typically, these spinal joints and ligaments facilitate movement and flexibility. However, in ankylosing spondylitis, inflammation can induce stiffness. In severe instances, this inflammation may prompt the vertebrae to fuse together, resulting in a rigid and immobile spine. Although there's no cure, various treatments can manage symptoms effectively. These may encompass exercises, physical or occupational therapy to enhance mobility and posture, and medications to alleviate pain, reduce inflammation, improve posture, and slow disease progression. With appropriate treatment, individuals with ankylosing spondylitis can lead fulfilling lives.</t>
  </si>
  <si>
    <t>21983002.2</t>
  </si>
  <si>
    <t>Chronic inflammatory spondyloarthritis affecting the sacroiliac joints and axial skeleton, strongly linked to HLA-B*27, driven by IL-23/IL-17 pathway activation, entheseal inflammation, and osteoproliferative bony ankylosis. Chapter 63, pp. 925–938.</t>
  </si>
  <si>
    <t>Musculoskeletal</t>
  </si>
  <si>
    <t>66944004</t>
  </si>
  <si>
    <t>Entheseal fibrocartilage chondrocytes (50%)
Osteoblasts / osteocytes (30%)
Synoviocytes (20%)</t>
  </si>
  <si>
    <t>C</t>
  </si>
  <si>
    <t>• Autoreactive CD8+ T cells (HLA-B27-restricted)
• Autoreactive CD4+ Th17 cells
• Autoreactive γδ T cells</t>
  </si>
  <si>
    <t>1. Genetic predisposition via HLA-B*27 misfolding, endoplasmic reticulum stress, or microbial gut dysbiosis triggers IL-23 release by myeloid cells.
2. Activation and expansion of IL-23R-bearing cells (Th17, γδ T cells, ILC3s) in the circulation and bone-tendon interfaces.
3. Infiltration of entheses and sacroiliac joints, followed by massive secretion of IL-17A, IL-22, and TNF-α.
4. Local inflammation drives osteoclast-mediated subchondral bone erosion and enthesitis.
5. IL-22 and Wnt pathway signaling subsequently drive aberrant osteoblast activation, chondrogenesis, syndesmophyte growth, and progressive spinal fusion (ankylosis).</t>
  </si>
  <si>
    <t>Chronic lymphocytic thyroiditis</t>
  </si>
  <si>
    <t>Hashimoto's thyroiditis</t>
  </si>
  <si>
    <t>21983002.3</t>
  </si>
  <si>
    <t>Autoimmune urticaria</t>
  </si>
  <si>
    <t>Chronic idiopathic urticaria</t>
  </si>
  <si>
    <t>Chronic urticaria</t>
  </si>
  <si>
    <t>Physical urticaria</t>
  </si>
  <si>
    <t>Autoimmune urticaria and/or angioedema</t>
  </si>
  <si>
    <t>• Inflammatory lower back pain improving with exercise and worse with rest (85–95%)
• Morning stiffness &gt;30 minutes (80–90%)
• Reduced lumbar spinal flexion / chest expansion (70–80%)
• Peripheral enthesitis (Achilles tendon, plantar fascia) (35–50%)
• Acute anterior uveitis (25–35%)</t>
  </si>
  <si>
    <t>1.0 cases per 400 to 1,000</t>
  </si>
  <si>
    <t>Autoimmune vasculitis</t>
  </si>
  <si>
    <t>1.0 cases per 385</t>
  </si>
  <si>
    <t>Balo concentric sclerosis</t>
  </si>
  <si>
    <t>• Klebsiella pneumoniae (nitrogenase/HLA-B27 homology)
• Enterobacteriaceae</t>
  </si>
  <si>
    <t>Concentric sclerosis</t>
  </si>
  <si>
    <t>• Gastrointestinal dysbiosis
• Mechanical strain / microdamage at entheses
• Smoking</t>
  </si>
  <si>
    <t>• Crohn's disease / Ulcerative colitis
• Psoriasis
• Acute anterior uveitis</t>
  </si>
  <si>
    <t>Encephalitis periaxialis concentrica</t>
  </si>
  <si>
    <t>• Northern Europe, Arctic/Inuit populations (high HLA-B27 frequency)</t>
  </si>
  <si>
    <t>• NSAIDs (first-line)
• TNF inhibitors (adalimumab, etanercept, infliximab)
• IL-17 inhibitors (secukinumab, ixekizumab)
• JAK inhibitors</t>
  </si>
  <si>
    <t>Leukoencephalitis periaxialis concentric</t>
  </si>
  <si>
    <t>Anti-AMPAR encephalitis</t>
  </si>
  <si>
    <t>Tumefactive multiple sclerosis</t>
  </si>
  <si>
    <t>Anti-AMPAR encephalitis; AMPAR antibody encephalitis; AMPA receptor antibody encephalitis; anti-alpha-amino-3-hydroxy-5-methyl-4-isoxazolepropionic acid receptor encephalitis; anti-GluA1 encephalitis; anti-GluA2 encephalitis; anti-GluR1/GluR2 encephalitis; AMPAR antibody-associated autoimmune encephalitis; AMPA receptor limbic encephalitis; autoimmune encephalitis with AMPAR antibodies</t>
  </si>
  <si>
    <t>Behçet's syndrome</t>
  </si>
  <si>
    <t>Anti-AMPAR encephalitis is a rare autoimmune disorder of the central nervous system in which autoantibodies attack the GluA1 or GluA2 subunits of AMPA glutamate receptors in the brain. This disrupts synaptic signaling, leading to limbic encephalitis characterized by rapid memory loss, confusion, behavioral changes, and seizures. A significant number of cases occur as a paraneoplastic syndrome associated with underlying tumors, and patients typically benefit from early immunomodulatory treatment.</t>
  </si>
  <si>
    <t>Autoimmune encephalitis mediated by autoantibodies against the GluA1/GluA2 subunits of the synaptic AMPA receptor, presenting with prominent limbic encephalitis symptoms, memory deficits, and seizures. Chapter 58, pp. 848–856.</t>
  </si>
  <si>
    <t>Behcet's syndrome</t>
  </si>
  <si>
    <t>H</t>
  </si>
  <si>
    <t>GluA1
GluA2</t>
  </si>
  <si>
    <t>Hippocampal / cortical pyramidal neurons (85%)
Synaptic interneurons (15%)</t>
  </si>
  <si>
    <t>• Anti-GluA1 autoantibodies
• Anti-GluA2 autoantibodies</t>
  </si>
  <si>
    <t>Behçet's disease</t>
  </si>
  <si>
    <t>• Autoreactive B cells / plasma cells (anti-GluA1/GluA2)
• Autoreactive CD4+ T helper cells</t>
  </si>
  <si>
    <t>1. Paraneoplastic expression by underlying tumors (small cell lung cancer, thymoma, breast) or unknown trigger initiates an autoimmune response.
2. Autoreactive B cells generate IgG autoantibodies targeting the extracellular domains of GluA1 or GluA2 subunits of synaptic AMPA receptors.
3. Autoantibodies cross into the CNS parenchyma or are produced intrathecally, binding synaptic AMPA receptors.
4. Antibody binding induces cross-linking, rapid internalization, and degradation of surface AMPA receptors without complement-mediated lysis.
5. Severe reduction in synaptic AMPA receptor density disrupts glutamatergic neurotransmission in limbic circuits, causing confusion, memory deficits, psychosis, and seizures.</t>
  </si>
  <si>
    <t>Morbus Adamandiades-Behçet</t>
  </si>
  <si>
    <t>Hughes Stovin syndrome</t>
  </si>
  <si>
    <t>Hughes-Stovin syndrome</t>
  </si>
  <si>
    <t>Benign mucous membrane pemphigoid</t>
  </si>
  <si>
    <t>• Acute/subacute limbic amnesia and confusion (85–95%)
• Marked psychiatric and behavioral changes (agitation, psychosis) (65–80%)
• Epileptic seizures (50–60%)</t>
  </si>
  <si>
    <t>Cicatricial pemphigoid</t>
  </si>
  <si>
    <t>1.0 cases per 10,000,000
Extremely rare</t>
  </si>
  <si>
    <t>Mucous membrane pemphigoid</t>
  </si>
  <si>
    <t>1.0 cases per 10,000,000 (Extremely rare)</t>
  </si>
  <si>
    <t>Ocular pemphigoid</t>
  </si>
  <si>
    <t>Scarring pemphigoid</t>
  </si>
  <si>
    <t>• Paraneoplastic (small cell lung cancer, thymoma)
• Rare viral triggers</t>
  </si>
  <si>
    <t>Ocular cicatricial pemphigoid</t>
  </si>
  <si>
    <t>• Occult tumor expression
• Paraneoplastic neuro-immune stimulation</t>
  </si>
  <si>
    <t>• Myasthenia gravis
• Autoimmune thyroiditis</t>
  </si>
  <si>
    <t>Bullous pemphigoid</t>
  </si>
  <si>
    <t>• Worldwide (extremely rare)</t>
  </si>
  <si>
    <t>• First-line IV corticosteroids / IVIG / PLEX
• Second-line rituximab / cyclophosphamide
• Treatment of underlying malignancy</t>
  </si>
  <si>
    <t xml:space="preserve">Anti-CASPR2 autoimmune encephalitis </t>
  </si>
  <si>
    <t>Anti-CASPR2 encephalitis; CASPR2 antibody encephalitis; contactin-associated protein-like 2 antibody encephalitis; CASPR2-antibody associated autoimmune encephalitis; Morvan syndrome; Morvan's syndrome; Morvan fibrillary chorea; Isaacs syndrome with CASPR2 antibodies; peripheral nerve hyperexcitability with CASPR2 antibodies; limbic encephalitis with CASPR2 antibodies; VGKC-complex antibody-associated encephalitis (historical)</t>
  </si>
  <si>
    <t>Cataplexy and narcolepsy</t>
  </si>
  <si>
    <t>Anti-CASPR2 encephalitis is an autoimmune neurological condition where autoantibodies target contactin-associated protein-like 2, an essential cell adhesion molecule on nerve cell membranes. The immune attack causes hyperactive peripheral nerves and central nervous system dysfunction, leading to memory impairment, insomnia, neuropathic pain, muscle twitching, and Morvan syndrome. Treatment focuses on immunotherapy and tumor screening to address potential paraneoplastic triggers.</t>
  </si>
  <si>
    <t>Autoimmune encephalopathy caused by autoantibodies directed against contactin-associated protein-like 2 (CASPR2), a voltage-gated potassium channel complex-associated antigen, causing limbic encephalitis, peripheral nerve hyperexcitability, and Morvan syndrome. Chapter 58, pp. 850–858.</t>
  </si>
  <si>
    <t>Narcolepsy type 1</t>
  </si>
  <si>
    <t>Contactin-associated protein-like 2 (CASPR2)</t>
  </si>
  <si>
    <t>Central limbic neurons (55%)
Peripheral juxtaparanodal axons / motor nerve terminals (45%)</t>
  </si>
  <si>
    <t>• Anti-CASPR2 autoantibodies</t>
  </si>
  <si>
    <t>735676003</t>
  </si>
  <si>
    <t>• Autoreactive B cells / plasma cells (anti-CASPR2)
• Autoreactive CD4+ T helper cells</t>
  </si>
  <si>
    <t>1. Primary autoimmune trigger or occult thymoma induces loss of tolerance to contactin-associated protein-like 2 (CASPR2).
2. Production of pathogenic IgG4 (and IgG1) autoantibodies directed against CASPR2.
3. CASPR2 autoantibodies bind the juxtaparanodal regions of myelinated peripheral axons and synaptic terminals of central limbic circuits.
4. Disruption of the CASPR2-contactin-1 macromolecular complex displaces voltage-gated potassium channels (Kv1.1/Kv1.2).
5. Impaired potassium conductance results in axonal hyperexcitability, causing peripheral nerve hyperexcitability (neuromyotonia, fasciculations) and central limbic encephalopathy (amnesia, insomnia, Morvan syndrome).</t>
  </si>
  <si>
    <t>Celiac disease</t>
  </si>
  <si>
    <t>Adult form of celiac disease</t>
  </si>
  <si>
    <t>Celiac sprue</t>
  </si>
  <si>
    <t>Coeliac disease</t>
  </si>
  <si>
    <t>Gluten-induced enteropathy</t>
  </si>
  <si>
    <t>Gluten-sensitive enteropathy</t>
  </si>
  <si>
    <t>• Severe neuropathic pain (60–70%)
• Peripheral nerve hyperexcitability (myokymia, fasciculations, muscle cramps) (50–60%)
• Limbic encephalitis with cognitive decline (40–50%)
• Severe agrypnia / intractable insomnia (Morvan syndrome) (30–40%)</t>
  </si>
  <si>
    <t>Nontropical sprue</t>
  </si>
  <si>
    <t>1.0 cases per 5,000,000 to 10,000,000</t>
  </si>
  <si>
    <t>Chronic Fatigue Syndrome</t>
  </si>
  <si>
    <t>Myalgic encephalomyelitis</t>
  </si>
  <si>
    <t>• Paraneoplastic / tumor-induced (thymoma)
• Viral prodromes</t>
  </si>
  <si>
    <t>• Underlying occult neoplasm
• Exposure to cellular stressors</t>
  </si>
  <si>
    <t>• Myasthenia gravis
• Hashimoto's thyroiditis</t>
  </si>
  <si>
    <t>• Worldwide (predominantly older males)</t>
  </si>
  <si>
    <t>Systemic exertion intolerance disease</t>
  </si>
  <si>
    <t>• High-dose corticosteroids
• IVIG and plasmapheresis
• Rituximab / antiepileptic therapy</t>
  </si>
  <si>
    <t xml:space="preserve">Anti-DPX encephalitis </t>
  </si>
  <si>
    <t>Anti-DPPX encephalitis; DPPX antibody encephalitis; DPPX antibody-associated encephalitis; anti-dipeptidyl-peptidase-like protein-6 encephalitis; anti-DPP6 encephalitis; DPP6 antibody encephalitis; DPPX antibody-associated CNS hyperexcitability; DPPX antibody syndrome; autoimmune encephalitis with DPPX antibodies</t>
  </si>
  <si>
    <t>Chronic inflammatory demyelinating polyradiculoneuropathy</t>
  </si>
  <si>
    <t>Anti-DPPX encephalitis is an autoimmune encephalopathy caused by autoantibodies directed against dipeptidyl-peptidase-like protein-6, an auxiliary subunit of neuronal potassium channels. Patients experience central nervous system hyperexcitability, prominent cognitive difficulties, tremors, hallucinations, and severe gastrointestinal symptoms such as diarrhea and profound weight loss. Early identification and prompt immunosuppressive therapy can lead to substantial clinical recovery.</t>
  </si>
  <si>
    <t>Autoimmune encephalitis associated with autoantibodies against dipeptidyl peptidase-like protein-6 (DPPX), an auxiliary subunit of Kv4.2 potassium channels, marked by CNS hyperexcitability, cognitive disturbances, tremor, and prominent gastrointestinal symptoms. Chapter 58, pp. 852–860.</t>
  </si>
  <si>
    <t>Dipeptidyl-peptidase-like protein-6 (DPPX)</t>
  </si>
  <si>
    <t>Enteric plexus neurons (50%)
Hippocampal / cerebellar neurons (50%)</t>
  </si>
  <si>
    <t>• Anti-DPPX autoantibodies</t>
  </si>
  <si>
    <t>Chronic inflammatory demyelinating polyneuritis</t>
  </si>
  <si>
    <t>• Autoreactive B cells / plasma cells (anti-DPPX)
• Autoreactive CD4+ T helper cells</t>
  </si>
  <si>
    <t>1. Idiopathic autoimmune breakdown or neoplastic trigger leads to the generation of autoantibodies against dipeptidyl peptidase-like protein-6 (DPPX).
2. Plasmablasts synthesize pathogenic IgG autoantibodies targeting DPPX, a regulatory subunit of neuronal Kv4.2 potassium channels.
3. Autoantibodies penetrate the blood-brain barrier and enteric nervous system, binding DPPX on neuronal membranes.
4. Functional downmodulation and internalisation of DPPX and Kv4.2 channels attenuate transient A-type potassium currents.
5. Loss of neuronal repolarization causes widespread central and enteric nervous system hyperexcitability, manifesting as severe gastrointestinal motility disorders (diarrhea, weight loss), myoclonus, tremor, and cognitive dysfunction.</t>
  </si>
  <si>
    <t>Chronic inflammatory demyelinating polyneuropathy</t>
  </si>
  <si>
    <t>Chronic relapsing polyneuropathy</t>
  </si>
  <si>
    <t>Chronic inflammatory demyelinating polyradiculoneuropathy with central nervous system demyelination</t>
  </si>
  <si>
    <t>230564004</t>
  </si>
  <si>
    <t>Chronic interstitial cystitis</t>
  </si>
  <si>
    <t>• Prodromal severe diarrhea and weight loss (80–90%)
• CNS hyperexcitability: hyperekplexia (exaggerated startle), myoclonus, tremor (70–80%)
• Progressive cognitive impairment and amnesia (60–70%)</t>
  </si>
  <si>
    <t>IC</t>
  </si>
  <si>
    <t>PBS</t>
  </si>
  <si>
    <t>Bladder pain syndrome</t>
  </si>
  <si>
    <t>• Viral prodromes (unspecified)
• B-cell expansion triggers</t>
  </si>
  <si>
    <t>Painful bladder syndrome</t>
  </si>
  <si>
    <t>• Systemic viral infections
• Immune stimulation</t>
  </si>
  <si>
    <t>• Type 1 diabetes
• Autoimmune thyroid disease</t>
  </si>
  <si>
    <t>• Corticosteroids
• IVIG and plasma exchange
• Rituximab</t>
  </si>
  <si>
    <t>Chronic Lyme disease</t>
  </si>
  <si>
    <t xml:space="preserve">Anti-GABA A encephalitis </t>
  </si>
  <si>
    <t>Lyme disease</t>
  </si>
  <si>
    <t>Anti-GABA-A receptor encephalitis; anti-GABAA receptor encephalitis; GABAA receptor antibody encephalitis; anti-gamma-aminobutyric acid A receptor encephalitis; GABA_A receptor encephalitis; GABAAR antibody-associated autoimmune encephalitis; anti-GABAA-R encephalitis; autoimmune encephalitis with anti-GABAA receptor antibodies</t>
  </si>
  <si>
    <t>Anti-GABA A receptor encephalitis is a severe autoimmune disorder affecting the central nervous system, caused by autoantibodies targeting GABA_A receptors that mediate inhibitory synaptic transmission. The reduction of inhibitory signals triggers severe, often drug-resistant status epilepticus, confusion, and cognitive impairment. Diagnosis is established by antibody detection and MRI neuroimaging, and therapy relies on aggressive immunotherapy alongside seizure management.</t>
  </si>
  <si>
    <t>Severe autoimmune encephalitis mediated by autoantibodies directed against GABA_A receptors, typically characterized by prominent early refractory status epilepticus, cognitive dysfunction, and multifocal cortical-subcortical MRI lesions. Chapter 58, pp. 851–859.</t>
  </si>
  <si>
    <t>GABA_A receptor</t>
  </si>
  <si>
    <t>Cortical / limbic inhibitory interneurons (70%)
Pyramidal projection neurons (30%)</t>
  </si>
  <si>
    <t>• Anti-GABA_A receptor autoantibodies</t>
  </si>
  <si>
    <t>• Autoreactive B cells / plasma cells (anti-GABA_A receptor)
• Autoreactive CD4+ T helper cells</t>
  </si>
  <si>
    <t>33937009</t>
  </si>
  <si>
    <t>1. Triggering viral encephalitis or paraneoplastic tumor stimulates immune response against GABA_A receptor subunits.
2. Synthesis of high-titer autoantibodies targeting the extracellular domains of the GABA_A receptor (predominantly α1, β3, or γ2).
3. Intrathecal and systemic autoantibodies bind synaptic and extrasynaptic GABA_A receptors on cortical and hippocampal neurons.
4. Autoantibody cross-linking promotes receptor downregulation, selective internalization, and marked decrease in GABAergic inhibitory currents.
5. Severe reduction in GABAergic inhibition induces cortical hyperexcitability, leading to refractory status epilepticus, cognitive dysfunction, and extensive cortical MRI hyperintensities.</t>
  </si>
  <si>
    <t>Erythema Migrans with Polyarthritis</t>
  </si>
  <si>
    <t>Lyme Arthritis</t>
  </si>
  <si>
    <t>Lyme Borreliosis</t>
  </si>
  <si>
    <t>• Refractory status epilepticus / frequent multifocal seizures (85–95%)
• Rapid cognitive and behavioral decline (60–70%)
• Movement disorders (chorea, catatonia, opsoclonus) (30–40%)</t>
  </si>
  <si>
    <t>• Viral upper respiratory infections
• HSV, VZV (post-infectious)</t>
  </si>
  <si>
    <t>• Febrile viral illness
• Immune reactivation</t>
  </si>
  <si>
    <t>• Autoimmune thyroiditis
• Systemic lupus erythematosus</t>
  </si>
  <si>
    <t>• Worldwide (very rare)</t>
  </si>
  <si>
    <t>• High-dose corticosteroids
• IVIG / PLEX
• Rituximab</t>
  </si>
  <si>
    <t xml:space="preserve">Anti-GABA B encephalitis </t>
  </si>
  <si>
    <t>Chronic multifocal osteomyelitis</t>
  </si>
  <si>
    <t>Anti-GABA-B receptor encephalitis; anti-GABAB receptor encephalitis; GABAB receptor antibody encephalitis; anti-gamma-aminobutyric acid B receptor encephalitis; GABA_B receptor encephalitis; GABABR limbic encephalitis; anti-GABAB-R encephalitis; paraneoplastic anti-GABAB receptor encephalitis; autoimmune encephalitis with anti-GABAB receptor antibodies</t>
  </si>
  <si>
    <t>Anti-GABA B receptor encephalitis is an autoimmune limbic encephalitis caused by autoantibodies directed against inhibitory GABA_B receptors in the brain. Patients typically present with prominent temporal lobe seizures, acute memory deficits, and psychiatric changes. The condition is frequently paraneoplastic, strongly associated with small cell lung cancer, and management involves targeted oncological treatment and immunomodulatory therapy.</t>
  </si>
  <si>
    <t>Autoimmune limbic encephalitis mediated by autoantibodies targeting GABA_B receptors, presenting with refractory temporal lobe seizures, memory loss, and confusion, frequently occurring as a paraneoplastic manifestation of small cell lung cancer. Chapter 58, pp. 849–857.</t>
  </si>
  <si>
    <t>GABA_B receptor</t>
  </si>
  <si>
    <t>Hippocampal limbic neurons (80%)
Thalamic / cerebellar neurons (20%)</t>
  </si>
  <si>
    <t>• Anti-GABA_B receptor autoantibodies</t>
  </si>
  <si>
    <t>• Autoreactive B cells / plasma cells (anti-GABA_B receptor)
• Autoreactive CD4+ T helper cells</t>
  </si>
  <si>
    <t>1. Underlying malignancy (frequently small cell lung carcinoma expressing neuroendocrine antigens) or idiopathic trigger activates GABA_B receptor-specific T and B cells.
2. Generation of pathogenic autoantibodies targeting the extracellular domain of the GABA_B1 subunit of metabotropic GABA_B receptors.
3. Autoantibodies bind GABA_B receptors on limbic, hippocampal, and thalamocortical inhibitory synapses.
4. Receptor binding antagonizes slow inhibitory postsynaptic potentials and interferes with presynaptic neurotransmitter release modulation.
5. Unchecked excitatory glutamatergic signaling in limbic structures causes early and intractable temporal lobe seizures, memory loss, and behavioral abnormalities.</t>
  </si>
  <si>
    <t>Chronic post-COVID-19 syndrome</t>
  </si>
  <si>
    <t>1119304009</t>
  </si>
  <si>
    <t>COVID Long-Hauler</t>
  </si>
  <si>
    <t>Long COVID</t>
  </si>
  <si>
    <t>Post-acute COVID-19</t>
  </si>
  <si>
    <t>Post-Acute Sequelae of COVID-19</t>
  </si>
  <si>
    <t>Cogan's syndrome</t>
  </si>
  <si>
    <t>Diffuse interstitial keratitis</t>
  </si>
  <si>
    <t>Cold agglutinin disease</t>
  </si>
  <si>
    <t>CAD</t>
  </si>
  <si>
    <t>Anemia, hemolytic cold antibody</t>
  </si>
  <si>
    <t>398937006</t>
  </si>
  <si>
    <t>Cold antibody disease</t>
  </si>
  <si>
    <t>Cold antibody hemolytic anemia</t>
  </si>
  <si>
    <t>Cold autoimmune hemolytic anemia</t>
  </si>
  <si>
    <t>Complex regional pain syndrome</t>
  </si>
  <si>
    <t>Amplified musculoskeletal pain syndrome</t>
  </si>
  <si>
    <t>Causalgia</t>
  </si>
  <si>
    <t>Complex regional pain syndrome type 2</t>
  </si>
  <si>
    <t>Complex regional pain syndrome type II</t>
  </si>
  <si>
    <t>Complex regional pain syndrome type 1</t>
  </si>
  <si>
    <t>Complex regional pain syndrome type I</t>
  </si>
  <si>
    <t>Reflex sympathetic dystrophy</t>
  </si>
  <si>
    <t>Crohn's disease</t>
  </si>
  <si>
    <t>Crohn's colitis</t>
  </si>
  <si>
    <t>Crohn's granulomatous</t>
  </si>
  <si>
    <t>Gastroduodenal Crohn's disease</t>
  </si>
  <si>
    <t>Ileocolitis</t>
  </si>
  <si>
    <t>Illeitis</t>
  </si>
  <si>
    <t>Jejunoileitis</t>
  </si>
  <si>
    <t>Cryptogenic organizing pneumonia</t>
  </si>
  <si>
    <t>Bronchiolitis obliterans with organizing pneumonia</t>
  </si>
  <si>
    <t>idiopathic interstitial pneumonia</t>
  </si>
  <si>
    <t>Interstitial pneumonia</t>
  </si>
  <si>
    <t>Cutaneous lupus erythematosus</t>
  </si>
  <si>
    <t>p</t>
  </si>
  <si>
    <t>Discoid lupus</t>
  </si>
  <si>
    <t>Discoid lupus erythematosus</t>
  </si>
  <si>
    <t>Lupus erythematosus tumidus</t>
  </si>
  <si>
    <t>Chronic discoid lupus erythematosus</t>
  </si>
  <si>
    <t>Subacute cutaneous lupus erythematosus</t>
  </si>
  <si>
    <t>Discoid lupus erythematosus of oral mucosa</t>
  </si>
  <si>
    <t>Cutaneous mastocytosis</t>
  </si>
  <si>
    <t>Dermatitis herpetiformis</t>
  </si>
  <si>
    <t>DH</t>
  </si>
  <si>
    <t>Duhring-Brocq disease</t>
  </si>
  <si>
    <t>Duhring's disease</t>
  </si>
  <si>
    <t>Gluten rash</t>
  </si>
  <si>
    <t>Dermatomyositis</t>
  </si>
  <si>
    <t>Juvenile dermatomyositis</t>
  </si>
  <si>
    <t>Diabetes mellitus type 1</t>
  </si>
  <si>
    <t>Insulin dependent Diabetes</t>
  </si>
  <si>
    <t>Juvenile diabetes</t>
  </si>
  <si>
    <t>Type 1 diabetes</t>
  </si>
  <si>
    <t>Type 1 diabetes mellitus</t>
  </si>
  <si>
    <t>Eaton-Lambert syndrome</t>
  </si>
  <si>
    <t>LEMS</t>
  </si>
  <si>
    <t>Lambert-Eaton myasthenic syndrome</t>
  </si>
  <si>
    <t>Lambert-Eaton syndrome</t>
  </si>
  <si>
    <t>Endometriosis</t>
  </si>
  <si>
    <t>Adenomyometritis</t>
  </si>
  <si>
    <t>Adenomyosis</t>
  </si>
  <si>
    <t>Adenomysis uteri</t>
  </si>
  <si>
    <t>Endometriosis Uterina</t>
  </si>
  <si>
    <t>Enthesitis</t>
  </si>
  <si>
    <t>Enthesitis-related arthritis</t>
  </si>
  <si>
    <t>Enthesitis-related juvenile arthritis</t>
  </si>
  <si>
    <t>Eosinophilic esophagitis</t>
  </si>
  <si>
    <t>Eosinophilic Esophagitis</t>
  </si>
  <si>
    <t>Eosinophilic Oesophagitis</t>
  </si>
  <si>
    <t>Epilepsy</t>
  </si>
  <si>
    <t>Episcleritis</t>
  </si>
  <si>
    <t>Erythema nodosum</t>
  </si>
  <si>
    <t>EN</t>
  </si>
  <si>
    <t>Erythema nodosum of unknown etiology</t>
  </si>
  <si>
    <t>Idiopathic erythema nodosum</t>
  </si>
  <si>
    <t>Essential mixed cryoglobulinemia</t>
  </si>
  <si>
    <t>Autoimmune cryoglobulinemia</t>
  </si>
  <si>
    <t>Cryoglobulinemic Vasculitis</t>
  </si>
  <si>
    <t>Evans syndrome</t>
  </si>
  <si>
    <t>Fasciitis with eosinophilia syndrome</t>
  </si>
  <si>
    <t>Eosinophilic fasciitis</t>
  </si>
  <si>
    <t>Pansclerotic morphea with deep fascial involvement</t>
  </si>
  <si>
    <t>Shulman syndrome</t>
  </si>
  <si>
    <t>Shulman's syndrome</t>
  </si>
  <si>
    <t>Felty syndrome</t>
  </si>
  <si>
    <t>FS</t>
  </si>
  <si>
    <t>Felty's syndrome</t>
  </si>
  <si>
    <t>Super rheumatoid disease</t>
  </si>
  <si>
    <t>Female infertility due to antisperm antibodies</t>
  </si>
  <si>
    <t>Infertility due to antisperm antibodies</t>
  </si>
  <si>
    <t>414238007</t>
  </si>
  <si>
    <t>Fibromyalgia</t>
  </si>
  <si>
    <t>Fibromyalgia Syndrome</t>
  </si>
  <si>
    <t>Graves' disease</t>
  </si>
  <si>
    <t>Thyrotoxicosis</t>
  </si>
  <si>
    <t>Thyrotoxicosis due to Graves' disease</t>
  </si>
  <si>
    <t>Autoimmune hyperthyroidism</t>
  </si>
  <si>
    <t>Basedow disease</t>
  </si>
  <si>
    <t>Exophthalmic goiter</t>
  </si>
  <si>
    <t>Graves' hyperthyroidism</t>
  </si>
  <si>
    <t>Parry disease</t>
  </si>
  <si>
    <t>Toxic diffuse goiter</t>
  </si>
  <si>
    <t>Guillain-Barré syndrome</t>
  </si>
  <si>
    <t>MFS</t>
  </si>
  <si>
    <t>Fisher syndrome</t>
  </si>
  <si>
    <t>Miller-Fisher syndrome</t>
  </si>
  <si>
    <t>Miller Fisher syndrome</t>
  </si>
  <si>
    <t>Guillain-Barre Syndrome</t>
  </si>
  <si>
    <t>GBS</t>
  </si>
  <si>
    <t>Acute motor axonal neuropathy</t>
  </si>
  <si>
    <t>Axonal Guillain-Barré syndrome</t>
  </si>
  <si>
    <t>Progressive inflammatory neuropathy</t>
  </si>
  <si>
    <t>Herpes gestationis</t>
  </si>
  <si>
    <t>PG</t>
  </si>
  <si>
    <t>Gestational pemphigoid</t>
  </si>
  <si>
    <t>Pemphigoid gestationis</t>
  </si>
  <si>
    <t>Hidradenitis suppurativa</t>
  </si>
  <si>
    <t>• Early intractable limbic seizures and temporal lobe status (90–100%)
• Severe short-term memory loss / amnesia (80–90%)
• Behavioral changes, confusion, and psychosis (60–70%)</t>
  </si>
  <si>
    <t>Acne inversa</t>
  </si>
  <si>
    <t>Suppurative hidradenitis</t>
  </si>
  <si>
    <t>Hypersensitivity angiitis</t>
  </si>
  <si>
    <t>LCV</t>
  </si>
  <si>
    <t>Cutaneous Leukocytoclastic vasculitis</t>
  </si>
  <si>
    <t>• Paraneoplastic (small cell lung cancer)
• Post-viral triggers</t>
  </si>
  <si>
    <t>Hypersensitivity Vasculitis</t>
  </si>
  <si>
    <t>• Underlying thoracic neoplasms
• Smoking history</t>
  </si>
  <si>
    <t>• Autoimmune thyroiditis
• Paraneoplastic neuropathy</t>
  </si>
  <si>
    <t>• Worldwide (elderly males predominantly)</t>
  </si>
  <si>
    <t>Leucocytoclastic vasculitis</t>
  </si>
  <si>
    <t>• First-line steroids and IVIG
• Rituximab and cyclophosphamide
• Antiepileptic drugs and tumor resection</t>
  </si>
  <si>
    <t>Idiopathic pulmonary fibrosis</t>
  </si>
  <si>
    <t>Interstitial pulmonary fibrosis</t>
  </si>
  <si>
    <t>Goodpasture syndrome
Goodpasture disease
Anti-glomerular basement membrane nephritis
Anti-glomerular basement membrane tubulointerstitial nephritis
Anti-glomerular basement membrane disease
Anti-glomerular basement membrane disease
Anti-GBM disease
Goodpasture's disease
Goodpasture's syndrome</t>
  </si>
  <si>
    <t>IgA nephropathy</t>
  </si>
  <si>
    <t>Berger's Disease</t>
  </si>
  <si>
    <t>Anti-glomerular basement membrane disease (anti-GBM disease) is a rare condition characterized by rapidly deteriorating kidney function and lung tissues. It stems from an autoimmune reaction, where the body's immune system erroneously targets and destroys healthy tissues. Individuals afflicted with this ailment produce antibodies that assail a protein known as collagen within the lung's small air sacs and the kidney's glomeruli, which are its filtering units. These antibodies, termed anti-glomerular basement membrane antibodies, can inflict harm upon the basement membrane, leading to kidney impairment. Occasionally, the onset of this disorder is precipitated by a viral respiratory infection or exposure to hydrocarbon solvents. In such instances, the immune system may misinterpret organs or tissues as foreign agents, prompting an attack. Consequently, this flawed immune response results in lung air sac bleeding and inflammation within the kidney's filtering units.
Anti-glomerular basement membrane (anti-GBM) disease is a rare autoimmune illness that mainly affects the kidneys and sometimes the lungs. In this condition, the immune system mistakenly attacks a specific part of the body called the basement membrane, which helps keep the tiny blood vessels in the kidneys and lungs working properly.
People with anti-GBM disease make special proteins called antibodies that wrongly target this membrane, especially in the kidney’s filtering units (glomeruli) and the tiny air sacs in the lungs (alveoli). This can lead to serious kidney damage and, in some cases, bleeding in the lungs.
The disease often develops suddenly and can get worse quickly. Sometimes, it seems to be triggered by things like a bad cold, flu, or exposure to chemicals like gasoline fumes. Doctors treat it by trying to remove the harmful antibodies from the blood and by calming down the immune system.
In addition to "anti-GBM disease," the condition may be referred to as:
•	"Anti-GBM nephritis" when the disease is primarily or exclusively affecting the kidneys;
•	"Anti-GBM tubulointerstitial nephritis" when the immune attack also involves the kidney tubules and surrounding tissue, not just the glomeruli (a rare variant);
•	"Goodpasture syndrome" when both lung bleeding and kidney inflammation are present, regardless of whether anti-GBM antibodies have been detected—for example, in rare cases where the syndrome is clinically present but lab tests are negative.</t>
  </si>
  <si>
    <t>Immune thrombocytopenia</t>
  </si>
  <si>
    <t>2897005</t>
  </si>
  <si>
    <t>Severe rapidly progressive glomerulonephritis and alveolar hemorrhage caused by pathogenic IgG autoantibodies binding directly to the non-collagenous NC1 domain of the α3 chain of type IV collagen in glomerular and alveolar basement membranes. Chapter 54, pp. 755–768.</t>
  </si>
  <si>
    <t>4103532</t>
  </si>
  <si>
    <t>Kidney</t>
  </si>
  <si>
    <t>α3 chain of type IV collagen (α3(IV)NC1)</t>
  </si>
  <si>
    <t>Autoimmune thrombocytopenic purpura</t>
  </si>
  <si>
    <t>Glomerular capillary endothelial / podocyte basement membrane (75%)
Alveolar capillary endothelial basement membrane (25%)</t>
  </si>
  <si>
    <t>2897005.1</t>
  </si>
  <si>
    <t>collagen IV</t>
  </si>
  <si>
    <t>ATP</t>
  </si>
  <si>
    <t>• Autoreactive CD4+ T helper cells (α3(IV)NC1-specific)
• Autoreactive B cells / plasma cells (anti-α3(IV)NC1)
• Autoreactive CD8+ cytotoxic T cells</t>
  </si>
  <si>
    <t>13172003</t>
  </si>
  <si>
    <t>1. Environmental triggers (hydrocarbon exposure, smoking, viral infection) expose cryptic epitopes within the α3 chain non-collagenous 1 domain of type IV collagen [α3(IV)NC1].
2. Breakdown of tolerance in HLA-DRB1*15:01 individuals leads to high-affinity autoantibody synthesis (predominantly IgG1 and IgG3).
3. Circulating anti-GBM antibodies bind linearly to the α3(IV)NC1 hexamer in the glomerular and alveolar basement membranes.
4. Classical complement pathway activation and recruitment of neutrophils and monocytes via Fcγ receptors.
5. Lytic enzyme release and reactive oxygen species destroy capillary walls, causing crescentic necrotizing glomerulonephritis, rapidly progressive renal failure, and diffuse pulmonary alveolar hemorrhage.</t>
  </si>
  <si>
    <t>Chronic idiopathic thrombocytopenic purpura</t>
  </si>
  <si>
    <t>318397</t>
  </si>
  <si>
    <t>ITP</t>
  </si>
  <si>
    <t>Idiopathic thrombocytopenic purpura</t>
  </si>
  <si>
    <t>32273002</t>
  </si>
  <si>
    <t>4137430</t>
  </si>
  <si>
    <t>Primary immune thrombocytopenia</t>
  </si>
  <si>
    <t>128091003</t>
  </si>
  <si>
    <t>4028065</t>
  </si>
  <si>
    <t>Secondary autoimmune thrombocytopenia</t>
  </si>
  <si>
    <t>Autoimmune neonatal thrombocytopenia</t>
  </si>
  <si>
    <t>128092005.1</t>
  </si>
  <si>
    <t>Autoimmune thrombotic thrombocytopenic purpura</t>
  </si>
  <si>
    <t>438476003</t>
  </si>
  <si>
    <t>4230266</t>
  </si>
  <si>
    <t>Immunoglobulin A vasculitis</t>
  </si>
  <si>
    <t>• Rapidly progressive glomerulonephritis (hematuria, acute oliguric renal failure) (80–90%)
• Severe iron deficiency anemia and pallor (50–60%)
• Pulmonary hemorrhage (hemoptysis, dyspnea, alveolar infiltrates) (40–60%)</t>
  </si>
  <si>
    <t>1.0 cases per 1,000,000 to 2,000,000</t>
  </si>
  <si>
    <t>Henoch-Schönlein purpura</t>
  </si>
  <si>
    <t>191306005.1</t>
  </si>
  <si>
    <t>Anaphylactoid purpura</t>
  </si>
  <si>
    <t>Henoch-Schonlein purpura</t>
  </si>
  <si>
    <t>191306005.3</t>
  </si>
  <si>
    <t>• Influenza A
• Streptococcus pyogenes
• Hydrocarbon solvent exposure</t>
  </si>
  <si>
    <t>IgA vasculitis</t>
  </si>
  <si>
    <t>• Inhaled hydrocarbon solvents / organic solvents
• Cigarette smoking
• Upper respiratory viral infections</t>
  </si>
  <si>
    <t>Purpura rheumatica</t>
  </si>
  <si>
    <t>Immunoglobulin G4 related disease</t>
  </si>
  <si>
    <t>IgG4 deficiency</t>
  </si>
  <si>
    <t>IgG4-related sclerosing cholangitis</t>
  </si>
  <si>
    <t>Eosinophilic angiocentric fibrosis</t>
  </si>
  <si>
    <t>10743271000119103</t>
  </si>
  <si>
    <t>10743271000119103.1</t>
  </si>
  <si>
    <t>Hyper-IgG4 disease</t>
  </si>
  <si>
    <t>10743271000119103.2</t>
  </si>
  <si>
    <t>Idiopathic hypocomplementemic tubulointerstitial nephritis</t>
  </si>
  <si>
    <t>10743271000119103.3</t>
  </si>
  <si>
    <t>• Systemic lupus erythematosus
• ANCA-associated vasculitis</t>
  </si>
  <si>
    <t>Idiopathic retroperitoneal Fibrosis</t>
  </si>
  <si>
    <t>10743271000119103.4</t>
  </si>
  <si>
    <t>IgG4-related diseases</t>
  </si>
  <si>
    <t>10743271000119103.5</t>
  </si>
  <si>
    <t>IgG4-related retroperitoneal fibrosis</t>
  </si>
  <si>
    <t>10743271000119103.6</t>
  </si>
  <si>
    <t>• Worldwide (peak in Scandinavia, Western Europe; bimodal age)</t>
  </si>
  <si>
    <t>IgG4-related systemic disease</t>
  </si>
  <si>
    <t>10743271000119103.7</t>
  </si>
  <si>
    <t>• Plasmapheresis (plasma exchange)
• Pulse intravenous methylprednisolone + oral prednisone
• Cyclophosphamide
• Rituximab</t>
  </si>
  <si>
    <t>Anti-IgLON5 disease</t>
  </si>
  <si>
    <t>Inflammatory aortic aneurysm</t>
  </si>
  <si>
    <t>10743271000119103.8</t>
  </si>
  <si>
    <t>Anti-IgLON5 disease; IgLON5 antibody disease; anti-IgLON5 syndrome; IgLON5 parasomnia; anti-IgLON5 sleep disorder; IgLON5-related tauopathy; autoimmune encephalopathy with IgLON5 antibodies; anti-IgLON5 neurodegenerative disease; IgLON5 antibody-associated neurologic disease</t>
  </si>
  <si>
    <t>Inflammatory pseudotumor</t>
  </si>
  <si>
    <t>10743271000119103.9</t>
  </si>
  <si>
    <t>Anti-IgLON5 disease is a progressive neurodegenerative disorder driven by autoantibodies against the cell-adhesion molecule IgLON5, accompanied by abnormal tau protein accumulation in the brain. Clinical features include distinctive sleep abnormalities like parasomnias and sleep apnea, gait instability, movement disorders, and bulbar symptoms. Immunotherapy is most effective when administered early in the disease course.</t>
  </si>
  <si>
    <t>Küttner's tumor</t>
  </si>
  <si>
    <t>Autoimmune neurological syndrome characterized by autoantibodies against the cell-adhesion molecule IgLON5, with neuropathological tau deposition, prominent sleep disturbances (parasomnia, sleep apnea), gait instability, and bulbar dysfunction. Chapter 58, pp. 853–861.</t>
  </si>
  <si>
    <t>10743271000119103.10</t>
  </si>
  <si>
    <t>Mediastinal fibrosis</t>
  </si>
  <si>
    <t>10743271000119103.11</t>
  </si>
  <si>
    <t>IgLON5</t>
  </si>
  <si>
    <t>Brainstem and hypothalamic neurons (75%)
Hippocampal neurons (25%)</t>
  </si>
  <si>
    <t>Mikulicz's syndrome</t>
  </si>
  <si>
    <t>• Anti-IgLON5 autoantibodies</t>
  </si>
  <si>
    <t>10743271000119103.12</t>
  </si>
  <si>
    <t>• Autoreactive B cells / plasma cells (anti-IgLON5)
• Autoreactive CD4+ T helper cells</t>
  </si>
  <si>
    <t>Multifocal fibrosclerosis</t>
  </si>
  <si>
    <t>1. Strong genetic association with HLA-DRB1*10:01 and HLA-DQB1*05:01 initiates an immune response against neuronal cell-adhesion molecule IgLON5.
2. High-affinity IgG4 (and IgG1) autoantibodies are generated against extracellular IgLON5 domains.
3. Intrathecal IgG4 antibodies bind surface IgLON5 on brainstem, hypothalamic, and hippocampal neurons, promoting irreversible endocytosis.
4. Disruption of cell adhesion cascades and cytoskeletal maintenance induces abnormal phosphorylation and accumulation of 3R and 4R tau protein.
5. Widespread neurodegenerative tauopathy in the tegmentum, brainstem, and hypothalamus results in severe sleep apnea, parasomnias, bulbar dysfunction, and autonomic instability.</t>
  </si>
  <si>
    <t>10743271000119103.13</t>
  </si>
  <si>
    <t>Ormond's disease</t>
  </si>
  <si>
    <t>10743271000119103.14</t>
  </si>
  <si>
    <t>Periaortitis</t>
  </si>
  <si>
    <t>10743271000119103.15</t>
  </si>
  <si>
    <t>Periarteritis</t>
  </si>
  <si>
    <t>10743271000119103.16</t>
  </si>
  <si>
    <t>Retroperitoneal fibrosis</t>
  </si>
  <si>
    <t>10743271000119103.17</t>
  </si>
  <si>
    <t>Riedel's thyroiditis</t>
  </si>
  <si>
    <t>10743271000119103.18</t>
  </si>
  <si>
    <t>Inclusion Body Myositis</t>
  </si>
  <si>
    <t>IBM</t>
  </si>
  <si>
    <t>Inclusion body myositis</t>
  </si>
  <si>
    <t>sIBM</t>
  </si>
  <si>
    <t>• Prominent sleep architecture disruption (NREM parasomnia, sleep apnea, stridor) (80–90%)
• Bulbar dysfunction (dysphagia, dysarthria, vocal cord palsy) (60–70%)
• Progressive gait instability and ataxia (50–65%)
• Chorea, dystonia, or abnormal ocular movements (30–40%)</t>
  </si>
  <si>
    <t>Sporadic Inclusion Body Myositis</t>
  </si>
  <si>
    <t>Inflammatory Bowel Disease</t>
  </si>
  <si>
    <t>Microscopic colitis</t>
  </si>
  <si>
    <t>Ulcerative colitis</t>
  </si>
  <si>
    <t>• Unidentified microbial peptides
• HLA-DRB1*10:01-associated triggers</t>
  </si>
  <si>
    <t>• Sleep disturbance / neurodegeneration triggers
• Cellular aging</t>
  </si>
  <si>
    <t>Intermediate uveitis</t>
  </si>
  <si>
    <t>• Hashimoto's thyroiditis
• Rheumatoid arthritis</t>
  </si>
  <si>
    <t>• Europe and North America (older adult predominance)</t>
  </si>
  <si>
    <t>• High-dose IV corticosteroids
• IVIG / plasma exchange
• Rituximab / cyclophosphamide</t>
  </si>
  <si>
    <t>Pars planitis</t>
  </si>
  <si>
    <t>Anti-LGI1 autoimmune encephalitis</t>
  </si>
  <si>
    <t>Anti-LGI1 autoimmune encephalitis; anti-LGI1 encephalitis; LGI1 antibody encephalitis; leucine-rich glioma-inactivated 1 antibody encephalitis; limbic encephalitis with LGI1 antibodies; LGI1-antibody limbic encephalitis; faciobrachial dystonic seizures with LGI1 antibodies; FBDS-associated LGI1 encephalitis; VGKC-complex limbic encephalitis (historical)</t>
  </si>
  <si>
    <t>Anti-LGI1 encephalitis is an autoimmune disorder of the brain mediated by autoantibodies against leucine-rich glioma-inactivated 1 protein. It classically manifests with brief, frequent muscle jerks termed faciobrachial dystonic seizures, followed by rapid cognitive decline, memory impairment, and low blood sodium levels. Early treatment with high-dose corticosteroids and immunotherapies leads to favorable outcomes and prevents lasting cognitive deficits.</t>
  </si>
  <si>
    <t>Autoimmune encephalitis caused by autoantibodies targeting leucine-rich glioma-inactivated 1 (LGI1), featuring characteristic faciobrachial dystonic seizures, subacute memory loss, psychiatric symptoms, and hyponatremia. Chapter 58, pp. 850–858.</t>
  </si>
  <si>
    <t>Leucine-rich glioma-inactivated 1 (LGI1)</t>
  </si>
  <si>
    <t>Hippocampal dentate granule / pyramidal neurons (80%)
Neocortical pyramidal neurons (20%)</t>
  </si>
  <si>
    <t>• Anti-LGI1 autoantibodies</t>
  </si>
  <si>
    <t>• Autoreactive B cells / plasma cells (anti-LGI1)
• Autoreactive CD4+ T helper cells</t>
  </si>
  <si>
    <t>1. HLA-DRB1*07:01-linked loss of tolerance prompts an autoimmune attack against secreted leucine-rich glioma-inactivated 1 (LGI1).
2. Production of pathogenic IgG4 autoantibodies targeting LGI1 in the central nervous system.
3. Anti-LGI1 autoantibodies disrupt the trans-synaptic bridging complex between presynaptic ADAM22 and postsynaptic ADAM23.
4. Disruption reduces presynaptic Kv1.1 potassium channel clustering and downregulates postsynaptic AMPA receptors.
5. Altered synaptic transmission in hippocampal and motor circuits produces characteristic faciobrachial dystonic seizures (FBDS), memory deficits, and limbic encephalitis.</t>
  </si>
  <si>
    <t>• Rapidly progressive short-term memory impairment (85–90%)
• Pathognomonic faciobrachial dystonic seizures (FBDS) (60–75%)
• Refractory hyponatremia (SIADH-like) (60–70%)
• Psychiatric disturbances (confusion, paranoia, hallucinations) (60–70%)</t>
  </si>
  <si>
    <t>1.0 cases per 1,200,000 to 1,500,000</t>
  </si>
  <si>
    <t>IU</t>
  </si>
  <si>
    <t>• Viral prodrome in minority
• Paraneoplastic (thymoma, rare)</t>
  </si>
  <si>
    <t>• Immune checkpoint activation
• Unidentified environmental antigens</t>
  </si>
  <si>
    <t>• Hashimoto's thyroiditis
• Myasthenia gravis</t>
  </si>
  <si>
    <t>• Worldwide (predominantly males &gt;60 years)</t>
  </si>
  <si>
    <t>• IV corticosteroids and IVIG
• Rituximab (anti-CD20)
• Antiseizure medications (carbamazepine)</t>
  </si>
  <si>
    <t>Anti-MAG neuropathy</t>
  </si>
  <si>
    <t>Anti-MAG neuropathy; anti-myelin-associated glycoprotein neuropathy; anti-MAG polyneuropathy; IgM anti-MAG neuropathy; demyelinating neuropathy with anti-MAG antibodies; polyneuropathy associated with IgM monoclonal gammopathy and anti-MAG; DADS-M; distal acquired demyelinating symmetric neuropathy with M-protein; distal acquired demyelinating symmetric neuropathy with anti-MAG; anti-MAG peripheral neuropathy</t>
  </si>
  <si>
    <t>Anti-MAG neuropathy is a chronic, progressive disorder of the peripheral nerves caused by autoantibodies, typically of the IgM class, that bind to myelin-associated glycoprotein. This immune assault damages the protective myelin sheath, producing symmetric sensory loss, tingling, ataxia, and tremors in the hands and feet. The condition is often linked to monoclonal gammopathy of undetermined significance (MGUS) and managed with targeted immunotherapies.</t>
  </si>
  <si>
    <t>Chronic distal symmetric demyelinating polyneuropathy strongly associated with IgM monoclonal gammopathy and high titers of autoantibodies against myelin-associated glycoprotein (MAG), causing progressive sensory ataxia and tremor. Chapter 59, pp. 865–874.</t>
  </si>
  <si>
    <t>Myelin-associated glycoprotein (MAG)</t>
  </si>
  <si>
    <t>Myelinating Schwann cells (paranodal / periaxonal) (100%)</t>
  </si>
  <si>
    <t>• Anti-MAG IgM autoantibodies</t>
  </si>
  <si>
    <t>• Clonal autoreactive B cells / plasma cells (anti-MAG IgM)
• Autoreactive CD4+ T helper cells</t>
  </si>
  <si>
    <t>1. Clonal proliferation of low-grade B cells/plasmacytoid lymphocytes (often IgM MGUS or Waldenström macroglobulinemia).
2. Production of monoclonal IgM autoantibodies directed against the HNK-1 carbohydrate epitope on myelin-associated glycoprotein (MAG).
3. Monoclonal IgM penetrates the blood-nerve barrier and binds MAG at the periaxonal space and paranodal loops of Schwann cells.
4. IgM binding triggers classical complement pathway activation and terminal membrane attack complex (C5b-9) deposition.
5. Widening of outer myelin lamellae, progressive demyelination, and secondary axonal degeneration cause a symmetric, distal, sensory-predominant polyneuropathy.</t>
  </si>
  <si>
    <t>Chronic cyclitis</t>
  </si>
  <si>
    <t>Cyclochorioretinitis</t>
  </si>
  <si>
    <t>Peripheral Uveitis</t>
  </si>
  <si>
    <t>• Distal lower limb numbness, paresthesias, and pain (90–100%)
• Slowly progressive, symmetric distal sensory ataxia (85–95%)
• Marked postural and action tremor of the hands (60–75%)
• Mild late distal motor weakness (foot drop) (40–50%)</t>
  </si>
  <si>
    <t>1.0 cases per 100,000 to 200,000</t>
  </si>
  <si>
    <t>Peripheral uveoretinitis</t>
  </si>
  <si>
    <t>Vitritis</t>
  </si>
  <si>
    <t>• Campylobacter jejuni
• Hepatitis C virus
• Helicobacter pylori</t>
  </si>
  <si>
    <t>• Monoclonal gammopathy (MGUS)
• Chronic antigenic stimulation</t>
  </si>
  <si>
    <t>Interstitial lung disease</t>
  </si>
  <si>
    <t>• Sjogren's syndrome
• Rheumatoid arthritis</t>
  </si>
  <si>
    <t>• Worldwide (predominantly elderly males &gt;60)</t>
  </si>
  <si>
    <t>• Rituximab (first-line)
• IVIG / plasmapheresis (transient)
• Chemotherapeutic regimens (bendamustine, fludarabine)</t>
  </si>
  <si>
    <t>Anti-MDA5 amyopathic dermatomyositis with rapidly progressive ILD</t>
  </si>
  <si>
    <t>Anti-MDA5 dermatomyositis; MDA5-positive dermatomyositis; anti-melanoma differentiation-associated gene 5 dermatomyositis; anti-CADM-140 dermatomyositis; CADM-140 autoantibody-positive dermatomyositis; clinically amyopathic dermatomyositis with anti-MDA5 antibodies; CADM with rapidly progressive interstitial lung disease; anti-MDA5-positive CADM; anti-MDA5 DM; anti-MDA5 antibody-associated rapidly progressive interstitial lung disease; anti-MDA5 RP-ILD</t>
  </si>
  <si>
    <t>Anti-MDA5 dermatomyositis is a distinctive autoimmune inflammatory condition characterized by antibodies targeting melanoma differentiation-associated gene 5. Patients frequently present with typical skin findings and cutaneous ulcers with minimal muscle inflammation, but carry a substantial risk of developing rapidly progressive interstitial lung disease. Early, aggressive combined immunosuppressive therapy is critical to managing pulmonary complications.</t>
  </si>
  <si>
    <t>Distinctive subtype of clinically amyopathic dermatomyositis defined by autoantibodies directed against melanoma differentiation-associated gene 5 (MDA5), featuring characteristic cutaneous ulcerations and high risk of rapidly progressive interstitial lung disease. Chapter 61, pp. 896–906.</t>
  </si>
  <si>
    <t>Melanoma differentiation-associated protein 5 (MDA5)</t>
  </si>
  <si>
    <t>Alveolar epithelial cells (pneumocytes type I/II) (60%)
Dermal microvascular endothelial cells (40%)</t>
  </si>
  <si>
    <t>• Anti-MDA5 autoantibodies</t>
  </si>
  <si>
    <t>• Autoreactive B cells / plasma cells (anti-MDA5)
• Autoreactive CD4+ T helper cells (CXCR3+ / Th1)</t>
  </si>
  <si>
    <t>Juvenile Rheumatoid Arthritis</t>
  </si>
  <si>
    <t>1. Viral trigger or mucosal injury in genetically susceptible hosts upregulates melanoma differentiation-associated protein 5 (MDA5).
2. Activation of autoreactive B and T cells produces anti-MDA5 autoantibodies alongside massive type I interferon pathway induction.
3. Infiltration of CXCR3+ T cells and macrophages into cutaneous and pulmonary capillary microvasculature.
4. Endothelial injury, intense chemokine release (CXCL9/CXCL10), and macrophage activation in alveolar walls.
5. Extensive alveolar epithelial necrosis, rapid fibroblastic proliferation, and ulcerating vasculopathy produce rapidly progressive interstitial lung disease (RPILD) and mucocutaneous ulcerations.</t>
  </si>
  <si>
    <t>Juvenile chronic arthritis</t>
  </si>
  <si>
    <t>JIA</t>
  </si>
  <si>
    <t>JRA</t>
  </si>
  <si>
    <t>• Gottron's papules / sign (80–95%)
• Rapidly progressive interstitial lung disease with hypoxemic respiratory failure (75–90%)
• Painful deep cutaneous ulcerations (digital, knuckles, elbows) (60–80%)
• Clinically amyopathic presentation / minimal muscle weakness (60–70%)
• Palmar violaceous papules / inverse Gottron's (40–50%)</t>
  </si>
  <si>
    <t>1.0 cases per 100,000 to 250,000</t>
  </si>
  <si>
    <t>Juvenile arthritis</t>
  </si>
  <si>
    <t>Juvenile idiopathic arthritis</t>
  </si>
  <si>
    <t>• Coxsackievirus B
• Influenza virus, Parvovirus B19
• COVID-19</t>
  </si>
  <si>
    <t>Pediatric rheumatic disease</t>
  </si>
  <si>
    <t>• Viral respiratory infections
• UV light exposure
• Silica / microparticle inhalation</t>
  </si>
  <si>
    <t>• Systemic sclerosis
• Sjogren's syndrome
• Systemic lupus erythematosus</t>
  </si>
  <si>
    <t>• East Asia (Japan, China) - much higher prevalence of anti-MDA5</t>
  </si>
  <si>
    <t>• High-dose pulse methylprednisolone
• Calcineurin inhibitors (tacrolimus, cyclosporine)
• Intravenous cyclophosphamide
• JAK inhibitors (tofacitinib) / Rituximab / PLEX</t>
  </si>
  <si>
    <t>Anti-NXP2 dermatomyositis (juvenile form with calcinosis)</t>
  </si>
  <si>
    <t>Anti-NXP2 dermatomyositis; anti-nuclear matrix protein 2 dermatomyositis; anti-MJ dermatomyositis; anti-MJ/NXP-2 dermatomyositis; anti-NXP-2 antibody-positive dermatomyositis; anti-nuclear matrix protein-2 antibody-positive inflammatory myopathy; NXP2-positive juvenile dermatomyositis; NXP2-positive dermatomyositis with calcinosis; anti-MJ antibody-associated juvenile dermatomyositis</t>
  </si>
  <si>
    <t>Lichen planus</t>
  </si>
  <si>
    <t>Anti-NXP2 dermatomyositis is an autoimmune disorder characterized by autoantibodies targeting nuclear matrix protein 2, affecting both children and adults. It features severe proximal muscle weakness, peripheral edema, and widespread calcium deposits in the skin and muscle tissue (calcinosis), particularly in pediatric patients. Treatment involves sustained immunomodulatory therapy to suppress inflammation and prevent progressive calcinosis.</t>
  </si>
  <si>
    <t>Subtype of juvenile and adult dermatomyositis associated with autoantibodies targeting nuclear matrix protein 2 (NXP2), strongly linked to severe muscle weakness, peripheral edema, and widespread subcutaneous calcinosis. Chapter 61, pp. 898–907.</t>
  </si>
  <si>
    <t>Nuclear matrix protein 2 (NXP2)</t>
  </si>
  <si>
    <t>Lichen sclerosus</t>
  </si>
  <si>
    <t>Skeletal muscle myofibers (65%)
Dermal endothelial cells / fibroblasts (35%)</t>
  </si>
  <si>
    <t>Lichen sclerosus et atrophicus</t>
  </si>
  <si>
    <t>• Anti-NXP2 autoantibodies</t>
  </si>
  <si>
    <t>25674000</t>
  </si>
  <si>
    <t>• Autoreactive B cells / plasma cells (anti-NXP2)
• Autoreactive CD4+ T helper cells</t>
  </si>
  <si>
    <t>1. Immune dysregulation in children or adults leads to loss of tolerance against nuclear matrix protein 2 (NXP2/MORC3).
2. Clonal B-cell activation produces specific anti-NXP2 autoantibodies.
3. Deposition of immune complexes and complement activation (C5b-9) within intramuscular and dermal microvasculature.
4. Ischemia of perifascicular muscle fibers, pericyte loss, and chronic perifascicular muscle atrophy.
5. Widespread muscle ischemia, severe weakness, and extensive dystrophic subcutaneous and myofascial calcinosis.</t>
  </si>
  <si>
    <t>• Severe proximal symmetrical muscle weakness (85–95%)
• Gottron's papules (75–85%)
• Extensive subcutaneous calcinosis (calcinosis cutis) (40–60%)
• Severe dysphagia and neck flexor weakness (35–45%)
• Peripheral and periorbital subcutaneous edema (30–40%)</t>
  </si>
  <si>
    <t>Balanitis xerotica obliterans</t>
  </si>
  <si>
    <t>1.0 cases per 200,000 to 500,000</t>
  </si>
  <si>
    <t>Ligneous conjunctivitis</t>
  </si>
  <si>
    <t>Adult Onset Ligneous conjunctivitis</t>
  </si>
  <si>
    <t>• Coxsackievirus
• Enteroviruses</t>
  </si>
  <si>
    <t>• Physical trauma / mechanical stress
• Sunlight / UV radiation exposure</t>
  </si>
  <si>
    <t>• Juvenile idiopathic arthritis
• Sjogren's syndrome</t>
  </si>
  <si>
    <t>• Worldwide (higher proportion in juvenile dermatomyositis cohorts)</t>
  </si>
  <si>
    <t>Autoimmune ligneous conjunctivitis</t>
  </si>
  <si>
    <t>• Systemic corticosteroids
• Methotrexate / azathioprine
• IVIG (for severe weakness/calcinosis)
• Rituximab / bisphosphonates for calcinosis</t>
  </si>
  <si>
    <t>Churg-Strauss syndrome
Granulomatosis with polyangiitis
Wegener's Granulomatosis
Antineutrophil cytoplasmic antibody positive vasculitis
ANCA vasculitis
Eosinophilic granulomatosis with polyangiitis
ANCA-associated vasculitis
Anti-neutrophil cytoplasmic antibody-associated vasculitis
Churg Strauss syndrome</t>
  </si>
  <si>
    <t>Conjunctivitis lignose</t>
  </si>
  <si>
    <t>Anti-neutrophil cytoplasmic antibody (ANCA)-associated vasculitis (AAV) is a group of diseases characterized by destruction and inflammation of small vessels. The clinical signs vary and affect several organs, such as the kidney, stomach, intestine, and lung. Skin symptoms like purpura (small purple spots) may appear when small blood vessels leak under the skin. AAV occurs when the immune system produces ANCAs, which mistakenly activate neutrophils, a type of white blood cell. These activated neutrophils damage the lining of blood vessels. Though the mechanism of damage is understood, the triggers that lead to AAV are unknown.</t>
  </si>
  <si>
    <t>In their landmark publication in 1954, Godman and Churg concluded that the “microscopic form or periarteritis,” Wegener's granulomatosis, and Churg–Strauss syndrome are pathologically and clinically distinct from PAN, and probably have a related etiology and pathogenesis. This concept has been borne out by the discovery that microscopic polyangiitis, Wegener's granulomatosis, and Churg–Strauss syndrome are associated with, and are probably caused by, antineutrophil cytoplasmic autoantibodies (ANCAs), whereas PAN is not (Jennette and Falk, 1997; Jennette et al., 2013a). These forms of ANCA-associated vasculitis (AAV) now are designated microscopic polyangiitis (MPA), granulomatosis with polyangiitis (GPA), and eosinophilic granulomatosis with polyangiitis (EGPA).
T cells with specificity for ANCA antigens are present in patients with ANCA vasculitis (Griffith et al., 1996; Clayton and Savage, 2000). T cells are probably involved in the immunogenesis of the autoimmune response, but their role in the pathogenesis of injury is unknown.</t>
  </si>
  <si>
    <t>Proteinase 3 (PR3)
Myeloperoxidase (MPO)</t>
  </si>
  <si>
    <t>Linear IgA dermatosis</t>
  </si>
  <si>
    <t>Neutrophils (60%)
Microvascular endothelial cells (40%)</t>
  </si>
  <si>
    <t>T cells with specificity for ANCA antigens are present</t>
  </si>
  <si>
    <t>Chronic bullous dermatosis of childhood</t>
  </si>
  <si>
    <t>• Autoreactive B cells / plasma cells (PR3/MPO-ANCA producing)
• Autoreactive CD4+ Th17 and Th1 cells (PR3/MPO-specific)
• Autoreactive CD8+ cytotoxic T cells</t>
  </si>
  <si>
    <t>1. Genetic susceptibility (HLA-DP/DQ, PTPN22) and environmental priming (silica, infections) upregulate inflammatory cytokines (TNF-α, IL-1β).
2. Primed neutrophils translocate intracellular myeloperoxidase (MPO) or proteinase 3 (PR3) to the external plasma membrane.
3. Pathogenic ANCA autoantibodies bind cell-surface PR3 or MPO, cross-linking Fcγ receptors and triggering intense neutrophil activation.
4. Activated neutrophils release reactive oxygen species, lytic enzymes, and neutrophil extracellular traps (NETs), damaging vascular endothelial cells.
5. Alternate complement pathway amplification (C5a) recruits further inflammatory cells, causing fibrinoid necrosis of small vessels, glomerulonephritis, and organ ischemia.</t>
  </si>
  <si>
    <t>Linear IgA bullous disease</t>
  </si>
  <si>
    <t>Linear IgA disease</t>
  </si>
  <si>
    <t>Lipomatosis dolorosa</t>
  </si>
  <si>
    <t>71404003</t>
  </si>
  <si>
    <t>Adiposis dolorosa</t>
  </si>
  <si>
    <t>• Chronic necrotizing granulomatous sinusitis, rhinitis, saddle-nose deformity (70–80% in GPA)
• Rapidly progressive pauci-immune crescentic glomerulonephritis (60–80%)
• Pulmonary infiltrates, cavitary nodules, and alveolar hemorrhage (50–70%)
• Palpable purpura and cutaneous ulcers (35–50%)
• Mononeuritis multiplex (20–40%)</t>
  </si>
  <si>
    <t>Anders disease</t>
  </si>
  <si>
    <t>1.0 cases per 5,000 to 10,000</t>
  </si>
  <si>
    <t>1.0 cases per 4,854 to 8,772
1.0 cases per 5,435 to 21,739</t>
  </si>
  <si>
    <t>Dercum's disease</t>
  </si>
  <si>
    <t>• Staphylococcus aureus (nasal carriage)
• Parvovirus B19
• Entamoeba histolytica</t>
  </si>
  <si>
    <t>• Silica dust inhalation
• Solvent / pesticide exposure
• Medications (hydralazine, propylthiouracil, cocaine/levamisole)</t>
  </si>
  <si>
    <t>Fatty tissue rheumatism</t>
  </si>
  <si>
    <t>• Autoimmune thyroid disease
• Rheumatoid arthritis
• Sjogren's syndrome</t>
  </si>
  <si>
    <t>• Northern Europe, North America, New Zealand / Australia</t>
  </si>
  <si>
    <t>• Glucocorticoids (pulse methylprednisolone)
• Rituximab or Cyclophosphamide (remission induction)
• Avacopan (C5aR antagonist)
• Azathioprine or Methotrexate (maintenance)</t>
  </si>
  <si>
    <t>Juxta-Articular adiposis dolorosa</t>
  </si>
  <si>
    <t>Antiphospholipid syndrome
aCL syndrome
Anticardiolipin antibody syndrome
Hughes syndrome
Lupus anticoagulant syndrome</t>
  </si>
  <si>
    <t xml:space="preserve">Antiphospholipid syndrome occurs when the immune system attacks some of the normal proteins in the blood. 
There's no cure for antiphospholipid syndrome, but medications can reduce the risk of blood clots.
Antiphospholipid syndrome occurs when the immune system attacks some of the normal proteins in the blood. There's no cure for antiphospholipid syndrome, but medications can reduce the risk of blood clots.
</t>
  </si>
  <si>
    <t>Lipomatosis dolorosa morbus dercum's</t>
  </si>
  <si>
    <t>Although the prevalent paradigm that explains autoimmunity in APS patients is the incomplete deletion of autoreactive T cells, Kriegel et al. (2004) demonstrated that patients with this disease exhibit a defective Treg function. Antibodies against antigenic enzymes common to ovary and adrenal gland include: cytochrome P450 side-chain cleavage enzyme (P450SCC), 17-α hydroxylase/17, 20-lyase (CYP17A1), and 21-hydroxylase (CYP21). Indirect immunofluorescence on frozen adrenal gland sections, and CYP21 antibody detection by radioimmunoassays are sensitive diagnostic tests (Falorni et al., 2002a,b; Dal Pra et al., 2003). The theca cells of preantral and antral follicles are the main targets in some POI cases.  
The Autoimmune Diseases . Elsevier Science. Kindle Edition. The aPL comprise more than 20 different autoantibodies, of which just three serve as diagnostic criteria for APS. The pathogenic effects of these antibodies are exerted through binding to various cells, including monocytes, endothelial cells, and trophoblasts, leading to the recruitment of cell surface receptors and subsequent perturbation of intracellular signaling pathways (Blank et al., 1991; Giannakopoulos and Krilis 2013).</t>
  </si>
  <si>
    <t>β2-glycoprotein I (β2-GPI)
Cardiolipin
Prothrombin</t>
  </si>
  <si>
    <t>Vascular endothelial cells (50%)
Platelets / megakaryocytes (35%)
Trophoblast cells (15%)</t>
  </si>
  <si>
    <t>Beta-2 glycoprotein I
Autoantibody to SOX9 and SOX10 was reported in patients with type 1 APS and vitiligo</t>
  </si>
  <si>
    <t>• Autoreactive B cells / plasma cells (anti-β2-GPI)
• Autoreactive CD4+ T helper cells (β2-GPI-specific)</t>
  </si>
  <si>
    <t>1. "Two-hit" mechanism: Genetic predisposition and infection/endothelial trauma expose domain I of beta-2-glycoprotein I (β2-GPI).
2. Production of pathogenic antiphospholipid antibodies (aPL: anti-β2-GPI, lupus anticoagulant, anticardiolipin).
3. Autoantibodies bind oxidized β2-GPI on endothelial cells, platelets, monocytes, and trophoblast membranes, cross-linking receptors (TLR4, ApoER2').
4. Intracellular signaling upregulates tissue factor, downregulates endothelial nitric oxide synthase, inhibits protein C activation, and activates complement (C5a).
5. Persistent procoagulant phenotype drives recurrent arterial/venous thromboses and placental microvascular thrombosis leading to pregnancy complications.</t>
  </si>
  <si>
    <t>Lupus vasculitis</t>
  </si>
  <si>
    <t>• Recurrent unexplained early pregnancy loss or late fetal death (35–50% in females)
• Deep vein thrombosis / pulmonary embolism (30–40%)
• Mild-to-moderate thrombocytopenia (20–30%)
• Livedo reticularis (20–25%)
• Arterial thrombotic events (stroke, TIA, myocardial infarction) (15–20%)</t>
  </si>
  <si>
    <t>Male infertility associated with antisperm antibodies</t>
  </si>
  <si>
    <t>1.0 cases per 2,000 to 2,500</t>
  </si>
  <si>
    <t>414643008</t>
  </si>
  <si>
    <t>• Treponema pallidum
• EBV, CMV, Parvovirus B19
• HIV, Hepatitis C</t>
  </si>
  <si>
    <t>• Oral contraceptives / estrogens
• Pregnancy / puerperium
• Trauma, surgery, or prolonged immobility</t>
  </si>
  <si>
    <t>• Systemic lupus erythematosus
• Sjogren's syndrome
• Autoimmune thyroiditis</t>
  </si>
  <si>
    <t>• Worldwide (broadly distributed, higher in females of childbearing age)</t>
  </si>
  <si>
    <t>• Long-term anticoagulation (Warfarin, target INR 2.0-3.0)
• Low-dose aspirin
• Hydroxychloroquine
• Rituximab / PLEX / IVIG for catastrophic APS (CAPS)</t>
  </si>
  <si>
    <t>Autoimmune orchitis</t>
  </si>
  <si>
    <t>Antisynthetase syndrome
Anti-Jo1 syndrome</t>
  </si>
  <si>
    <t>414643008.1</t>
  </si>
  <si>
    <t>Antisynthetase syndrome is sometimes an autoimmune form of myositis in which antibodies destroy &lt;b&gt;tRNA synthetase&lt;/b&gt;, an enzyme that is essential for the creation of important proteins used throughout the body.  When that enzyme is destroyed, proteins that the body needs are not produced, and most noteably, proteins used to power the muscles. The result is muscle weakness, but since there are many proteins affected by the loss of tRNA synthetase, it can also impact the lungs and other parts of the body. 
The trigger for antisynthetase syndrome is unknown, but it may be associated with viral infection.  Patients with antisynthetase syndrome commonly experience muscle inflammation, lung disease, and joint inflammation.  This condition is seen twice as often in women than in men and typically occurs in middle age. This is a chronic disease with no cure, and disease severity and prognosis varies by individual.  Patients who only experience muscle symptoms can manage the condition well with treatment.  However, prognosis is poor for patients who develop progressive interstitial lung disease.</t>
  </si>
  <si>
    <t>Distinct subset of inflammatory myopathy characterized by autoantibodies targeting aminoacyl-tRNA synthetases (predominantly anti-Jo-1 / histidyl-tRNA synthetase), presenting with interstitial lung disease, myositis, non-erosive arthritis, Raynaud's phenomenon, and mechanic's hands. Chapter 61, pp. 895–905.</t>
  </si>
  <si>
    <t>Histidyl-tRNA synthetase (Jo-1)
Threonyl-tRNA synthetase (PL-7)
Alanyl-tRNA synthetase (PL-12)</t>
  </si>
  <si>
    <t>Skeletal muscle fibers (myocytes) (55%)
Alveolar epithelial cells (pneumocytes) (45%)</t>
  </si>
  <si>
    <t>antibodies to aminoacyl tRNA synthetases</t>
  </si>
  <si>
    <t>• Autoreactive CD4+ T helper cells (Jo-1/synthetase-specific)
• Autoreactive CD8+ cytotoxic T cells
• Autoreactive B cells / plasma cells</t>
  </si>
  <si>
    <t>1. Environmental exposures (inhalants, viral infections) cause lung epithelial stress, releasing aminoacyl-tRNA synthetases (predominantly Jo-1).
2. Cleaved synthetases act as chemoattractants and autoantigens, stimulating toll-like receptors and dendritic cell maturation.
3. Production of anti-aminoacyl-tRNA synthetase antibodies and activation of CD4+ Th1/Th17 and CD8+ cytotoxic T cells.
4. T-cell infiltration and cytokine release in skeletal muscle endomysium and alveolar parenchymal interstitium.
5. Muscle fiber necrosis, perivascular lung inflammation, and progressive interstitial pulmonary fibrosis cause inflammatory myositis and interstitial lung disease (ILD).</t>
  </si>
  <si>
    <t>Microscopic polyangiitis</t>
  </si>
  <si>
    <t>MPA</t>
  </si>
  <si>
    <t>Microscopic polyarteritis</t>
  </si>
  <si>
    <t>• Proximal inflammatory myopathy and myalgias (80–90%)
• Interstitial lung disease causing dyspnea and dry cough (75–90%)
• Non-erosive polyarthritis / arthralgias (60–80%)
• Raynaud's phenomenon (40–60%)
• Mechanic's hands (hyperkeratotic cracked skin on radial fingers) (30–40%)
• Unexplained recurrent low-grade fever (30–40%)</t>
  </si>
  <si>
    <t>1.0 cases per 25,000 to 50,000</t>
  </si>
  <si>
    <t>1.0 cases per 25,000 to 33,333</t>
  </si>
  <si>
    <t>Mixed collagen vascular disease</t>
  </si>
  <si>
    <t>MCTD</t>
  </si>
  <si>
    <t>• Coxsackievirus B
• Retroviruses, Parvovirus B19</t>
  </si>
  <si>
    <t>• Environmental dust / silica
• UV radiation exposure
• Inhaled airborne pollutants</t>
  </si>
  <si>
    <t>• Systemic sclerosis
• Sjogren's syndrome
• Rheumatoid arthritis</t>
  </si>
  <si>
    <t>• Worldwide (equally distributed, female predominance)</t>
  </si>
  <si>
    <t>Mixed connective tissue disease</t>
  </si>
  <si>
    <t>• High-dose systemic corticosteroids
• Methotrexate, azathioprine, or mycophenolate mofetil
• Calcineurin inhibitors (tacrolimus)
• Rituximab / IVIG for refractory ILD</t>
  </si>
  <si>
    <t>Sharp Syndrome</t>
  </si>
  <si>
    <t>Aplastic anemia is a rare and serious blood disorder that occurs when the body's bone marrow cannot make enough new red blood cells, impacting the body's ability to function normally. Aplastic anemia can progress at varying speeds and range from mild to severe. Currently, there's no known method to prevent it. This condition is caused by damage to stem cells inside the bone marrow, which is the sponge-like tissue within the bones. The immune system attacks and destroys and, as a result, the bone marrow makes fewer red blood cells, white blood cells, and platelets. This bone marrow damage is caused by the immune system attacking and destroying the stem cells within the bone marrow. Other causes of aplastic anemia include some medicine and exposure to environmental toxins or chemicals.</t>
  </si>
  <si>
    <t>Acquired bone marrow failure syndrome characterized by peripheral pancytopenia and marrow hypocellularity, mediated by oligoclonal cytotoxic T-cell destruction of hematopoietic stem and progenitor cells, responsive to antithymocyte globulin and cyclosporine. Chapter 46, pp. 652–662.</t>
  </si>
  <si>
    <t>Hematopoietic stem/progenitor cell antigens
GPI-anchored proteins</t>
  </si>
  <si>
    <t>CD34+ hematopoietic stem and progenitor cells (90%)
Bone marrow stromal cells (10%)</t>
  </si>
  <si>
    <t>cytotoxic T cells</t>
  </si>
  <si>
    <t>• Autoreactive CD8+ cytotoxic T cells (targeting HSPCs)
• Autoreactive CD4+ Th1 cells</t>
  </si>
  <si>
    <t>Mooren's ulcer</t>
  </si>
  <si>
    <t>1. Environmental insult (viral infection, drug, toxin) or genetic variant triggers aberrant antigen presentation on hematopoietic stem and progenitor cells (HSPCs).
2. Clonal expansion of autoreactive CD8+ cytotoxic T cells and oligoclonal CD4+ Th1 cells.
3. Effector T cells home to the bone marrow microenvironment, releasing excessive interferon-gamma (IFN-γ) and TNF-α.
4. IFN-γ upregulates Fas receptors and activates the nitric oxide synthase pathway within CD34+ stem cells.
5. Fas/FasL-mediated apoptosis of hematopoietic stem cells depletes pluripotential progenitors, leading to marrow hypocellularity and pancytopenia.</t>
  </si>
  <si>
    <t>TCELL</t>
  </si>
  <si>
    <t>Corneal Ulcer</t>
  </si>
  <si>
    <t>Peripheral Ulcerative Keratitis</t>
  </si>
  <si>
    <t>Morphea</t>
  </si>
  <si>
    <t>• Absence of hepatosplenomegaly or lymphadenopathy (90–95%)
• Severe asthenia, pallor, and exertional dyspnea due to profound anemia (85–95%)
• Petechiae, purpura, ecchymoses, and gingival/mucosal bleeding (70–85%)
• Recurrent severe bacterial and fungal infections due to neutropenia (50–65%)</t>
  </si>
  <si>
    <t>1.0 cases per 250,000 to 500,000</t>
  </si>
  <si>
    <t>1.0 cases per 425,532</t>
  </si>
  <si>
    <t>• Hepatitis viruses (non-A, non-B, non-C)
• Parvovirus B19, EBV, HIV
• Seronegative hepatitis</t>
  </si>
  <si>
    <t>Localized scleroderma</t>
  </si>
  <si>
    <t>• Toxic benzene / solvent exposures
• Medications (chloramphenicol, NSAIDs, antithyroid drugs)
• Ionizing radiation, pesticides</t>
  </si>
  <si>
    <t>• Paroxysmal nocturnal hemoglobinuria (PNH)
• Thymoma
• Autoimmune thyroid disease</t>
  </si>
  <si>
    <t>• East and Southeast Asia (2-3 fold higher incidence than West)</t>
  </si>
  <si>
    <t>• Allogeneic hematopoietic stem cell transplantation (HSCT)
• Antithymocyte globulin (ATG) + Cyclosporine A
• Eltrombopag (thrombopoietin receptor agonist)</t>
  </si>
  <si>
    <t>ASIA syndrome (autoimmune/autoinflammatory syndrome induced by adjuvants)</t>
  </si>
  <si>
    <t>ASIA syndrome; autoimmune/inflammatory syndrome induced by adjuvants; autoimmune/autoinflammatory syndrome induced by adjuvants; Shoenfeld syndrome; Shoenfeld's syndrome; adjuvant-induced autoimmune syndrome; adjuvant-induced autoimmunity; autoinflammatory/autoimmunity syndrome induced by adjuvants; silicone implant incompatibility syndrome; silicone-related disorder; macrophagic myofasciitis</t>
  </si>
  <si>
    <t>ASIA syndrome (autoimmune/autoinflammatory syndrome induced by adjuvants), also known as Shoenfeld's syndrome, describes a spectrum of immune-mediated conditions triggered by exposure to foreign adjuvants like silicone, mineral oil, or vaccines in genetically susceptible individuals. Clinical features include chronic fatigue, joint pain, muscle weakness, and autoantibody production. Management focuses on removing the inciting adjuvant and administering anti-inflammatory therapy.</t>
  </si>
  <si>
    <t>Autoimmune/autoinflammatory syndrome induced by adjuvants (ASIA / Shoenfeld's syndrome) encompasses a spectrum of immune-mediated conditions triggered by chronic exposure to environmental adjuvants (such as silicone or mineral oils) in genetically susceptible individuals. Chapter 21, pp. 290–302.</t>
  </si>
  <si>
    <t>Macrophages / monocytes (50%)
Dendritic cells (30%)
Synoviocytes / myocytes (20%)</t>
  </si>
  <si>
    <t>1. Chronic exposure to foreign adjuvant substances (silicone implants, aluminum adjuvants, infectious components) in genetically susceptible hosts (HLA-DRB1).
2. Adjuvant binds innate pattern recognition receptors (TLRs, NOD-like receptors), driving persistent inflammasome activation.
3. Continuous release of pro-inflammatory cytokines (IL-1β, IL-6, TNF-α) and adjuvant translocation to regional lymph nodes.
4. Chronic hyperstimulation breaks self-tolerance, promoting polyclonal B-cell activation and autoantibody formation.
5. Systemic chronic inflammation causes generalized fatigue, arthralgias, myalgias, and potential transition into defined systemic autoimmune diseases.</t>
  </si>
  <si>
    <t>Moyamoya disease</t>
  </si>
  <si>
    <t>69116000</t>
  </si>
  <si>
    <t>Cerebrovascular moyamoya disease</t>
  </si>
  <si>
    <t>Moya-moya disease</t>
  </si>
  <si>
    <t>Progressive intracranial arterial occlusion</t>
  </si>
  <si>
    <t>• Temporal association with adjuvant/foreign material exposure (100%)
• Chronic disabling fatigue and unrefreshing sleep (80–90%)
• Diffuse myalgias and muscle weakness (70–80%)
• Arthralgias or inflammatory arthritis (60–75%)
• Cognitive impairment, memory loss, and brain fog (50–60%)</t>
  </si>
  <si>
    <t>Progressive intracranial occlusive arteriopathy</t>
  </si>
  <si>
    <t>Spontaneous occlusion of the Circle of Willis</t>
  </si>
  <si>
    <t>Multiple Sclerosis</t>
  </si>
  <si>
    <t>MS</t>
  </si>
  <si>
    <t>• Infectious vaccines (rare)
• Microbial molecular components</t>
  </si>
  <si>
    <t>• Silicone breast implants
• Aluminum adjuvants in vaccines
• Mineral oil / squalene injections
• Metal implants (titanium, dental metals)</t>
  </si>
  <si>
    <t>• Systemic lupus erythematosus
• Sjogren's syndrome
• Scleroderma
• Hashimoto's thyroiditis</t>
  </si>
  <si>
    <t>Multiple sclerosis</t>
  </si>
  <si>
    <t>• Worldwide (higher where cosmetic/implant procedures are prevalent)</t>
  </si>
  <si>
    <t>• Surgical removal of the adjuvant / implant
• Systemic corticosteroids
• Immunosuppressants (methotrexate, hydroxychloroquine)</t>
  </si>
  <si>
    <t>Atypical hemolytic uremic syndrome with anti-factor H autoantibodies</t>
  </si>
  <si>
    <t>Atypical hemolytic uremic syndrome with anti-factor H autoantibodies; atypical hemolytic uremic syndrome due to factor H autoantibody; anti-factor H antibody-associated aHUS; factor H autoantibody-associated hemolytic uremic syndrome; complement factor H autoantibody-associated HUS; CFH autoantibody-positive aHUS; DEAP-HUS; deficiency of CFHR plasma proteins and autoantibody-positive HUS; complement-mediated thrombotic microangiopathy with anti-factor H autoantibodies; anti-FH aHUS</t>
  </si>
  <si>
    <t>Atypical hemolytic uremic syndrome with anti-factor H autoantibodies is a rare autoimmune thrombotic microangiopathy in which autoantibodies neutralize complement factor H, a key regulatory protein. Uncontrolled activation of the alternative complement pathway results in microvascular clot formation, red blood cell destruction, low platelet counts, and acute kidney injury. Therapeutic strategies include plasma exchange and complement-inhibiting biologics.</t>
  </si>
  <si>
    <t>Disseminated sclerosis</t>
  </si>
  <si>
    <t>Thrombotic microangiopathy characterized by acquired autoantibodies neutralizing complement factor H (CFH), impairing regulation of the alternative complement pathway and causing microvascular endothelial damage, thrombocytopenia, and renal failure. Chapter 46, pp. 650–658; Chapter 54, pp. 765–775.</t>
  </si>
  <si>
    <t>Complement factor H (CFH)</t>
  </si>
  <si>
    <t>Glomerular microvascular endothelial cells (85%)
Platelets (15%)</t>
  </si>
  <si>
    <t>• Anti-complement factor H (CFH) autoantibodies</t>
  </si>
  <si>
    <t>• Autoreactive B cells / plasma cells (anti-factor H)
• Autoreactive CD4+ T helper cells</t>
  </si>
  <si>
    <t>Schilders disease</t>
  </si>
  <si>
    <t>1. Genetic deletion of CFHR1/CFHR3 primes the immune system to produce autoantibodies against complement factor H (CFH).
2. Development of high-affinity IgG autoantibodies directed against the C-terminal recognition domains (SCR 19-20) of Factor H.
3. Autoantibodies block Factor H binding to cell-surface polyanions (heparan sulfate/sialic acid) on glomerular microvascular endothelial cells.
4. Loss of local complement regulatory activity triggers uncontrolled activation of the alternative complement pathway on endothelial surfaces.
5. C3b amplification and C5b-9 deposition cause endothelial swelling, microvascular thrombosis, erythrocyte mechanical fragmentation, and acute renal failure.</t>
  </si>
  <si>
    <t>Systemic sclerosis, diffuse</t>
  </si>
  <si>
    <t>Relapsing-remitting multiple sclerosis</t>
  </si>
  <si>
    <t>Primary progressive multiple sclerosis</t>
  </si>
  <si>
    <t>Myasthenia gravis</t>
  </si>
  <si>
    <t>MG</t>
  </si>
  <si>
    <t>• Microangiopathic hemolytic anemia with fragmented schistocytes (95–100%)
• Severe consumptive thrombocytopenia (90–95%)
• Acute oliguric renal failure / azotemia (85–95%)
• Antecedent gastroenteritis or upper respiratory prodrome (40–50%)</t>
  </si>
  <si>
    <t>Acquired myasthenia</t>
  </si>
  <si>
    <t>• Shiga toxin-producing E. coli (molecular trigger)
• Streptococcus pneumoniae
• Influenza virus</t>
  </si>
  <si>
    <t>• Viral gastroenteritis or respiratory infections
• Pregnancy / preeclampsia
• Calcineurin inhibitors, chemotherapies</t>
  </si>
  <si>
    <t>• Systemic lupus erythematosus
• Antiphospholipid syndrome
• Autoimmune thyroiditis</t>
  </si>
  <si>
    <t>• Worldwide (rare, ~1-2 cases per million)</t>
  </si>
  <si>
    <t>Autoimmune myasthenia gravis</t>
  </si>
  <si>
    <t>• Eculizumab / Ravulizumab (terminal complement C5 inhibitors)
• Plasma exchange / plasma infusion
• Immunosuppression (steroids, rituximab) for anti-FH autoantibodies</t>
  </si>
  <si>
    <t>Autoimmune angioedema
Acquired angiodema</t>
  </si>
  <si>
    <t>Myelin oligodendrocyte glycoprotein antibody-associated disease</t>
  </si>
  <si>
    <t>Polyneuropathy associated with monoclonal immunoglobulin M antibodies to myelin-associated glycoprotein</t>
  </si>
  <si>
    <t>Angioedema is swelling of the tissue just beneath the skin, including the face, lips, tongue, limbs, or genitals. People with Autoimmune Angioedema can have edema of the lining of the digestive tract, which can cause abdominal pain and nausea, as well as edema of the upper airway, which can be life-threatening.</t>
  </si>
  <si>
    <t>Acquired form of angioedema characterized by recurrent episodes of subcutaneous and submucosal swelling resulting from autoantibodies directed against C1-esterase inhibitor, leading to accelerated consumption of C1-INH and excessive bradykinin generation. Chapter 48, pp. 675–684.</t>
  </si>
  <si>
    <t>MOG</t>
  </si>
  <si>
    <t>C1 esterase inhibitor (C1-INH)</t>
  </si>
  <si>
    <t>1237194006</t>
  </si>
  <si>
    <t>Postcapillary venular endothelial cells (100%)</t>
  </si>
  <si>
    <t>• Anti-C1-INH autoantibodies
• Anti-C1q autoantibodies</t>
  </si>
  <si>
    <t>• Autoreactive B cells / plasma cells (anti-C1-INH)
• Autoreactive CD4+ T helper cells</t>
  </si>
  <si>
    <t>1. Clonal B-cell proliferation or immune dysregulation generates neutralizing autoantibodies against C1 esterase inhibitor (C1-INH).
2. Autoantibodies bind and accelerate the functional inactivation and clearance of circulating C1-INH.
3. Depletion of C1-INH eliminates its baseline inhibitory control over the contact activation (kallikrein-kinin) and classical complement pathways.
4. Unchecked plasma kallikrein cleaves high-molecular-weight kininogen (HMWK), generating excessive quantities of bradykinin.
5. Excessive bradykinin binds vascular endothelial B2 receptors, inducing rapid postcapillary venular hyperpermeability, vasodilation, and non-pruritic subcutaneous and submucosal edema.</t>
  </si>
  <si>
    <t>Antibody Suspected</t>
  </si>
  <si>
    <t>Anti-MAG disease</t>
  </si>
  <si>
    <t>1237194006.1</t>
  </si>
  <si>
    <t>Anti-MOG disease</t>
  </si>
  <si>
    <t>1237194006.2</t>
  </si>
  <si>
    <t>MOG antibody disease</t>
  </si>
  <si>
    <t>1237194006.3</t>
  </si>
  <si>
    <t>Myelin oligodendrocyte glycoprotein disease</t>
  </si>
  <si>
    <t>1237194006.4</t>
  </si>
  <si>
    <t>Myocarditis due to autoimmune disease</t>
  </si>
  <si>
    <t>Coxsackie myocarditis</t>
  </si>
  <si>
    <t>• Recurrent, episodic, non-pitting, non-pruritic subcutaneous/submucosal edema (90–100%)
• Absence of concurrent urticarial wheals (80–90%)
• Colicky abdominal pain and gastrointestinal wall edema (30–45%)
• Life-threatening laryngeal edema with stridor (20–30%)</t>
  </si>
  <si>
    <t>1.0 cases per 100,000 to 500,000</t>
  </si>
  <si>
    <t>• Helicobacter pylori
• Dental or oropharyngeal infections</t>
  </si>
  <si>
    <t>• ACE inhibitors
• Estrogen-containing medications
• Physical trauma / surgical manipulation</t>
  </si>
  <si>
    <t>• Systemic lupus erythematosus
• Sjogren's syndrome
• Monoclonal gammopathy (MGUS)</t>
  </si>
  <si>
    <t>• Worldwide (rare)</t>
  </si>
  <si>
    <t>• C1-esterase inhibitor concentrates (plasma-derived or recombinant)
• Icatibant (bradykinin B2 receptor antagonist)
• Rituximab / cyclophosphamide (to suppress autoantibody)
• Corticosteroids / antifibrinolytics (tranexamic acid)</t>
  </si>
  <si>
    <t>Autoimmune aortitis (isolated, non-vasculitic)</t>
  </si>
  <si>
    <t>Autoimmune aortitis; clinically isolated aortitis; isolated aortitis; idiopathic aortitis; isolated idiopathic aortitis; isolated ascending aortitis; isolated thoracic aortitis; noninfectious aortitis; non-infectious ascending aortitis; inflammatory aortitis without systemic vasculitis; idiopathic active aortitis; isolated noninfectious aortitis</t>
  </si>
  <si>
    <t>Autoimmune cardiomyopathy</t>
  </si>
  <si>
    <t>Autoimmune aortitis is an inflammatory condition of the aorta characterized by immune-mediated infiltration of the arterial wall that occurs in the absence of generalized systemic vasculitis. Chronic inflammation can weaken the structural integrity of the thoracic or abdominal aorta, predisposing patients to aneurysm formation, aortic insufficiency, or dissection. Corticosteroids and immunosuppressive agents are the mainstay of treatment to prevent vascular complications.</t>
  </si>
  <si>
    <t>Isolated inflammatory disease of the thoracic or abdominal aorta characterized by transmural lymphocytic infiltration and adventitial fibrosis without systemic vasculitis or associated connective tissue disease. Chapter 72, pp. 1048–1058.</t>
  </si>
  <si>
    <t>Autoimmune myocarditis</t>
  </si>
  <si>
    <t>Aortic medial / adventitial smooth muscle cells (60%)
Aortic endothelial cells (40%)</t>
  </si>
  <si>
    <t>• Autoreactive CD4+ T helper cells
• Autoreactive CD8+ cytotoxic T cells
• Autoreactive B cells / plasma cells</t>
  </si>
  <si>
    <t>1. Idiopathic or post-infectious presentation of aortic medial and adventitial self-antigens to CD4+ and CD8+ T cells.
2. Infiltration of the thoracic or abdominal aortic wall by autoreactive T lymphocytes and macrophages.
3. Cytokine secretion (IFN-γ, IL-6) stimulates local fibroblasts, induces adventitial neoangiogenesis, and recruits matrix metalloproteinase-secreting macrophages.
4. Proteolytic degradation of elastic lamellae and medial smooth muscle cell apoptosis destroy aortic mural architecture.
5. Progressive transmural structural remodeling produces fibrous aortic thickening, vessel ectasia, aneurysm formation, or spontaneous aortic dissection.</t>
  </si>
  <si>
    <t>Myositis</t>
  </si>
  <si>
    <t>Juvenile myositis</t>
  </si>
  <si>
    <t>Idiopathic inflammatory myopathies</t>
  </si>
  <si>
    <t>Idiopathic inflammatory myopathy</t>
  </si>
  <si>
    <t>• Ascending aortic aneurysm / root dilation on imaging (70–85%)
• Severe aortic valve regurgitation (40–55%)
• Deep thoracic or back pain (40–50%)
• Asymptomatic presentation prior to dissection or rupture (30–40%)</t>
  </si>
  <si>
    <t>autoimmune necrotizing myopathy</t>
  </si>
  <si>
    <t>autoimmune myopathy</t>
  </si>
  <si>
    <t>Necrotizing vasculitis</t>
  </si>
  <si>
    <t>• Treponema pallidum
• Mycobacterium tuberculosis
• Chlamydia pneumoniae</t>
  </si>
  <si>
    <t>• Smoking / tobacco use
• Arterial wall shear stress / hypertension
• Trauma / catheterization</t>
  </si>
  <si>
    <t>11791001</t>
  </si>
  <si>
    <t>• Giant cell arteritis
• Takayasu arteritis
• IgG4-related disease
• Ankylosing spondylitis</t>
  </si>
  <si>
    <t>• Worldwide (more frequent in elderly Caucasian populations)</t>
  </si>
  <si>
    <t>Neuralgic amyotrophy</t>
  </si>
  <si>
    <t>• High-dose glucocorticoids
• Methotrexate / azathioprine / tocilizumab
• Surgical vascular grafting / endovascular stenting for aneurysms</t>
  </si>
  <si>
    <t>Acute brachial neuritis</t>
  </si>
  <si>
    <t>Autoimmune autonomic ganglionopathy</t>
  </si>
  <si>
    <t>Autoimmune autonomic ganglionopathy; AAG; autoimmune autonomic neuropathy; autoimmune autonomic failure; acute pandysautonomia; autoimmune pandysautonomia; idiopathic autonomic neuropathy; ganglionic acetylcholine receptor antibody neuropathy; ganglionic AChR antibody autonomic neuropathy; anti-ganglionic nicotinic acetylcholine receptor antibody autonomic neuropathy; α3 ganglionic AChR antibody autonomic neuropathy</t>
  </si>
  <si>
    <t>Brachial neuritis</t>
  </si>
  <si>
    <t>Autoimmune autonomic ganglionopathy is a rare neurological disorder caused by autoantibodies against the nicotinic acetylcholine receptors in autonomic ganglia. This disrupts transmission across sympathetic and parasympathetic nerves, leading to severe orthostatic hypotension, gastrointestinal dysmotility, dry mouth and eyes, and impaired bladder function. Treatments include plasma exchange, intravenous immunoglobulin, and immunosuppressants to restore autonomic balance.</t>
  </si>
  <si>
    <t>Severe acquired dysautonomia mediated by autoantibodies against the ganglionic nicotinic acetylcholine receptor (gAChR), resulting in generalized sympathetic and parasympathetic autonomic failure. Chapter 59, pp. 870–880.</t>
  </si>
  <si>
    <t>Brachial neuropathy</t>
  </si>
  <si>
    <t>Ganglionic nicotinic acetylcholine receptor (gAChR, α3 subunit)</t>
  </si>
  <si>
    <t>Autonomic ganglionic postganglionic neurons (sympathetic / parasympathetic) (100%)</t>
  </si>
  <si>
    <t>• Anti-ganglionic AChR (α3-gAChR) autoantibodies</t>
  </si>
  <si>
    <t>• Autoreactive B cells / plasma cells (anti-gAChR)
• Autoreactive CD4+ T helper cells</t>
  </si>
  <si>
    <t>Brachial plexitis</t>
  </si>
  <si>
    <t>1. Preceding viral illness or immune trigger provokes loss of tolerance to the ganglionic nicotinic acetylcholine receptor (gAChR).
2. Clonal B cells synthesize pathogenic autoantibodies directed against the α3 subunit of the gAChR.
3. Circulating autoantibodies bind ganglionic nicotinic receptors in sympathetic and parasympathetic autonomic ganglia.
4. Receptor binding causes antibody-mediated receptor internalization, functional blockade, and accelerated lysosomal degradation.
5. Loss of functional ganglionic acetylcholine receptors halts fast synaptic transmission across autonomic ganglia, leading to severe orthostatic hypotension, anhidrosis, gastroparesis, and tonic pupils.</t>
  </si>
  <si>
    <t>Brachial plexus disorder</t>
  </si>
  <si>
    <t>Brachial plexus neuritis</t>
  </si>
  <si>
    <t>Brachial radiculitis</t>
  </si>
  <si>
    <t>Idiopathic brachial neuritis</t>
  </si>
  <si>
    <t>Idiopathic brachial plexus neuropathy</t>
  </si>
  <si>
    <t>• Severe, disabling orthostatic hypotension and syncope (90–100%)
• Severe gastrointestinal dysmotility (gastroparesis, pseudo-obstruction, constipation) (70–80%)
• Sicca syndrome (severe dry mouth and dry eyes) (70–80%)
• Tonic, unreactive, or poorly reactive pupils (60–75%)
• Anhidrosis / loss of sweating (60–70%)
• Neurogenic urinary retention (50–60%)</t>
  </si>
  <si>
    <t>26609002</t>
  </si>
  <si>
    <t>Parsonage-Turner Syndrome</t>
  </si>
  <si>
    <t>Neuromyelitis optica</t>
  </si>
  <si>
    <t>• EBV, CMV
• Herpes simplex virus
• Post-viral infections</t>
  </si>
  <si>
    <t>• Acute viral illnesses
• Immune checkpoint inhibitors
• Physiological stress</t>
  </si>
  <si>
    <t>NMO</t>
  </si>
  <si>
    <t>• Hashimoto's thyroiditis
• Type 1 diabetes
• Sjogren's syndrome</t>
  </si>
  <si>
    <t>• Worldwide (rare, ~100 reported cases)</t>
  </si>
  <si>
    <t>• High-dose corticosteroids
• Intravenous immunoglobulin (IVIG)
• Plasma exchange (PLEX)
• Pyridostigmine (symptomatic autonomic support)</t>
  </si>
  <si>
    <t>NMOSD</t>
  </si>
  <si>
    <t>Autoimmune cerebellar ataxia (non-paraneoplastic)</t>
  </si>
  <si>
    <t>Autoimmune cerebellar ataxia; ACA; primary autoimmune cerebellar ataxia; PACA; nonparaneoplastic autoimmune cerebellar ataxia; immune-mediated cerebellar ataxia; IMCA; idiopathic autoimmune cerebellar ataxia; immune-mediated ataxia; anti-GAD ataxia; gluten ataxia; Hashimoto encephalopathy-associated cerebellar ataxia</t>
  </si>
  <si>
    <t>Autoimmune cerebellar ataxia is an immune-mediated disorder of the cerebellum characterized by progressive loss of coordination, unsteady gait, dysarthria, and eye movement abnormalities. It occurs when autoantibodies, such as anti-GAD65 or other neural antibodies, target cerebellar neurons without an underlying malignancy. Early recognition allows for prompt treatment with immunotherapies, which can halt progression and restore neurological function.</t>
  </si>
  <si>
    <t>Devic's disease</t>
  </si>
  <si>
    <t>Subacute or chronic immune-mediated cerebellar ataxia associated with autoantibodies such as anti-GAD65 or other cerebellar antigens, responsive to immunomodulatory treatments. Chapter 58, pp. 855–862.</t>
  </si>
  <si>
    <t>Glutamic acid decarboxylase 65 (GAD65)</t>
  </si>
  <si>
    <t>Cerebellar Purkinje cells (80%)
GABAergic interneurons (basket / stellate cells) (20%)</t>
  </si>
  <si>
    <t>Devic's syndrome</t>
  </si>
  <si>
    <t>• Anti-GAD65 autoantibodies
• Anti-gliadin / anti-TG6 autoantibodies</t>
  </si>
  <si>
    <t>• Autoreactive B cells / plasma cells (anti-GAD65)
• Autoreactive CD4+ T helper cells
• Autoreactive CD8+ cytotoxic T cells</t>
  </si>
  <si>
    <t>1. Primary loss of self-tolerance against intracellular or surface cerebellar Purkinje cell antigens (e.g., GAD65, TG6).
2. Autoreactive CD4+ and cytotoxic CD8+ T lymphocytes cross the blood-brain barrier alongside antigen-specific autoantibodies.
3. Local immune responses cause neuroinflammation in the cerebellar cortex and deep cerebellar nuclei.
4. Effector T-cell cytotoxicity, neurotoxic cytokine release, and autoantibody-mediated disruption of GABAergic synthesis occur.
5. Progressive degeneration and apoptosis of cerebellar Purkinje neurons lead to irreversible cerebellar atrophy, dysmetria, and ataxia.</t>
  </si>
  <si>
    <t>Neuromyelitis optica spectrum Disorder</t>
  </si>
  <si>
    <t>Optic neuromyelitis</t>
  </si>
  <si>
    <t>Opticomyelitis</t>
  </si>
  <si>
    <t>Opticospinal MS</t>
  </si>
  <si>
    <t>Neuromyotonia</t>
  </si>
  <si>
    <t>• Progressive gait instability and appendicular limb ataxia (90–100%)
• Cerebellar dysarthria / slurred scanning speech (70–85%)
• Nystagmus, saccadic intrusions, and ocular dysmetria (60–75%)
• Intention and action tremor (50–65%)</t>
  </si>
  <si>
    <t>305719002</t>
  </si>
  <si>
    <t>NMT</t>
  </si>
  <si>
    <t>• Helicobacter pylori
• Gluten / enteroviruses (gluten ataxia)
• EBV, CMV</t>
  </si>
  <si>
    <t>• Gluten ingestion (in gluten-sensitive ataxia)
• Chronic alcohol exposure (aggravator)
• Malignancy (paraneoplastic)</t>
  </si>
  <si>
    <t>• Celiac disease
• Hashimoto's thyroiditis
• Type 1 diabetes
• Pernicious anemia</t>
  </si>
  <si>
    <t>Continuous muscle fiber activity syndrome</t>
  </si>
  <si>
    <t>• Strict gluten-free diet (for gluten ataxia)
• Intravenous immunoglobulin (IVIG)
• Systemic corticosteroids
• Rituximab / plasma exchange</t>
  </si>
  <si>
    <t>Autoimmune chylomicronemia due to anti-GPIHBP1 antibodies</t>
  </si>
  <si>
    <t>Isaacs' syndrome</t>
  </si>
  <si>
    <t>Autoimmune chylomicronemia due to anti-GPIHBP1 antibodies; GPIHBP1 autoantibody syndrome; chylomicronemia from GPIHBP1 autoantibodies; autoimmune hyperchylomicronemia; acquired chylomicronemia due to GPIHBP1 autoantibodies; anti-GPIHBP1 autoantibody-associated hypertriglyceridemia; GPIHBP1 autoantibody-mediated severe hypertriglyceridemia; anti-glycosylphosphatidylinositol-anchored high-density lipoprotein-binding protein 1 autoantibody syndrome; acquired severe hypertriglyceridemia due to GPIHBP1 autoantibodies</t>
  </si>
  <si>
    <t>Isaacs-Mertens syndrome</t>
  </si>
  <si>
    <t>Issacs' syndrome</t>
  </si>
  <si>
    <t>Autoimmune chylomicronemia is a rare metabolic disorder caused by autoantibodies that bind to GPIHBP1, a protein essential for transporting lipoprotein lipase onto capillary walls. By blocking this interaction, the clearance of triglyceride-rich chylomicrons from the bloodstream is inhibited, causing severe hypertriglyceridemia, recurrent pancreatitis, and eruptive xanthomas. Management combines dietary fat restriction with targeted immunosuppressive therapies.</t>
  </si>
  <si>
    <t>Severe refractory hypertriglyceridemia caused by acquired autoantibodies that block glycosylphosphatidylinositol-anchored high-density lipoprotein binding protein 1 (GPIHBP1), inhibiting intravascular lipoprotein lipase action. Chapter 51, pp. 720–728.</t>
  </si>
  <si>
    <t>Metabolic system</t>
  </si>
  <si>
    <t>Quantal squander syndrome</t>
  </si>
  <si>
    <t>Glycosylphosphatidylinositol-anchored high-density lipoprotein-binding protein 1 (GPIHBP1)</t>
  </si>
  <si>
    <t>Capillary endothelial cells (adipose, skeletal muscle, cardiac) (100%)</t>
  </si>
  <si>
    <t>Ophthalmoplegia due to Graves' disease</t>
  </si>
  <si>
    <t>Thyroid eye disease</t>
  </si>
  <si>
    <t>• Anti-GPIHBP1 autoantibodies</t>
  </si>
  <si>
    <t>• Autoreactive B cells / plasma cells (anti-GPIHBP1)
• Autoreactive CD4+ T helper cells</t>
  </si>
  <si>
    <t>1. Loss of peripheral tolerance prompts B-cell differentiation and production of autoantibodies against GPIHBP1.
2. High-titer IgG autoantibodies bind the lymphocyte antigen 6 domain of glycosylphosphatidylinositol-anchored high-density lipoprotein-binding protein 1 (GPIHBP1).
3. Autoantibodies block the ability of GPIHBP1 to capture lipoprotein lipase (LPL) and transport it across capillary endothelial cells into the vascular lumen.
4. Absence of functional luminal LPL halts intravascular lipolysis and hydrolysis of circulating chylomicrons.
5. Massive intravascular accumulation of triglyceride-rich chylomicrons results in severe hyperchylomicronemia, eruptive xanthomas, and recurrent acute pancreatitis.</t>
  </si>
  <si>
    <t>Graves' eye disease</t>
  </si>
  <si>
    <t>104461000119104</t>
  </si>
  <si>
    <t>104461000119104.1</t>
  </si>
  <si>
    <t>Graves ophthalmopathy</t>
  </si>
  <si>
    <t>104461000119104.2</t>
  </si>
  <si>
    <t>Graves' ophthalmopathy</t>
  </si>
  <si>
    <t>104461000119104.3</t>
  </si>
  <si>
    <t>Graves' orbitopathy</t>
  </si>
  <si>
    <t>104461000119104.4</t>
  </si>
  <si>
    <t>• Refractory extreme hypertriglyceridemia (&gt;1,000–2,000 mg/dL) with lactescent/milky serum (100%)
• Eruptive cutaneous xanthomas on extensor surfaces and buttocks (60–75%)
• Recurrent episodes of acute pancreatitis (50–65%)
• Lipemia retinalis on fundoscopic examination (40–55%)</t>
  </si>
  <si>
    <t>Thyroid-Associated orbitopathy</t>
  </si>
  <si>
    <t>104461000119104.5</t>
  </si>
  <si>
    <t>Opsoclonus-myoclonus syndrome</t>
  </si>
  <si>
    <t>OMS</t>
  </si>
  <si>
    <t>Ataxo-opso-myoclonus syndrome</t>
  </si>
  <si>
    <t>Dancing eye syndrome</t>
  </si>
  <si>
    <t>• Unidentified viral triggers
• Chronic antigenic stimuli</t>
  </si>
  <si>
    <t>• High-fat dietary consumption
• Medications (estrogens)
• Pregnancy</t>
  </si>
  <si>
    <t>Dancing eye-dancing feet syndrome</t>
  </si>
  <si>
    <t>• Systemic lupus erythematosus
• Sjogren's syndrome</t>
  </si>
  <si>
    <t>Kinsbourne syndrome</t>
  </si>
  <si>
    <t>• Strict very low fat diet (&lt;10-15% of daily calories)
• Immunosuppressive therapy (steroids, rituximab, mycophenolate)
• Lipid-lowering therapies (fibrates, medium-chain triglycerides)</t>
  </si>
  <si>
    <t>OMA syndrome</t>
  </si>
  <si>
    <t>Autoimmune diabetes insipidus (neurogenic)</t>
  </si>
  <si>
    <t>Autoimmune diabetes insipidus; autoimmune central diabetes insipidus; autoimmune neurogenic diabetes insipidus; central diabetes insipidus of autoimmune origin; vasopressin-cell antibody-positive central diabetes insipidus; AVP cell antibody-associated CDI; autoimmune CDI; lymphocytic infundibuloneurohypophysitis-associated diabetes insipidus; neurohypophyseal diabetes insipidus due to autoimmunity; idiopathic central diabetes insipidus with autoimmune features</t>
  </si>
  <si>
    <t>Opsoclonus myoclonus syndrome</t>
  </si>
  <si>
    <t>Autoimmune diabetes insipidus is a rare endocrine condition where autoantibodies or lymphocytic inflammation target the vasopressin-producing neurons of the hypothalamus and posterior pituitary gland. The resulting lack of antidiuretic hormone impairs the kidneys' ability to concentrate urine, leading to excessive urination and intense thirst. Treatment involves hormone replacement with desmopressin alongside anti-inflammatory therapy.</t>
  </si>
  <si>
    <t>Central diabetes insipidus caused by autoimmune lymphocytic infundibulo-neurohypophysitis, targeting vasopressin-producing magnocellular neurons in the hypothalamic-neurohypophyseal axis. Chapter 43, pp. 610–620.</t>
  </si>
  <si>
    <t>Opsoclonus-myoclonus-ataxia syndrome</t>
  </si>
  <si>
    <t>Arginine vasopressin (AVP)
Vasopressin-secreting cells</t>
  </si>
  <si>
    <t>Hypothalamic magnocellular neurosecretory neurons (supraoptic / paraventricular) (100%)</t>
  </si>
  <si>
    <t>Paraneoplastic opsoclonus-myoclonus</t>
  </si>
  <si>
    <t>• Anti-vasopressin-secreting cell antibodies (AVPc-Ab)</t>
  </si>
  <si>
    <t>Paraneoplastic opsoclonus-myoclonus-ataxia syndrome</t>
  </si>
  <si>
    <t>• Autoreactive CD4+ T helper cells (vasopressin cell-specific)
• Autoreactive CD8+ cytotoxic T cells
• Autoreactive B cells / plasma cells (anti-AVP / AVPc)</t>
  </si>
  <si>
    <t>1. Central autoimmune dysregulation leads to targeting of magnocellular vasopressinergic neurons in the hypothalamic supraoptic and paraventricular nuclei.
2. Autoantibodies against vasopressin-secreting cells (AVPc-Ab) and autoreactive cytotoxic CD8+ T cells target the hypothalamic-neurohypophyseal tract.
3. Lymphocytic infundibuloneurohypophysitis induces swelling and lymphocytic infiltration of the pituitary stalk and posterior pituitary.
4. Progressive destruction of arginine vasopressin (AVP)-producing neurosecretory cell bodies and neurohypophyseal terminals.
5. Total deficiency of circulating vasopressin abolishes renal aquaporin-2 translocation in the collecting duct, causing severe polyuria and polydipsia.</t>
  </si>
  <si>
    <t>POMA syndrome</t>
  </si>
  <si>
    <t>Palindromic rheumatism</t>
  </si>
  <si>
    <t>Hench-Rosenberg syndrome</t>
  </si>
  <si>
    <t>Hench's syndrome</t>
  </si>
  <si>
    <t>Palindromic rheumatism syndrome</t>
  </si>
  <si>
    <t>• Severe polyuria (&gt;3–5 L/24h) with dilute urine (95–100%)
• Compulsive polydipsia / cold water craving (95–100%)
• Disruptive nocturia (90–95%)
• Hypernatremic dehydration when fluid access is restricted (40–50%)</t>
  </si>
  <si>
    <t>Paraneoplastic cerebellar degeneration</t>
  </si>
  <si>
    <t>PCA</t>
  </si>
  <si>
    <t>PCD</t>
  </si>
  <si>
    <t>PNS</t>
  </si>
  <si>
    <t>• Viral hypothalamic infections
• Rare microbial triggers</t>
  </si>
  <si>
    <t>• Head trauma / pituitary surgery
• Pituitary radiation
• Chronic inflammation</t>
  </si>
  <si>
    <t>• Hashimoto's thyroiditis
• Type 1 diabetes
• Lymphocytic hypophysitis
• Systemic lupus erythematosus</t>
  </si>
  <si>
    <t>Paraneoplastic cerebellar ataxia</t>
  </si>
  <si>
    <t>• Desmopressin (DDAVP replacement)
• Systemic corticosteroids (pulse methylprednisolone)
• Azathioprine or methotrexate (steroid-sparing)</t>
  </si>
  <si>
    <t>Ménière's disease
Autoimmune disorder of inner ear</t>
  </si>
  <si>
    <t>Paraneoplastic neurological syndrome</t>
  </si>
  <si>
    <t>Autoimmune inner ear disease (AIED) is a condition characterized by inflammation of the inner ear. It happens when the immune system mistakenly targets cells in the inner ear as if they were a virus or bacteria. AIED is uncommon, affecting fewer than one percent of the 28 million Americans with hearing loss. The symptoms of AIED are sudden hearing loss in one ear progressing rapidly to the second ear. The hearing loss can progress over weeks or months. It can happen alone or in addition to other systemic autoimmune disorders.</t>
  </si>
  <si>
    <t>Sensorineural hearing loss disorder characterized by progressive bilateral cochleovestibular damage, responsive to corticosteroids, with autoantibodies identified against cochlear antigens including cochlin and heat shock protein 70 (Hsp70). Chapter 56, pp. 795–805.</t>
  </si>
  <si>
    <t>Cochlin
Heat shock protein 70 (Hsp70)</t>
  </si>
  <si>
    <t>Paraneoplastic syndrome</t>
  </si>
  <si>
    <t>Cochlear and vestibular sensory hair cells (55%)
Spiral ganglion neurons (30%)
Stria vascularis marginal cells (15%)</t>
  </si>
  <si>
    <t>inner ear-specific IFN-γ producing T cells</t>
  </si>
  <si>
    <t>• Autoreactive CD4+ T helper cells (cochlin/Hsp70-specific, IFN-γ-producing)
• Autoreactive B cells / plasma cells</t>
  </si>
  <si>
    <t>1. Systemic autoimmune disorder or local trauma triggers an immune response against inner ear antigens (cochlin, type II collagen, Hsp70).
2. Autoreactive CD4+ Th1 cells and circulating antibodies enter the cochlea via the spiral modiolar vein.
3. Deposition of immune complexes and localized release of pro-inflammatory cytokines (IL-1β, TNF-α, IFN-γ) within the stria vascularis and spiral ligament.
4. Destruction of marginal and intermediate cells compromises endolymph production, cochlear blood flow, and potassium homeostasis.
5. Degeneration of cochlear sensory hair cells and spiral ganglion neurons causes rapidly progressive, fluctuating bilateral sensorineural hearing loss.</t>
  </si>
  <si>
    <t>Paroxysmal nocturnal hemoglobinuria</t>
  </si>
  <si>
    <t>Immune-mediated</t>
  </si>
  <si>
    <t>R</t>
  </si>
  <si>
    <t>Pediatric autoimmune neuropsychiatric disorder associated with streptococcal infection</t>
  </si>
  <si>
    <t>PANDAS</t>
  </si>
  <si>
    <t>PANS</t>
  </si>
  <si>
    <t>• Rapidly progressive, bilateral, asymmetric sensorineural hearing loss over weeks to months (85–95%)
• Episodic tinnitus (60–75%)
• Persistent aural fullness (50–60%)
• Vestibular instability, vertigo, and imbalance (45–55%)</t>
  </si>
  <si>
    <t>1.0 cases per 6,667</t>
  </si>
  <si>
    <t>Pediatric Acute-onset Neuropsychiatric Syndrome</t>
  </si>
  <si>
    <t>Pemphigus</t>
  </si>
  <si>
    <t>Pemphigus foliaceus</t>
  </si>
  <si>
    <t>• Rubella, CMV, EBV
• Borrelia burgdorferi
• Measles virus</t>
  </si>
  <si>
    <t>• Acoustic trauma / loud noise
• Viral labyrinthitis / viral upper respiratory infection
• Physical fatigue</t>
  </si>
  <si>
    <t>• Rheumatoid arthritis
• Systemic lupus erythematosus
• Celiac disease
• Hashimoto's thyroiditis</t>
  </si>
  <si>
    <t>• Worldwide (estimated 15-30 cases per 100,000)</t>
  </si>
  <si>
    <t>Pemphigus erythematosus</t>
  </si>
  <si>
    <t>• High-dose oral corticosteroids (prednisone taper)
• Intratympanic dexamethasone injections
• Methotrexate / azathioprine
• Biologics (infliximab, tocilizumab) for refractory cases</t>
  </si>
  <si>
    <t>Brazilian pemphigus foliaceus</t>
  </si>
  <si>
    <t>Autoimmune encephalitis
Bickerstaff's brainstem encephalitis
Bickerstaff encephalitis
Bickerstaff's encephalitis</t>
  </si>
  <si>
    <t xml:space="preserve">Autoimmune encephalitis occurs when the body's immune system attacks healthy brain cells, causing neurologic and/or psychiatric impairments. 
</t>
  </si>
  <si>
    <t>Heterogeneous category of immune-mediated inflammatory brain disorders targeting neuronal cell-surface, synaptic, or intracellular antigens, leading to rapid cognitive decline, seizures, movement disorders, and psychiatric symptoms. Chapter 58, pp. 845–860.</t>
  </si>
  <si>
    <t>Pemphigus vulgaris</t>
  </si>
  <si>
    <t>NMDA receptor
LGI1
CASPR2
AMPA receptor
GABA_B receptor</t>
  </si>
  <si>
    <t>Synaptic neurons (cortical, limbic, hippocampal) (90%)
Glial cells (10%)</t>
  </si>
  <si>
    <t>anti-GQ1b IgG antibody</t>
  </si>
  <si>
    <t>• Autoreactive B cells / plasma cells (neuronal surface antigens)
• Autoreactive CD4+ T helper cells
• Autoreactive CD8+ cytotoxic T cells (onconeural/intracellular antigens)</t>
  </si>
  <si>
    <t>1. Tumor expression of neural antigens, viral neuroinvasive infection (e.g., HSV-1), or systemic autoimmunity breaks self-tolerance to neuronal antigens.
2. Primed autoreactive B cells and T cells cross the blood-brain barrier and establish intrathecal residence.
3. Production of pathogenic autoantibodies against neuronal surface proteins, ion channels, or receptors, alongside cytotoxic T-cell infiltrates.
4. Autoantibodies mediate receptor internalization, synaptic disruption, or complement activation, while T cells mediate neuronal lysis.
5. Progressive cortical and subcortical neuronal dysfunction leads to acute encephalopathy, seizures, psychosis, memory loss, and coma.</t>
  </si>
  <si>
    <t>Drug-induced pemphigus</t>
  </si>
  <si>
    <t>Pemphigus paraneoplastica</t>
  </si>
  <si>
    <t>• Acute/subacute memory deficits and rapid cognitive decline (80–90%)
• New-onset psychiatric symptoms, psychosis, and personality changes (65–80%)
• Epileptic seizures (65–75%)
• Involuntary movement disorders / dyskinesias (40–50%)
• Autonomic dysregulation and hypoventilation (35–45%)</t>
  </si>
  <si>
    <t>POEMS syndrome</t>
  </si>
  <si>
    <t>1.0 cases per 7,299
Extremely rare</t>
  </si>
  <si>
    <t>Crow-Fukase syndrome</t>
  </si>
  <si>
    <t>Osteosclerotic myeloma</t>
  </si>
  <si>
    <t>• Herpes simplex virus (HSV-1 trigger in 10-20%)
• EBV, CMV, VZV, Enteroviruses</t>
  </si>
  <si>
    <t>• Preceding viral encephalitis
• Teratoma / occult tumors
• Immune checkpoint inhibitors</t>
  </si>
  <si>
    <t>• Hashimoto's thyroiditis
• Myasthenia gravis
• Systemic lupus erythematosus</t>
  </si>
  <si>
    <t>• Worldwide (all continents, median age 20-30 years)</t>
  </si>
  <si>
    <t>• First-line: IV methylprednisolone, IVIG, or plasmapheresis
• Second-line: Rituximab or Cyclophosphamide
• Surgical removal of underlying tumor / teratoma</t>
  </si>
  <si>
    <t>PEP syndrome</t>
  </si>
  <si>
    <t>Limbic encephalitis with N-methyl-D-aspartate receptor antibodies
Anti-NMDA receptor encephalitis
Anti-N-methyl-D-aspartate receptor encephalitis
Autoimmune encephalitis caused by N-methyl D-aspartate receptor antibody
Anti-NMDA Encephalitis</t>
  </si>
  <si>
    <t>Polyneuropathy-organomegaly-endocrinopathy-M protein-skin lesions</t>
  </si>
  <si>
    <t>Anti-NMDA receptor encephalitis is an autoimmune disorder in which the body attacks the brain’s NMDA receptors. N-Methyl-D-Aspartate (NMDA) receptors are proteins that play a significant role in learning and memory.
When the NMDA receptor antibodies attack the NMDA receptors in the brain, certain functions of the brain are disrupted and brain swelling, or encephalitis, occurs. At disease onset, patients often have symptoms consistent with those caused by a virus.  Within 3 months of onset, patients develop psychological or neurological problems, including seizures and perceptual and behavioral changes.  As the disorder progresses, patients become verbally unresponsive and experience difficulty with movement.  With time, problems with regulation of autonomic processes, such as heart rate and breathing, emerge.  Some cases of this disease have been associated with tumors, especially of the ovary. In severe cases, complications can result in relapse, chronic cognitive problems, or death.  However, if treatment and medical supervision is received, most patients can expect to fully recover.</t>
  </si>
  <si>
    <t>Autoimmune synaptic encephalopathy mediated by autoantibodies against the GluN1 subunit of NMDA receptors, causing memory deficits, psychiatric disturbances, movement disorders, autonomic instability, and hypoventilation, commonly associated with ovarian teratomas. Chapter 58, pp. 845–855.</t>
  </si>
  <si>
    <t>NMDA receptor (GluN1 subunit)</t>
  </si>
  <si>
    <t>Shimpo syndrome</t>
  </si>
  <si>
    <t>Hippocampal and forebrain pyramidal neurons (90%)
Cortical interneurons (10%)</t>
  </si>
  <si>
    <t>autoantibodies target the NMDA receptor, the AMPA receptor, the voltage-gated potassium channel (VGKC) complex, or a growing list of synaptic protein</t>
  </si>
  <si>
    <t>• Autoreactive B cells / plasmablasts (anti-GluN1)
• Autoreactive CD4+ T helper cells</t>
  </si>
  <si>
    <t>1. Ectopic expression of NR1/NR2 subunits in an ovarian teratoma (or post-herpetic viral trigger) primes naive B and T cells.
2. Differentiation into plasmablasts producing IgG (predominantly IgG1) against the GluN1 (NR1) subunit of the NMDA receptor.
3. Pathogenic anti-GluN1 antibodies cross the blood-brain barrier and bind extracellular NMDA receptors on forebrain and hippocampal neurons.
4. Autoantibodies cross-link GluN1 receptors, displacing them from synaptic scaffolding and triggering selective internalization and degradation.
5. Progressive reduction of synaptic NMDA receptor density abolishes frontostriatal GABAergic inhibition, triggering psychosis, catatonia, autonomic instability, and seizures.</t>
  </si>
  <si>
    <t>Takatsuki syndrome</t>
  </si>
  <si>
    <t>Polyarteritis nodosa</t>
  </si>
  <si>
    <t>c-PAN</t>
  </si>
  <si>
    <t>PAN</t>
  </si>
  <si>
    <t>• Prominent psychiatric symptoms: psychosis, mania, hallucinations, agitation (90–95%)
• Stereotyped orofacial and limb dyskinesias / choreoathetosis (75–85%)
• Catatonia, mutism, and speech reduction (75–80%)
• Seizures / status epilepticus (70–80%)
• Autonomic instability and central hypoventilation (50–65%)</t>
  </si>
  <si>
    <t>1.0 cases per 1,000,000 to 1,500,000</t>
  </si>
  <si>
    <t>Classic polyarteritis nodosa</t>
  </si>
  <si>
    <t>1.0 cases per 1,500,000</t>
  </si>
  <si>
    <t>Periarteritis nodosa</t>
  </si>
  <si>
    <t>• Herpes simplex virus (HSV encephalitis trigger)
• Mycoplasma pneumoniae
• EBV, influenza virus</t>
  </si>
  <si>
    <t>• Ovarian teratoma (expressing NMDA receptors)
• Post-herpes simplex viral encephalitis
• Immune checkpoint inhibitors</t>
  </si>
  <si>
    <t>• Hashimoto's thyroiditis
• Vitiligo
• Autoimmune thyroid disease</t>
  </si>
  <si>
    <t>• Worldwide (female preponderance 4:1, young adults &amp; children)</t>
  </si>
  <si>
    <t>• High-dose IV methylprednisolone + IVIG or plasma exchange
• Second-line: Rituximab and/or Cyclophosphamide
• Tumor / ovarian teratoma resection (critical for cure)</t>
  </si>
  <si>
    <t>Polyarteritis</t>
  </si>
  <si>
    <t>Polyglandular autoimmune syndrome type 1</t>
  </si>
  <si>
    <t>APECED</t>
  </si>
  <si>
    <t>Autoimmune enteropathy is an extremely rare disease characterized by diarrhea that does not respond to treatment and may require intravenous feeding to sustain the patient. It is diagnosed most frequently in infants and  is increasingly being diagnosed in adults, but the symptoms are the same as many more common diseases, so correct diagnosis is difficult.   It is more frequently diagnosed in patients already diagnosed with other autoimmune diseases such as APECED type 1.</t>
  </si>
  <si>
    <t>One key discovery in the field identified a gene that was critical for the development of Tregs by studying autoimmune disorders of mice and humans. FoxP3 was identified as the essential transcription factor required for the differentiation of CD41CD251 Tregs (Brunkow et al., 2001), and was shown to be the mutation that drives an autoimmune phenotype in scurfy mice. Importantly, FoxP3 mutations were also identified in patients with the severe and potentially fatal inflammatory disorder Immune dysregulation, Polyendocrinopathy, Enteropathy, X-linked (IPEX) syndrome (Chatila et al., 2000; Bennett et al., 2001; Wildin et al., 2001). Clinical symptoms vary between patients but commonly include type 1 diabetes, enteropathy, and eczema (Ochs et al., 2005). Subsequently, FoxP31 thymus-derived Tregs, referred to as natural Tregs (nTregs), have been shown to suppress autoimmunity, allergy, and inflammation (Fontenot et al., 2003; Hori et al., 2003; Allan et al., 2005).
Examples are autoantibodies against aromatic L-amino acid decarboxylase (AADC) correlated to type 2 autoimmune hepatitis (Husebye et al., 1997), tryptophan hydroxylase connected to autoimmune enteropathy (Ekwall et al., 1998), and tyrosine hydroxylases correlated to alopecia (Hedstrand et al., 2000).
Chapter 7, pp 89; Chapter 43 pp 608</t>
  </si>
  <si>
    <t>APS-1</t>
  </si>
  <si>
    <t xml:space="preserve">Digestive system
</t>
  </si>
  <si>
    <t xml:space="preserve">Not associated with diet (unlike celiac disease)
Harmonin (previously named AE75) - expressed broadly in intestinal epithelial cells (brush border microvilli) than in retina and inner ear
 Mucins (predominantly MUC2) - present in Goblet Cells
Villin - key brush-border antigen in enterocytes (localized to microvilli of the small intestine and proximal renal tubules). </t>
  </si>
  <si>
    <t>Small intestinal enterocytes (brush-border microvilli) (75%)
Goblet cells (25%)</t>
  </si>
  <si>
    <t>anti-enterocyte (AE)  - 70%
anti-AE75 - 40%
anti-goblet cell (AG) - 20%
anti-villin - 5%
Antibody combinations (more than one subtype are extremly common in this disease)
May appear more as a downstream consequence rather than causative (epiphenomenon)</t>
  </si>
  <si>
    <t>• Autoreactive CD4+ T cells (lamina propria Th1 / Th17)
• Autoreactive CD8+ intraepithelial lymphocytes (IELs)
• Autoreactive B cells / plasma cells (anti-enterocyte / anti-harmonin)</t>
  </si>
  <si>
    <t>Autoimmune polyendocrine syndrome type 1</t>
  </si>
  <si>
    <t>1. Breakdown of intestinal immune homeostasis or genetic mutation (e.g., FOXP3 in IPEX) results in failure of mucosal regulatory T cells.
2. Unchecked activation of autoreactive CD4+ Th1/Th17 cells and intraepithelial cytotoxic CD8+ T lymphocytes in the gut lamina propria.
3. Generation of autoantibodies against gut microvilli proteins (harmonin/AE75, villin) and goblet cells.
4. Massive infiltration of effector lymphocytes induces Fas/FasL- and perforin-dependent apoptosis of small intestinal enterocytes.
5. Total villous atrophy, crypt hyperplasia, and loss of mucosal absorptive surface result in intractable secretory diarrhea, malabsorption, and wasting.</t>
  </si>
  <si>
    <t>TCD4+/8+</t>
  </si>
  <si>
    <t>Autoimmune polyendocrinopathy-candidiasis-ectodermal dystrophy</t>
  </si>
  <si>
    <t>Autoimmune polyglandular syndrome type 1</t>
  </si>
  <si>
    <t>Whitaker syndrome</t>
  </si>
  <si>
    <t>Polyglandular autoimmune syndrome type 2</t>
  </si>
  <si>
    <t>APS2</t>
  </si>
  <si>
    <t>PGA 2</t>
  </si>
  <si>
    <t>PGA-II</t>
  </si>
  <si>
    <t>• Severe, intractable, chronic secretory diarrhea persisting during fasting (95–100%)
• Total villous atrophy on small intestinal biopsy (90–100%)
• Severe malabsorption, cachexia, and involuntary weight loss (85–95%)
• Protein-losing enteropathy with severe hypoalbuminemia and anasarca (60–75%)</t>
  </si>
  <si>
    <t>Autoimmune polyendocrine syndrome type 2</t>
  </si>
  <si>
    <t>Autoimmune polyglandular syndrome type II</t>
  </si>
  <si>
    <t>• Rotavirus, enteroviruses
• Microbial gut flora dysbiosis</t>
  </si>
  <si>
    <t>• Dietary antigens / gluten
• Early microbial exposures
• Immune checkpoint inhibitor therapy</t>
  </si>
  <si>
    <t>Carpenter syndrome</t>
  </si>
  <si>
    <t>• Type 1 diabetes
• Autoimmune thyroiditis
• IPEX syndrome (FOXP3)
• Celiac disease</t>
  </si>
  <si>
    <t>• Worldwide (very rare, mostly pediatric and adult IPEX-like)</t>
  </si>
  <si>
    <t>Multiple endocrine deficiency syndrome  type 2</t>
  </si>
  <si>
    <t>• Systemic corticosteroids
• Calcineurin inhibitors (tacrolimus, cyclosporine)
• Total parenteral nutrition (TPN)
• Biologics (infliximab, vedolizumab)</t>
  </si>
  <si>
    <t>Polyglandular deficiency syndrome type 2</t>
  </si>
  <si>
    <t>Macrocytic Anemia
Megaloblastic Anemia
Pernicious anemia
Autoimmune gastritis
Atrophic gastritis
Autoimmune atrophic gastritis
Eosinophilic gastritis
Autoimmune enteropathy</t>
  </si>
  <si>
    <r>
      <rPr>
        <rFont val="Calibri"/>
        <color rgb="FFFFFFFF"/>
        <sz val="18.0"/>
      </rPr>
      <t xml:space="preserve">Inflammation of the lining of the stomach that can occur suddenly or gradually. In some cases, gastritis may lead to ulcers or stomach cancer.
</t>
    </r>
  </si>
  <si>
    <t>Schmidt syndrome</t>
  </si>
  <si>
    <t>Autoimmune gastritis and pernicious anemia are typically associated with autoantibodies to parietal cells, directed to gastric H+/K+ ATPase and to intrinsic factor. For the diagnosis of pernicious anemia, intrinsic factor antibodies have a much higher disease specificity (&gt;95%), albeit lower sensitivity (50–70%), than antibodies to gastric parietal cells. A recent study suggests that assaying autoantibodies to both intrinsic factor and the H+/K+ ATPase results in an increased specificity and sensitivity and would aid in selection of patients for follow-up gastroscopic procedures (Lahner et al., 2009). Since the Schilling test is no longer available as a diagnostic procedure, there has been increased dependence on intrinsic factor antibodies for diagnosis. Antibodies to the vitamin B12 binding site of intrinsic factor are demonstrable in serum of ~70% of patients and to a second site in ~50%. These frequencies are greater if gastric juice is assayed. There may be coexisting autoantibodies specific for the various other autoimmune diseases in the thyrogastric cluster. The incidence of these antibodies rises with increasing duration of disease, almost doubling after 10 years (Ungar et al., 1967).</t>
  </si>
  <si>
    <t xml:space="preserve">Digestive system
</t>
  </si>
  <si>
    <t>H⁺/K⁺-ATPase (70-85%)
Intrinsic Factor (30-40%)</t>
  </si>
  <si>
    <t>Polyglandular autoimmune syndrome type 3</t>
  </si>
  <si>
    <t>PAS 3</t>
  </si>
  <si>
    <t>Oxyntic cells (gastric parietal cells) (100%)
[Gastric mucosa distribution: Body 45-50%, Fundus 45-50%, Pyloric antrum 0-5%]</t>
  </si>
  <si>
    <t xml:space="preserve">
H⁺/K⁺-ATPase (70-85%)
Antibodies to the vitamin B12 binding site of intrinsic factor are demonstrable in serum of ~70% of patients and to a second site in ~50%. 
There may be coexisting autoantibodies specific for the various other autoimmune diseases in the thyrogastric cluster. 
Examples are autoantibodies against aromatic L-amino acid decarboxylase (AADC) correlated to type 2 autoimmune hepatitis (Husebye et al., 1997), tryptophan hydroxylase connected to autoimmune enteropathy (Ekwall et al., 1998), and tyrosine hydroxylases correlated to alopecia (Hedstrand et al., 2000).
The incidence of these antibodies rises with increasing duration of disease, almost doubling after 10 years (Ungar et al., 1967).</t>
  </si>
  <si>
    <t>• Autoreactive CD4+ Th1 cells (H+/K+-ATPase-specific)
• Autoreactive CD8+ cytotoxic T cells
• Autoreactive B cells / plasma cells (anti-H+/K+-ATPase, anti-intrinsic factor)</t>
  </si>
  <si>
    <t>PAS III</t>
  </si>
  <si>
    <t>1. Genetic risk (HLA-DRB1*03/04) drives immune loss of tolerance against gastric parietal cell H+/K+-ATPase and intrinsic factor.
2. Autoreactive CD4+ Th1 cells infiltrate the gastric oxyntic mucosa, releasing IFN-γ and recruiting cytotoxic CD8+ T cells.
3. Autoantibodies against H+/K+-ATPase and intrinsic factor develop, accompanied by progressive cell-mediated apoptosis of parietal cells.
4. Destruction of oxyntic glands causes achlorhydria (impaired iron absorption) and loss of intrinsic factor secretion.
5. Failure of ileal vitamin B12 absorption leads to megaloblastic anemia, subacute combined degeneration of the spinal cord, and neuroendocrine G-cell hyperplasia.</t>
  </si>
  <si>
    <t>TCD4+</t>
  </si>
  <si>
    <t>Autoimmune polyendocrine syndrome type 3</t>
  </si>
  <si>
    <t>• Achlorhydria and elevated fasting serum gastrin (90–100%)
• Megaloblastic / pernicious anemia with profound fatigue and pallor (70–80%)
• Neurological manifestations of B12 deficiency (subacute combined degeneration, paresthesias) (35–50%)
• Dyspepsia, early satiety, and postprandial bloating (30–45%)</t>
  </si>
  <si>
    <t>1.0 cases per 50 to 100</t>
  </si>
  <si>
    <t>Autoimmune polyglandular syndrome type III</t>
  </si>
  <si>
    <t>1.0 cases per 203
Extremely rare</t>
  </si>
  <si>
    <t>Polyglandular deficiency syndrome type 3</t>
  </si>
  <si>
    <t>• Helicobacter pylori (H+/K+-ATPase homology)</t>
  </si>
  <si>
    <t>Polyglandular autoimmune syndrome type 4</t>
  </si>
  <si>
    <t>• Helicobacter pylori infection
• High salt diet / food preservatives
• Cigarette smoking</t>
  </si>
  <si>
    <t>• Hashimoto's thyroiditis
• Type 1 diabetes
• Vitiligo
• Addison's disease</t>
  </si>
  <si>
    <t>• Northern Europe and Caucasian populations (higher prevalence)</t>
  </si>
  <si>
    <t>• Parenteral vitamin B12 supplementation (intramuscular cyanocobalamin)
• Oral/intravenous iron therapy
• H. pylori eradication therapy (if positive)
• Endoscopic surveillance for gastric neoplasia</t>
  </si>
  <si>
    <t>Autoimmune polyendocrine syndrome type 4</t>
  </si>
  <si>
    <t xml:space="preserve"> Autoimmune gastrointestinal dysmotility syndrome (Idiopathic esophageal achalasia with autoimmune features or Autoimmune achalasia)</t>
  </si>
  <si>
    <t>AGID; autoimmune GI dysmotility; gastrointestinal autoimmune dysmotility; autoimmune dysautonomia limited to the gut; autoimmune enteric neuropathy; gastrointestinal autoimmune neuropathy; autoimmune achalasia; idiopathic achalasia with autoimmune features; gut autoimmune enteric neuropathy; GAIN; paraneoplastic gastrointestinal dysmotility; autoimmune gastrointestinal pseudo-obstruction</t>
  </si>
  <si>
    <t>Autoimmune gastrointestinal dysmotility is a condition where autoantibodies or immune cells attack the enteric nervous system, impairing coordinated contractions throughout the digestive tract. Manifestations include severe dysphagia, delayed gastric emptying, pseudo-obstruction, or autoimmune achalasia of the esophagus. Therapy focuses on supportive nutritional interventions, prokinetic agents, and immunosuppressive medications to mitigate enteric nerve damage.</t>
  </si>
  <si>
    <t>Immune-mediated gastrointestinal dysmotility characterized by inflammatory degeneration of the myenteric plexus and ganglionic neurons, frequently associated with circulating antineuronal and anti-ganglionic autoantibodies. Chapter 45, pp. 635–645.</t>
  </si>
  <si>
    <t>Multiple autoimmune syndrome</t>
  </si>
  <si>
    <t>Digestive</t>
  </si>
  <si>
    <t>Enteric neuronal antigens
Ganglionic acetylcholine receptor (gAChR)</t>
  </si>
  <si>
    <t>Myenteric (Auerbach's) plexus inhibitory nitrergic neurons (80%)
Interstitial cells of Cajal (20%)</t>
  </si>
  <si>
    <t>• Anti-enteric neuronal antibodies (anti-Hu)
• Anti-ganglionic AChR autoantibodies</t>
  </si>
  <si>
    <t>• Autoreactive B cells / plasma cells (anti-gAChR / anti-enteric neuronal)
• Autoreactive CD4+ T helper cells
• Autoreactive CD8+ cytotoxic T cells</t>
  </si>
  <si>
    <t>Polymyalgia rheumatica</t>
  </si>
  <si>
    <t>1. Paraneoplastic or primary autoimmunity triggers immune responses against autonomic enteric neuronal antigens or ganglionic acetylcholine receptors (gAChR).
2. Production of circulating antineuronal antibodies (anti-Hu, anti-CRMP5, anti-gAChR) and autoreactive T-cell expansion.
3. Infiltration of the myenteric (Auerbach's) and submucosal (Meissner's) plexuses by CD8+ cytotoxic T cells and macrophages.
4. Selective destruction of inhibitory nitrergic (NO-producing) neurons and interstitial cells of Cajal throughout the gastrointestinal tract.
5. Loss of enteric inhibitory coordination results in aperistalsis, defective lower esophageal/pyloric sphincter relaxation, and severe gastrointestinal dysmotility (achalasia, pseudo-obstruction).</t>
  </si>
  <si>
    <t>Polymyositis</t>
  </si>
  <si>
    <t>Postmyocardial infarction syndrome</t>
  </si>
  <si>
    <t>Postpericardiotomy pericarditis</t>
  </si>
  <si>
    <t>Post-cardiac injury syndrome</t>
  </si>
  <si>
    <t>• Progressive dysphagia to both liquids and solids (90–100%)
• Regurgitation of undigested, retained food (75–85%)
• Retrosternal crampy chest pain (50–65%)
• Significant weight loss (50–60%)
• Nocturnal cough and pulmonary aspiration (30–40%)</t>
  </si>
  <si>
    <t>1.0 cases per 10,000 to 100,000</t>
  </si>
  <si>
    <t>Post-myocardial infarction syndrome</t>
  </si>
  <si>
    <t>Post-pericardiotomy syndrome</t>
  </si>
  <si>
    <t>Dressler's syndrome</t>
  </si>
  <si>
    <t>• Herpes simplex virus 1 (HSV-1)
• Varicella zoster virus, Measles
• Chlamydia trachomatis</t>
  </si>
  <si>
    <t>• Viral upper respiratory/GI infections
• Emotional stress
• Mechanical esophageal irritation</t>
  </si>
  <si>
    <t>• Sjogren's syndrome
• Systemic sclerosis
• Systemic lupus erythematosus
• Type 1 diabetes</t>
  </si>
  <si>
    <t>• Worldwide (similar prevalence ~10 per 100,000 across countries)</t>
  </si>
  <si>
    <t>Delayed postmyocardial infarction syndrome</t>
  </si>
  <si>
    <t>• Pneumatic balloon dilation
• Laparoscopic Heller myotomy
• Peroral endoscopic myotomy (POEM)
• Botulinum toxin injection (for poor surgical candidates)</t>
  </si>
  <si>
    <t>Autoimmune GFAP astrocytopathy</t>
  </si>
  <si>
    <t>Autoimmune GFAP astrocytopathy; GFAP astrocytopathy; autoimmune glial fibrillary acidic protein astrocytopathy; GFAP-IgG astrocytopathy; GFAP antibody-associated disease; GFAP autoimmunity; GFAP-IgG-associated meningoencephalomyelitis; autoimmune GFAP meningoencephalitis; radial perivascular GFAP astrocytopathy; glial fibrillary acidic protein antibody-associated encephalomyelitis</t>
  </si>
  <si>
    <t>Autoimmune GFAP astrocytopathy is an inflammatory central nervous system condition defined by autoantibodies directed against glial fibrillary acidic protein in astrocytes. Patients often present with meningoencephalomyelitis, displaying fever, headache, cognitive changes, optic disc swelling, and ataxia, accompanied by distinctive perivascular enhancement on brain MRI. It typically shows excellent clinical response to corticosteroid therapy.</t>
  </si>
  <si>
    <t>Primary biliary cholangitis</t>
  </si>
  <si>
    <t>PBC</t>
  </si>
  <si>
    <t>Autoimmune inflammatory central nervous system disorder characterized by IgG autoantibodies targeting glial fibrillary acidic protein (GFAP) in astrocytes, presenting with meningoencephalomyelitis and distinct linear radial perivascular MRI enhancement. Chapter 58, pp. 852–861.</t>
  </si>
  <si>
    <t>Glial fibrillary acidic protein (GFAP)</t>
  </si>
  <si>
    <t>Astrocytes (perivascular end-feet and parenchymal) (100%)</t>
  </si>
  <si>
    <t>• Anti-GFAP IgG autoantibodies</t>
  </si>
  <si>
    <t>• Autoreactive CD8+ cytotoxic T cells
• Autoreactive CD4+ T helper cells
• Autoreactive B cells / plasma cells (anti-GFAP)</t>
  </si>
  <si>
    <t>1. Post-infectious or paraneoplastic event stimulates cellular immunity against glial fibrillary acidic protein (GFAP).
2. Autoreactive cytotoxic CD8+ T cells infiltrate the central nervous system perivascular spaces and white matter, accompanied by anti-GFAP IgG.
3. While anti-GFAP IgG serves as an immunological biomarker, CD8+ cytotoxic T cells directly target GFAP-expressing radial and protoplasmic astrocytes.
4. Astroglial end-feet disruption and microglial activation compromise the blood-brain barrier and cause meningeal and perivascular inflammation.
5. Transmural perivascular radial inflammation across the brainstem, spine, and optic nerves produces meningoencephalomyelitis, visual deficits, and ataxia.</t>
  </si>
  <si>
    <t>Primary biliary cirrhosis</t>
  </si>
  <si>
    <t>• Meningoencephalitis symptoms: subacute fever, severe headache, and neck stiffness (75–85%)
• Encephalopathy, confusion, and delirium (65–75%)
• Myelopathy with spinal paraparesis and sensory deficit (40–50%)
• Autonomic dysregulation and neurogenic bladder (35–45%)
• Visual impairment / bilateral optic disc edema (papillitis) (30–40%)</t>
  </si>
  <si>
    <t>Primary idiopathic dilated cardiomyopathy</t>
  </si>
  <si>
    <t>• Herpes simplex virus
• Cytomegalovirus, EBV
• Post-viral prodrome</t>
  </si>
  <si>
    <t>• Preceding viral infection
• Coexisting occult neoplasm (teratoma)
• Immune checkpoint inhibitors</t>
  </si>
  <si>
    <t>• Hashimoto's thyroiditis
• Type 1 diabetes
• Myasthenia gravis</t>
  </si>
  <si>
    <t>• Worldwide (reported in North America, China, Japan, Europe)</t>
  </si>
  <si>
    <t>• High-dose intravenous methylprednisolone
• Intravenous immunoglobulin (IVIG)
• Plasma exchange
• Long-term oral corticosteroids / mycophenolate mofetil</t>
  </si>
  <si>
    <t>Dilated cardiomyopathy</t>
  </si>
  <si>
    <t>Autoimmune hemolytic anemia
Autoimmune hemolytic anemia mixed type</t>
  </si>
  <si>
    <t>Idiopathic dilated cardiomyopathy</t>
  </si>
  <si>
    <t xml:space="preserve">In autoimmune hemolytic anemia, red blood cells are destroyed by antibodies. In some cases, the antibodies are active only when the person is warm, in which case it is called &lt;a href="/Disease_Profile/warm-autoimmune-hemolytic-anemia.aspx"&gt;warm autoimmune hemolytic anemia&lt;/a&gt;. In other cases, the antibodies are active when the person is cold, and it is called &lt;a href="/Disease_Profile/cold-agglutinin-disease.aspx"&gt;cold agglutinin disease&lt;/a&gt;, and in others, the antibodies can be active regardless of the person's body temperature. There is also a form of hemolytic anemia called &lt;a href="/Disease_Profile/paroxysmal-nocturnal-hemoglobinuria.aspx"&gt;paroxysmal nocturnal hemoglobinuria&lt;/a&gt;, in which a genetic mutation causes antibodies to cause the same kind of destruction of red blood cells.
In autoimmune hemolytic anemia, red blood cells are destroyed by antibodies. In some cases, the antibodies are active only when the person is warm, and in other cases, only when the person is cold. In some cases, the antibodies can be active in all 3 situations - when the person's body temperature is normal, cold and warm. There is also a form of hemolytic anemia called paroxysmal nocturnal hemoglobinuria, in which a genetic mutation causes antibodies to cause the same kind of  destruction of red blood cells.
There are other forms of anemia caused by autoimmune disease where </t>
  </si>
  <si>
    <t>Normocytic normochromic anemia characterized by premature immune destruction of autologous red blood cells by autoantibodies, classified into warm-reactive (predominantly IgG-mediated) and cold-reactive (IgM and complement-mediated) forms. Chapter 46, pp. 647–660.</t>
  </si>
  <si>
    <t>Rh blood group antigens
I/i carbohydrate antigens</t>
  </si>
  <si>
    <t>Primary sclerosing cholangitis</t>
  </si>
  <si>
    <t>Mature erythrocytes (red blood cells) (95%)
Reticulocytes (5%)</t>
  </si>
  <si>
    <t>• Anti-erythrocyte autoantibodies (warm IgG / cold agglutinins)</t>
  </si>
  <si>
    <t>• Autoreactive B cells / plasma cells (anti-Rh / anti-I)
• Autoreactive CD4+ T helper cells</t>
  </si>
  <si>
    <t>1. Breakdown of peripheral tolerance prompts clonal expansion of autoreactive B cells targeting erythrocyte surface antigens (Rh proteins, I/i carbohydrates).
2. Synthesis of pathogenic anti-erythrocyte autoantibodies (warm IgG or cold IgM agglutinins).
3. Autoantibodies opsonize circulating red blood cells, which may fix complement component C3b.
4. In warm AIHA, Fc and C3b receptors on splenic and hepatic macrophages induce partial or complete phagocytosis, forming spherocytes and extravascular hemolysis; in cold AIHA, intravascular complement lysis occurs.
5. Accelerated red blood cell destruction overwhelms bone marrow compensatory erythropoiesis, resulting in severe anemia, jaundice, and hemoglobinuria.</t>
  </si>
  <si>
    <t>PSC</t>
  </si>
  <si>
    <t>Chronic obliterative cholangitis</t>
  </si>
  <si>
    <t>Fibrosing cholangitis</t>
  </si>
  <si>
    <t>Stenosing cholangitis</t>
  </si>
  <si>
    <t>• Sallow pallor, severe fatigue, and exertional dyspnea (85–95%)
• Fluctuating jaundice and scleral icterus (65–75%)
• Dark tea- or cola-colored urine (50–60%)
• Tachycardia and flow murmurs (50–60%)
• Splenomegaly (40–55%)</t>
  </si>
  <si>
    <t>Progressive hemifacial atrophy</t>
  </si>
  <si>
    <t>1.0 cases per 5,917 to 10,000</t>
  </si>
  <si>
    <t>Idiopathic hemifacial atrophy</t>
  </si>
  <si>
    <t>Parry Romberg syndrome</t>
  </si>
  <si>
    <t>Progressive facial hemiatrophy</t>
  </si>
  <si>
    <t>• Mycoplasma pneumoniae (cold AIHA)
• EBV, CMV, Hepatitis C, HIV</t>
  </si>
  <si>
    <t>• Viral or bacterial infections
• Medications (cephalosporins, penicillins, alpha-methyldopa)
• Cold exposure (in cold AIHA/PCH)</t>
  </si>
  <si>
    <t>• Systemic lupus erythematosus
• Chronic lymphocytic leukemia (CLL)
• Sjogren's syndrome
• Rheumatoid arthritis</t>
  </si>
  <si>
    <t>Romberg's syndrome</t>
  </si>
  <si>
    <t>• Worldwide (1 to 3 cases per 100,000/year)</t>
  </si>
  <si>
    <t>• Systemic corticosteroids (prednisone 1 mg/kg/day)
• Rituximab (anti-CD20)
• Splenectomy (for refractory warm AIHA)
• Immunosuppressants (azathioprine, mycophenolate, cyclosporine)</t>
  </si>
  <si>
    <t>Psoriasis</t>
  </si>
  <si>
    <t>Autoimmune hemophilia B (anti-factor IX antibody)</t>
  </si>
  <si>
    <t>Autoimmune hemophilia B; acquired hemophilia B; acquired haemophilia B; acquired factor IX deficiency; acquired FIX deficiency; acquired F9 deficiency; factor IX inhibitor; anti-factor IX antibody bleeding disorder; autoimmune factor IX deficiency; acquired coagulation factor IX inhibitor; acquired anti-FIX hemophilia; acquired hemophilia due to factor IX inhibitor</t>
  </si>
  <si>
    <t>Autoimmune hemophilia B is an acquired bleeding disorder where the immune system generates neutralizing autoantibodies against coagulation factor IX. The inactivation of factor IX disrupts the clotting cascade, resulting in spontaneous, severe hematomas and deep tissue hemorrhage in individuals without a personal history of bleeding disorders. Management involves bypassing agents to stop acute hemorrhage and immunosuppressive therapy to eliminate the inhibitor.</t>
  </si>
  <si>
    <t>Guttate psoriasis</t>
  </si>
  <si>
    <t>Acquired bleeding disorder caused by the spontaneous development of neutralizing autoantibodies (inhibitors) against coagulation Factor IX, impairing intrinsic tenase complex activation and normal hemostasis. Chapter 51, pp. 716–724.</t>
  </si>
  <si>
    <t>Factor IX</t>
  </si>
  <si>
    <t>Hepatocytes (90%)
Sinusoidal endothelial cells (10%)</t>
  </si>
  <si>
    <t>• Anti-factor IX autoantibodies</t>
  </si>
  <si>
    <t>Psoriatic arthritis</t>
  </si>
  <si>
    <t>• Autoreactive CD4+ T helper cells (Factor IX-specific)
• Autoreactive B cells / plasma cells (anti-FIX)</t>
  </si>
  <si>
    <t>Psoriasis with arthropathy</t>
  </si>
  <si>
    <t>1. Genetic predisposition and immune dysregulation stimulate CD4+ T helper cells against exogenous or endogenous clotting Factor IX.
2. Clonal B-cell differentiation generates polyclonal IgG neutralizing autoantibodies directed against Factor IX functional domains.
3. Anti-FIX autoantibodies bind circulating Factor IX, sterically inhibiting its activation by Factor XIa or preventing its catalytic activity in the intrinsic tenase complex.
4. Autoantibodies also facilitate rapid immune-complex clearance of Factor IX from the circulation.
5. Severe failure of the intrinsic coagulation cascade prevents secondary hemostasis, causing spontaneous soft tissue hematomas and life-threatening bleeding.</t>
  </si>
  <si>
    <t>• Spontaneous, extensive subcutaneous and soft-tissue hematomas (80–90%)
• Prolonged, unprovoked post-traumatic or post-surgical hemorrhage (70–85%)
• Mucocutaneous, hematuric, and gastrointestinal bleeding (25–35%)
• Spontaneous hemarthrosis (&lt;10%)</t>
  </si>
  <si>
    <t>1.0 cases per 10,000,000</t>
  </si>
  <si>
    <t>• Unknown / rare viral triggers</t>
  </si>
  <si>
    <t>• Pregnancy / postpartum
• Malignancy
• Medications (penicillins)</t>
  </si>
  <si>
    <t>• Systemic lupus erythematosus
• Rheumatoid arthritis</t>
  </si>
  <si>
    <t>• Worldwide (extremely rare, &lt;5% of acquired hemophilias)</t>
  </si>
  <si>
    <t>• Recombinant factor IX / activated prothrombin complex (FEIBA)
• Corticosteroids
• Cyclophosphamide / Rituximab</t>
  </si>
  <si>
    <t>Autoimmune hepatitis
Autoimmune hepatitis type 1
Autoimmune hepatitis type 2
Autoimmune hepatitis type 3
Chronic autoimmune hepatitis</t>
  </si>
  <si>
    <t>PsA</t>
  </si>
  <si>
    <t>Autoimmune hepatitis is a condition that occurs when your immune system mistakenly targets and attacks your liver cells, leading to long-term chronic liver inflammation, swelling, and damage. It may occur at any age and typically affects women more than men. It is often linked to other autoimmune diseases. The precise cause of autoimmune hepatitis is not fully understood, but it's believed that a combination of genetic and environmental factors plays a role in initiating the disease over time. When diagnosed and treated promptly, autoimmune hepatitis can often be managed with medications that dampen the immune response. In situations where drug treatments don't work or in advanced liver disease cases, a liver transplant might be considered an option.</t>
  </si>
  <si>
    <t>Chronic necroinflammatory liver disease characterized by hypergammaglobulinemia, circulating autoantibodies (ANA/SMA in type 1, anti-LKM1/anti-LC1 in type 2), and interface hepatitis on histology, responsive to immunosuppressive therapy. Chapter 44, pp. 615–630.</t>
  </si>
  <si>
    <t>Liver</t>
  </si>
  <si>
    <t>Pure red cell aplasia</t>
  </si>
  <si>
    <t>PRCA</t>
  </si>
  <si>
    <t>Cytochrome P450 2D6 (CYP2D6)
Formiminotransferase cyclodeaminase (FTCD)
Soluble liver antigen (SLA/LP)</t>
  </si>
  <si>
    <t>Hepatocytes (90%)
Biliary epithelial cells (cholangiocytes) (10%)</t>
  </si>
  <si>
    <t>autoantibodies against aromatic L-amino acid decarboxylase (AADC) correlated to type 2 autoimmune hepatitis</t>
  </si>
  <si>
    <t>• Autoreactive CD4+ T helper cells (Th1/Th17 targeting liver antigens)
• Autoreactive CD8+ cytotoxic T cells (hepatocyte destruction)
• Autoreactive B cells / plasma cells</t>
  </si>
  <si>
    <t>Acquired pure red cell aplasia</t>
  </si>
  <si>
    <t>1. Environmental triggers (drugs, viruses) in genetically predisposed individuals (HLA-DR3/DR4) expose hepatocyte-specific antigens (CYP2D6, FTCD, SLA).
2. Liver-derived autoantigens presented by dendritic cells activate autoreactive naive T cells, differentiating into Th1 and Th17 effectors.
3. Production of characteristic autoantibodies (ANA, ASMA, anti-LKM1) and robust recruitment of CD8+ cytotoxic T cells and monocytes.
4. Infiltrating CD8+ T cells, granzyme B, and IFN-γ trigger interface hepatitis with piecemeal necrosis of periportal hepatocytes.
5. Sustained lobular inflammation drives hepatic stellate cell activation, extensive collagen deposition, bridging fibrosis, and eventual cirrhosis.</t>
  </si>
  <si>
    <t>Adult pure red cell aplasia</t>
  </si>
  <si>
    <t>Idiopathic pure red cell aplasia</t>
  </si>
  <si>
    <t>Primary acquired PRCA</t>
  </si>
  <si>
    <t xml:space="preserve">Primary acquired pure red cell aplasia </t>
  </si>
  <si>
    <t>Pyoderma gangrenosum</t>
  </si>
  <si>
    <t>• Disabling chronic fatigue and malaise (80–90%)
• Hepatomegaly / tender liver edge (45–55%)
• Episodic or fluctuating jaundice / scleral icterus (40–50%)
• Right upper quadrant abdominal fullness/pain (35–45%)
• Polyarthralgias without frank arthritis (30–40%)
• Cutaneous stigmata of chronic liver disease (spider nevi, palmar erythema) (25–35%)</t>
  </si>
  <si>
    <t>Rasmussen syndrome</t>
  </si>
  <si>
    <t>1.0 cases per 4,000 to 6,000</t>
  </si>
  <si>
    <t>1.0 cases per 5,917</t>
  </si>
  <si>
    <t>Child: 2
Adult: 15</t>
  </si>
  <si>
    <t>Child: 14
Adult: 40</t>
  </si>
  <si>
    <t>• Hepatitis A, B, C, D, E
• EBV, CMV, HSV
• Measles virus</t>
  </si>
  <si>
    <t>435341000124104</t>
  </si>
  <si>
    <t>• Medications (minocycline, nitrofurantoin, statins, biologics)
• Herbal supplements
• Chemical toxins</t>
  </si>
  <si>
    <t>• Hashimoto's thyroiditis
• Celiac disease
• Type 1 diabetes
• Ulcerative colitis / Sjogren's</t>
  </si>
  <si>
    <t>Raynaud's phenomenon</t>
  </si>
  <si>
    <t>• Northern Europe (higher prevalence in Scandinavia, UK; 15-25/100,000)</t>
  </si>
  <si>
    <t>• Prednisone or budesonide (induction)
• Azathioprine (maintenance therapy)
• Mycophenolate mofetil (second-line)
• Liver transplantation (end-stage cirrhosis)</t>
  </si>
  <si>
    <t>Autoimmune hypoparathyroidism</t>
  </si>
  <si>
    <t>Autoimmune hypoparathyroidism; autoimmune parathyroid disease; autoimmune hypocalcemia due to hypoparathyroidism; isolated autoimmune hypoparathyroidism; APS1-associated hypoparathyroidism; autoimmune polyendocrine syndrome type 1 hypoparathyroidism; APECED-associated hypoparathyroidism; calcium-sensing receptor autoantibody-associated hypoparathyroidism; CaSR autoantibody hypoparathyroidism; NALP5 autoantibody-associated hypoparathyroidism</t>
  </si>
  <si>
    <t>Autoimmune hypoparathyroidism is an endocrine condition where autoantibodies, often targeting the calcium-sensing receptor or NALP5, lead to the immune destruction of the parathyroid glands. Insufficient production of parathyroid hormone results in hypocalcemia, muscle cramping, tetany, and numbness, frequently occurring as a component of autoimmune polyendocrine syndrome type 1. Management requires active vitamin D analogs and calcium supplementation.</t>
  </si>
  <si>
    <t>Primary hypoparathyroidism resulting from autoimmune destruction of parathyroid chief cells, typically mediated by autoantibodies against the calcium-sensing receptor (CaSR) and NACHT leucine-rich-repeat protein 5 (NALP5), often within APS-1. Chapter 43, pp. 605–615.</t>
  </si>
  <si>
    <t>Calcium-sensing receptor (CaSR)
NALP5</t>
  </si>
  <si>
    <t>Parathyroid chief cells (100%)</t>
  </si>
  <si>
    <t>• Anti-CaSR autoantibodies
• Anti-NALP5 autoantibodies</t>
  </si>
  <si>
    <t>• Autoreactive CD4+ T helper cells
• Autoreactive CD8+ cytotoxic T cells
• Autoreactive B cells / plasma cells (anti-CaSR / anti-NALP5)</t>
  </si>
  <si>
    <t>1. Autoimmune polyglandular syndrome type 1 (APS-1/AIRE mutation) or isolated autoimmunity breaks tolerance to parathyroid antigens (CaSR, NALP5).
2. Activation of autoreactive CD4+ and CD8+ T lymphocytes alongside anti-CaSR/anti-NALP5 autoantibody production.
3. Infiltration of the parathyroid glands by mononuclear lymphocytes and cytotoxic effectors.
4. Destruction of parathyroid chief cells and blocking autoantibodies against the calcium-sensing receptor impair parathyroid hormone (PTH) secretion.
5. Marked deficiency of PTH halts bone calcium resorption and renal calcium reabsorption, causing hypocalcemia, hyperphosphatemia, and neuromuscular tetany.</t>
  </si>
  <si>
    <t>Raynaud disease</t>
  </si>
  <si>
    <t>Raynaud's disease</t>
  </si>
  <si>
    <t>Secondary Raynaud's</t>
  </si>
  <si>
    <t>• Perioral, lingual, and digital paresthesias / tingling (85–95%)
• Painful carpopedal spasms and cramps (70–80%)
• Latent tetany: positive Chvostek's sign (60–75%) &amp; Trousseau's sign (70–80%)
• Laryngospasm and stridor (25–35%)
• Hypocalcemic generalized seizures (15–25%)</t>
  </si>
  <si>
    <t>Secondary Raynaud's phenomenon</t>
  </si>
  <si>
    <t>Reactive arthritis</t>
  </si>
  <si>
    <t>Reiter's syndrome</t>
  </si>
  <si>
    <t>ReA</t>
  </si>
  <si>
    <t>• Candida albicans (in APS-1)
• Viral parathyroiditis triggers</t>
  </si>
  <si>
    <t>• Chronic mucocutaneous candidiasis
• Neck radiation / trauma</t>
  </si>
  <si>
    <t>• Addison's disease (APS-1)
• Type 1 diabetes
• Hashimoto's thyroiditis
• Alopecia areata</t>
  </si>
  <si>
    <t>• High in populations with AIRE mutations (Finnish, Sardinian, Iranian Jews)</t>
  </si>
  <si>
    <t>• Calcium carbonate / calcium citrate supplements
• Active vitamin D metabolites (calcitriol)
• Recombinant human parathyroid hormone (rhPTH 1-84)</t>
  </si>
  <si>
    <t>Fiessinger-Leroy disease</t>
  </si>
  <si>
    <t>Autoimmune hypophysitis (lymphocytic hypophysitis)</t>
  </si>
  <si>
    <t>Autoimmune hypophysitis; lymphocytic hypophysitis; lymphocytic adenohypophysitis; lymphocytic infundibuloneurohypophysitis; lymphocytic panhypophysitis; autoimmune pituitaryitis; autoimmune pituitary inflammation; pituitary autoimmunity; IgG4-related hypophysitis; anti-PIT-1 antibody syndrome; granulomatous hypophysitis; xanthomatous hypophysitis</t>
  </si>
  <si>
    <t>Autoimmune hypophysitis is a chronic inflammatory disorder of the pituitary gland caused by autoimmune lymphocytic infiltration. Swelling of the pituitary stalk and gland can cause headaches and visual disturbances, while gland destruction leads to deficiencies in adrenal, thyroid, and sex hormones. It most commonly affects women during late pregnancy or postpartum, and treatment centers on corticosteroid therapy and hormone replacement.</t>
  </si>
  <si>
    <t>Reactive arthritis triad</t>
  </si>
  <si>
    <t>Chronic autoimmune inflammation of the anterior and/or posterior pituitary gland characterized by lymphocytic infiltration, sellar expansion, and progressive hypopituitarism, frequently associated with antipituitary antibodies. Chapter 43, pp. 815–830.</t>
  </si>
  <si>
    <t>Pit-1
Growth hormone (GH)
Proopiomelanocortin (POMC)</t>
  </si>
  <si>
    <t>Anterior pituitary adenohypophyseal cells (corticotrophs 50%, thyrotrophs 25%, somatotrophs 25%)</t>
  </si>
  <si>
    <t>• Anti-pituitary antibodies (APA)
• Anti-PIT-1 autoantibodies</t>
  </si>
  <si>
    <t>Relapsing polychondritis</t>
  </si>
  <si>
    <t>• Autoreactive CD4+ T helper cells
• Autoreactive CD8+ cytotoxic T cells
• Autoreactive B cells / plasma cells (anti-pituitary / anti-PIT-1)</t>
  </si>
  <si>
    <t>1. Pregnancy, immune checkpoint inhibitor therapy (anti-CTLA-4), or genetic factors induce autoimmunity against adenohypophyseal antigens (Pit-1, POMC).
2. Autoreactive CD4+ T cells infiltrate the anterior pituitary gland, releasing pro-inflammatory cytokines and recruiting cytotoxic lymphocytes.
3. Synthesis of anti-pituitary antibodies (APA) and massive lymphoplasmacytic infiltration of the adenohypophysis.
4. Interstitial edema and progressive apoptosis of hormone-producing corticotrophs, thyrotrophs, and gonadotrophs cause pituitary gland enlargement.
5. Subsequent tissue fibrosis and parenchymal destruction produce mass effect (headaches, chiasmatic visual loss) and panhypopituitarism.</t>
  </si>
  <si>
    <t>Atrophic polychondritis</t>
  </si>
  <si>
    <t>Chronic atrophic polychondritis</t>
  </si>
  <si>
    <t>Meyenburg-Altherr-Uehlinger syndrome</t>
  </si>
  <si>
    <t>• Persistent dull retro-orbital/frontal headache (70–85%)
• Hypopituitarism (secondary adrenal insufficiency: 65–75%, secondary hypothyroidism: 50–60%, hypogonadism: 50–60%)
• Visual field deficits / bitemporal hemianopia due to chiasmal compression (45–60%)
• Diabetes insipidus (polyuria, polydipsia) (20–30%)</t>
  </si>
  <si>
    <t>1.0 cases per 200,000 to 1,000,000</t>
  </si>
  <si>
    <t>Polychondropathia</t>
  </si>
  <si>
    <t>Recurrent polychondritis</t>
  </si>
  <si>
    <t>• Influenza, EBV, CMV
• Post-viral inflammation</t>
  </si>
  <si>
    <t>• Pregnancy and postpartum period (Sheehan-like presentation)
• Immune checkpoint inhibitors (ipilimumab, nivolumab)
• Pituitary trauma</t>
  </si>
  <si>
    <t>• Hashimoto's thyroiditis
• Addison's disease
• Type 1 diabetes
• Systemic lupus erythematosus</t>
  </si>
  <si>
    <t>• Worldwide (predominantly females in late pregnancy or postpartum)</t>
  </si>
  <si>
    <t>Relapsing perichondritis</t>
  </si>
  <si>
    <t>• High-dose glucocorticoids (methylprednisolone / dexamethasone)
• Hormone replacement (levothyroxine, hydrocortisone, sex steroids)
• Azathioprine / methotrexate
• Transsphenoidal surgery (decompression for visual threat)</t>
  </si>
  <si>
    <t>Autoimmune limbic encephalitis (seronegative)</t>
  </si>
  <si>
    <t>Autoimmune limbic encephalitis; seronegative autoimmune limbic encephalitis; antibody-negative autoimmune limbic encephalitis; seronegative limbic encephalitis; nonparaneoplastic limbic encephalitis; autoimmune encephalitis, antibody-negative; limbic encephalitis of unknown antibody status; probable autoimmune limbic encephalitis; idiopathic autoimmune limbic encephalitis</t>
  </si>
  <si>
    <t>Relapsing polyneuropathy</t>
  </si>
  <si>
    <t>Seronegative autoimmune limbic encephalitis is an inflammatory disorder of the medial temporal lobes that occurs without detectable conventional antineuronal antibodies. Patients exhibit classic manifestations of limbic encephalitis, including subacute memory decline, seizures, and neuropsychiatric symptoms, with neuroimaging or CSF confirming inflammation. Empirical immunosuppressive treatment often leads to meaningful clinical improvement.</t>
  </si>
  <si>
    <t>Subacute inflammatory encephalitis affecting the medial temporal lobes, presenting with short-term memory deficits, seizures, and psychiatric manifestations with inflammatory CSF or MRI findings, fulfilling criteria despite absent known neural antibodies. Chapter 58, pp. 846–855.</t>
  </si>
  <si>
    <t>Hippocampal and amygdala limbic neurons (90%)
Astrocytes (10%)</t>
  </si>
  <si>
    <t>Systemic chondromalacia</t>
  </si>
  <si>
    <t>• Autoreactive CD8+ cytotoxic T cells
• Autoreactive CD4+ T helper cells
• Autoreactive B cells / plasma cells</t>
  </si>
  <si>
    <t>1. Covert onconeural antigen expression or viral CNS trigger primes cell-mediated immunity against uncharacterized intracellular neuronal antigens.
2. Activated cytotoxic CD8+ T cells cross the blood-brain barrier and infiltrate the limbic system (hippocampus, amygdala, insular cortex).
3. Effector CD8+ T cells engage neuronal targets, releasing perforin and granzyme granules directly onto neuronal somas.
4. Mononuclear inflammation and microglial nodule formation drive extensive neurotoxicity and apoptotic cell death in hippocampal pyramidal neurons.
5. Loss of limbic neuronal networks causes acute/subacute short-term memory deficits, psychiatric symptoms, and temporal lobe epilepsy.</t>
  </si>
  <si>
    <t>Systemic chondromalocia</t>
  </si>
  <si>
    <t>Von Meyenburg disease</t>
  </si>
  <si>
    <t>Restless legs</t>
  </si>
  <si>
    <t>• Subacute anterograde memory loss and spatial disorientation (85–95%)
• Temporal lobe complex partial seizures (65–75%)
• Acute psychiatric disturbances (affective changes, anxiety, psychosis) (60–70%)
• Disrupted sleep-wake cycles (40–50%)</t>
  </si>
  <si>
    <t>Restless leg syndrome</t>
  </si>
  <si>
    <t>Willis-Ekbom Disease</t>
  </si>
  <si>
    <t>Retinocochleocerebral vasculopathy</t>
  </si>
  <si>
    <t>RED-M</t>
  </si>
  <si>
    <t>• Herpes simplex virus (HSV-1)
• Enteroviruses, EBV</t>
  </si>
  <si>
    <t>• Febrile illness prodrome
• Stress / immune suppression
• Undetected neoplasms</t>
  </si>
  <si>
    <t>• Worldwide (rare, underdiagnosed)</t>
  </si>
  <si>
    <t>• IV methylprednisolone
• Intravenous immunoglobulin (IVIG)
• Plasma exchange
• Rituximab / mycophenolate</t>
  </si>
  <si>
    <t>Autoimmune lymphoproliferative syndrome
Canale-Smith syndrome</t>
  </si>
  <si>
    <t>Autoimmune lymphoproliferative syndrome (ALPS) is a rare genetic disease that causes the overproduction of lymphocytes. ALPS results from mutations in one of the genes controlling how lymphocytes work. The most common gene affected is called FAS. This leads to the enlargement of lymph nodes (lymphadenopathy), the liver (hepatomegaly), and the spleen (splenomegaly). ALPS can cause anemia (low level of red blood cells), thrombocytopenia (low level of platelets), and neutropenia (low level of neutrophils). ALPS can also cause impairing symptoms and increase the risk of developing serious health conditions, such as autoimmune diseases and lymphoma.</t>
  </si>
  <si>
    <t>Monogenic disorder of defective lymphocyte apoptosis caused primarily by FAS, FASL, or CASP10 mutations, characterized by nonmalignant lymphadenopathy, splenomegaly, expanded double-negative T cells, and multilineage autoimmune cytopenias. Chapter 31, pp. 445–458.</t>
  </si>
  <si>
    <t>SICRET</t>
  </si>
  <si>
    <t>Double-negative T cells (CD4-CD8- T cells) (60%)
B lymphocytes (25%)
Activated mature T lymphocytes (15%)</t>
  </si>
  <si>
    <t>• Antiphospholipid antibodies
• Anti-erythrocyte autoantibodies (direct Coombs)</t>
  </si>
  <si>
    <t>• Autoreactive TCRαβ+ CD4- CD8- double-negative T (DNT) cells
• Autoreactive B cells / plasma cells</t>
  </si>
  <si>
    <t>1. Germline or somatic mutations in apoptosis-regulating genes of the extrinsic pathway (FAS, FASLG, CASP10).
2. Failure of activation-induced cell death (AICD) in lymphocytes following antigen encounter and clearance.
3. Uncontrolled accumulation and survival of chronically stimulated TCRαβ+ CD4- CD8- "double-negative" T (DNT) cells and autoreactive B cells.
4. DNT cells produce excessive IL-10 and Fas-resistant B-cell clones produce pathogenic autoantibodies (anti-RBC, anti-platelet, anti-neutrophil).
5. Massive lymphoid tissue hyperplasia (splenomegaly, lymphadenopathy, hepatomegaly) and recurrent autoimmune cytopenias.</t>
  </si>
  <si>
    <t>Retinopathy-encephalopathy-deafness associated microangiopathy</t>
  </si>
  <si>
    <t>Small infarctions of cochlear, retinal and encephalic tissue</t>
  </si>
  <si>
    <t>Susac syndrome</t>
  </si>
  <si>
    <t>Susac's syndrome</t>
  </si>
  <si>
    <t>• Elevated circulating TCR-αβ+ CD4- CD8- double-negative T cells (95–100%)
• Chronic, non-malignant, non-tender lymphadenopathy (85–95%)
• Massive splenomegaly (80–90%)
• Autoimmune cytopenias (ITP, AIHA, autoimmune neutropenia) (60–70%)
• Hepatomegaly (40–50%)</t>
  </si>
  <si>
    <t>1.0 cases per 500,000 to 1,000,000</t>
  </si>
  <si>
    <t>Under 500 worldwide</t>
  </si>
  <si>
    <t>Rheumatic Chorea</t>
  </si>
  <si>
    <t>• Chronic Epstein-Barr virus (EBV)
• Cytomegalovirus</t>
  </si>
  <si>
    <t>• Viral infections triggering uncontrolled lymphoproliferation
• Environmental antigen challenges</t>
  </si>
  <si>
    <t>Rheumatic chorea</t>
  </si>
  <si>
    <t>St. Vitus Dance</t>
  </si>
  <si>
    <t>• Autoimmune hemolytic anemia
• Immune thrombocytopenia
• Autoimmune neutropenia
• Systemic lupus erythematosus</t>
  </si>
  <si>
    <t>• Worldwide (autosomal dominant FAS, FASL, CASP10 mutations)</t>
  </si>
  <si>
    <t>• Corticosteroids (for acute cytopenias)
• Sirolimus (mTOR inhibitor, highly effective)
• Mycophenolate mofetil
• Allogeneic hematopoietic stem cell transplantation (HSCT)</t>
  </si>
  <si>
    <t>Sydenham chorea</t>
  </si>
  <si>
    <t>Autoimmune neutropenia
Primary autoimmune neutropenia
Autoimmune neutropenia of infancy</t>
  </si>
  <si>
    <t>Syndenham chorea</t>
  </si>
  <si>
    <t xml:space="preserve">Neutropenia is defined as a low white blood cell count.  There are many forms of neutropenia connected to autoimmune disease. It is important to understand which form is which.
Primary neutropenia is diagnosed when there are no other conditions diagnosed. Secondary neutropenia is a low white blood cell count that occurs when other diseases are present, such as lupus, rheumatoid arthritis, or inflammatory bowel disease. This article only covers primary neutropenia.
Primary neutropenia most often appears in infants and children. The cause may be unrelated to autoimmune disease. Most cases of childhood primary neutropenia that are autoimmune are not serious and the disease goes away in 3 to 5 years with no long term effects. However, in a relatively small number of patients, the disease becomes chronic.  Adults, mostly women, can also develop primary autoimmune neutropenia after childhood.  These cases are almost always chronic. 
In chronic autoimmune neutropenia the body produces IgG antibodies that target and destroy the body's own white blood cells (“neutrophils”), which leads to a lowered white blood cell count and leaves patients with weakened immune systems susceptible to bacterial and other infections.  
</t>
  </si>
  <si>
    <t>Immune-mediated selective destruction of mature neutrophils and myeloid precursors driven by autoantibodies directed against neutrophil-specific membrane glycoproteins, predominantly HNA-1 (FcγRIIIb), presenting in benign primary infantile or chronic secondary forms. Chapter 49, pp. 685–695.</t>
  </si>
  <si>
    <t>Human neutrophil antigens (HNA-1a, HNA-1b, HNA-1c, HNA-2)</t>
  </si>
  <si>
    <t>Mature peripheral neutrophils (80%)
Bone marrow myelocytes / metamyelocytes (20%)</t>
  </si>
  <si>
    <t>Rheumatic fever</t>
  </si>
  <si>
    <t>• Anti-neutrophil autoantibodies (anti-HNA-1a, anti-HNA-1b, anti-HNA-2)</t>
  </si>
  <si>
    <t>• Autoreactive B cells / plasma cells (anti-HNA-1/2)
• Autoreactive CD4+ T helper cells</t>
  </si>
  <si>
    <t>1. Idiopathic breakdown of B-cell tolerance or post-viral stimulation in young children or adults leads to production of antineutrophil antibodies.
2. Synthesis of IgG autoantibodies specifically targeting human neutrophil antigens (HNA-1a, HNA-1b, HNA-1c, HNA-2).
3. Autoantibodies bind surface glycoproteins on circulating mature polymorphonuclear neutrophils.
4. Opsonized neutrophils undergo accelerated Fc receptor-mediated phagocytosis and clearance by the reticuloendothelial system in the spleen and liver.
5. Profound absolute neutropenia leads to recurrent bacterial infections, skin abscesses, and mucosal ulcerations.</t>
  </si>
  <si>
    <t>Acute rheumatic fever</t>
  </si>
  <si>
    <t>Inflammatory rheumatism</t>
  </si>
  <si>
    <t>Rheumatic arthritis</t>
  </si>
  <si>
    <t>Acute rheumatic myocarditis</t>
  </si>
  <si>
    <t>Rheumatoid arthritis</t>
  </si>
  <si>
    <t>Rheumatoid vasculitis</t>
  </si>
  <si>
    <t>RV</t>
  </si>
  <si>
    <t>Sarcoidosis</t>
  </si>
  <si>
    <t>31541009</t>
  </si>
  <si>
    <t>Besnier-Boeck-Schaumann disease</t>
  </si>
  <si>
    <t>72470008</t>
  </si>
  <si>
    <t>Lupus pernio</t>
  </si>
  <si>
    <t>Lofgrens syndrome</t>
  </si>
  <si>
    <t>238676008</t>
  </si>
  <si>
    <t>Schnitzler syndrome</t>
  </si>
  <si>
    <t>Chronic urticaria with gammapathy</t>
  </si>
  <si>
    <t>Chronic urticaria with gammopathy</t>
  </si>
  <si>
    <t>Chronic urticaria with macroglobulinemia</t>
  </si>
  <si>
    <t>Schnitzler's syndrome</t>
  </si>
  <si>
    <t>Scleritis</t>
  </si>
  <si>
    <t>Sjögren's disease</t>
  </si>
  <si>
    <t>SJS</t>
  </si>
  <si>
    <t>Sjogren's disease</t>
  </si>
  <si>
    <t>Keratoconjunctivitis sicca</t>
  </si>
  <si>
    <t>Sicca syndrome</t>
  </si>
  <si>
    <t>Sjögrens disease</t>
  </si>
  <si>
    <t>Sjögren's syndrome</t>
  </si>
  <si>
    <t>SLE glomerulonephritis syndrome</t>
  </si>
  <si>
    <t>• Persistent absolute neutrophil count &lt;500/μL (95–100%)
• Absence of life-threatening deep invasive bacterial sepsis (80–90%)
• Recurrent benign mucosal infections: aphthous stomatitis, gingivitis (70–85%)
• Superficial skin infections (folliculitis, furuncles, impetigo) (60–70%)</t>
  </si>
  <si>
    <t>Lupus nephritis</t>
  </si>
  <si>
    <t>1.0 cases per 200,000</t>
  </si>
  <si>
    <t>Steroid-responsive encephalopathy associated with autoimmune thyroiditis</t>
  </si>
  <si>
    <t>Hashimoto's encephalopathy</t>
  </si>
  <si>
    <t>771271000.1</t>
  </si>
  <si>
    <t>Hashimoto's encephalitis</t>
  </si>
  <si>
    <t>Encephalopathy associated with autoimmune thyroid disease</t>
  </si>
  <si>
    <t>771271000.3</t>
  </si>
  <si>
    <t>Nonvasculitic autoimmune meningoecephalitis</t>
  </si>
  <si>
    <t>Stiff-person syndrome</t>
  </si>
  <si>
    <t>Moersch-Woltman syndrome</t>
  </si>
  <si>
    <t>Stiff man syndrome</t>
  </si>
  <si>
    <t>Stiff person syndrome</t>
  </si>
  <si>
    <t>5217008.3</t>
  </si>
  <si>
    <t>Subacute bacterial endocarditis</t>
  </si>
  <si>
    <t>• Parvovirus B19
• CMV, EBV, Hepatitis viruses</t>
  </si>
  <si>
    <t>Subacute infective endocarditis</t>
  </si>
  <si>
    <t>• Viral infections (common trigger in toddlers)
• Medications (sulfa drugs, cephalosporins)
• Vaccinations</t>
  </si>
  <si>
    <t>• Autoimmune hemolytic anemia (Evans syndrome)
• Immune thrombocytopenia
• Systemic lupus erythematosus</t>
  </si>
  <si>
    <t>• Worldwide (benign autoimmune neutropenia common in infants 6-24 months)</t>
  </si>
  <si>
    <t>Subacute native valve endocarditis</t>
  </si>
  <si>
    <t>• Observation (spontaneous resolution common in children)
• Granulocyte colony-stimulating factor (G-CSF) for severe infections
• Prophylactic antibiotics (trimethoprim-sulfamethoxazole)
• Corticosteroids / IVIG (rarely required)</t>
  </si>
  <si>
    <t>Autoimmune nodopathies (anti-NF155, anti-CNTN1, anti-Caspr1, etc.)</t>
  </si>
  <si>
    <t>Sympathetic uveitis</t>
  </si>
  <si>
    <t>Autoimmune nodopathy; autoimmune nodopathies; nodo-paranodopathy; autoimmune nodo-paranodopathy; antibody-mediated nodo-paranodopathy; paranodopathy; nodopathy; autoimmune peripheral neuropathy with nodal/paranodal antibodies; anti-NF155 nodopathy; anti-neurofascin-155 neuropathy; anti-NF186 nodopathy; pan-neurofascin nodopathy; anti-CNTN1 nodopathy; anti-contactin-1 neuropathy; anti-Caspr1 nodopathy; anti-CASPR1 neuropathy; IgG4 nodopathy</t>
  </si>
  <si>
    <t>Exciting Eye</t>
  </si>
  <si>
    <t>Autoimmune nodopathies are a group of antibody-mediated peripheral neuropathies where autoantibodies, commonly IgG4, target cell adhesion molecules like neurofascin-155, contactin-1, or Caspr1 at the nodes of Ranvier. This disrupts electrical signal transmission along nerve fibers, causing severe muscle weakness, sensory ataxia, and prominent tremors. Unlike classic demyelinating polyneuropathy, these disorders often respond better to B-cell depleting therapies like rituximab than IVIg.</t>
  </si>
  <si>
    <t>Spared Eye Injury</t>
  </si>
  <si>
    <t>Sympathetic ophthalmia</t>
  </si>
  <si>
    <t>Sympathizing Eye</t>
  </si>
  <si>
    <t>Systemic lupus erythematosus</t>
  </si>
  <si>
    <t>SLE</t>
  </si>
  <si>
    <t>Lupus</t>
  </si>
  <si>
    <t>Systemic mast cell disease</t>
  </si>
  <si>
    <t>Systemic sclerosis</t>
  </si>
  <si>
    <t>Diffuse Systemic sclerosis</t>
  </si>
  <si>
    <t>Scleroderma</t>
  </si>
  <si>
    <t>Systemic scleroderma</t>
  </si>
  <si>
    <t>Systemic sclerosis with limited cutaneous involvement</t>
  </si>
  <si>
    <t>Limited cutaneous systemic sclerosis</t>
  </si>
  <si>
    <t>Systemic sclerosis sine scleroderma</t>
  </si>
  <si>
    <t>128461001</t>
  </si>
  <si>
    <t>dcSSc</t>
  </si>
  <si>
    <t>298285004</t>
  </si>
  <si>
    <t>lcSSc</t>
  </si>
  <si>
    <t>CREST syndrome</t>
  </si>
  <si>
    <t>Diffuse cutaneous systemic sclerosis</t>
  </si>
  <si>
    <t>298285004.2</t>
  </si>
  <si>
    <t>Takayasu's arteritis</t>
  </si>
  <si>
    <t>Takayasu's disease</t>
  </si>
  <si>
    <t>Temporal arteritis</t>
  </si>
  <si>
    <t>GCA</t>
  </si>
  <si>
    <t>Cranial arteritis</t>
  </si>
  <si>
    <t>Giant cell arteritis</t>
  </si>
  <si>
    <t>Granulomatous arteritis</t>
  </si>
  <si>
    <t>Horton's disease</t>
  </si>
  <si>
    <t>Tolosa-Hunt syndrome</t>
  </si>
  <si>
    <t>THS</t>
  </si>
  <si>
    <t>Non-specific inflammation of the cavernous sinus</t>
  </si>
  <si>
    <t>Non-specific inflammation of the superior orbital fissure</t>
  </si>
  <si>
    <t>Autoantibody-mediated neuropathies targeting cell adhesion molecules at the node and paranode of Ranvier (neurofascin-155, contactin-1, Caspr1), causing architectural disruption of axoglial junctions without classical macrophage demyelination. Chapter 59, pp. 868–876.</t>
  </si>
  <si>
    <t>Painful Ophthalmoplegia</t>
  </si>
  <si>
    <t>Neurofascin-155 (NF155)
Contactin-1 (CNTN1)
Caspr1
Neurofascin-186 (NF186)</t>
  </si>
  <si>
    <t>Paranodal loops of Schwann cells (60%)
Axolemma at nodes of Ranvier (40%)</t>
  </si>
  <si>
    <t>Transverse myelitis</t>
  </si>
  <si>
    <t>Secondary acute transverse myelitis</t>
  </si>
  <si>
    <t>Undifferentiated connective tissue disease</t>
  </si>
  <si>
    <t>UCTD</t>
  </si>
  <si>
    <t>Undifferentiated connective tissue syndrome</t>
  </si>
  <si>
    <t>Urticarial vasculitis</t>
  </si>
  <si>
    <t>Uveitis</t>
  </si>
  <si>
    <t>Autoimmune uveitis</t>
  </si>
  <si>
    <t>Idiopathic uveitis</t>
  </si>
  <si>
    <t>Vitiligo</t>
  </si>
  <si>
    <t>Leukoderma</t>
  </si>
  <si>
    <t>Vogt-Koyanagi-Harada disease</t>
  </si>
  <si>
    <t>Warm autoimmune hemolytic anemia</t>
  </si>
  <si>
    <t>Acquired autoimmune hemolytic anemia</t>
  </si>
  <si>
    <t>Idiopathic autoimmune hemolytic anemia</t>
  </si>
  <si>
    <t>Immune hemolytic anemia</t>
  </si>
  <si>
    <t>Immunohemolytic anemia</t>
  </si>
  <si>
    <t>Subtypes Data Sheet:</t>
  </si>
  <si>
    <t>Seq</t>
  </si>
  <si>
    <t>disease</t>
  </si>
  <si>
    <t>subtype</t>
  </si>
  <si>
    <t>descr</t>
  </si>
  <si>
    <t>code</t>
  </si>
  <si>
    <t>Takayasu''s arteritis</t>
  </si>
  <si>
    <t>Type I</t>
  </si>
  <si>
    <t>Branches of the aortic arch (e.g., carotid, subclavian)</t>
  </si>
  <si>
    <t>• Anti-NF155 IgG4
• Anti-CNTN1 IgG4
• Anti-Caspr1 IgG4
• Anti-NF186 IgG4</t>
  </si>
  <si>
    <t>• Autoreactive B cells / plasma cells (IgG4-producing)
• Autoreactive CD4+ T follicular helper (Tfh) cells</t>
  </si>
  <si>
    <t>1. Autoimmune response produces IgG4 class antibodies against cell adhesion molecules at the node of Ranvier and paranode (NF155, CNTN1, Caspr1, NF186).
2. IgG4 autoantibodies, acting without complement activation, penetrate the blood-nerve barrier and bind paranodal septate-like junctions.
3. Autoantibodies sterically disrupt the delicate attachment between the Schwann cell terminal loops and the axolemma.
4. Detachment of paranodal loops allows lateral dispersion of voltage-gated sodium channels away from the node of Ranvier.
5. Failure of saltatory nerve conduction produces severe, rapidly progressive, distal sensorimotor ataxia and weakness refractory to conventional IVIg.</t>
  </si>
  <si>
    <t>Type IIa</t>
  </si>
  <si>
    <t>Ascending aorta, aortic arch, and its branches</t>
  </si>
  <si>
    <t>Type IIb</t>
  </si>
  <si>
    <t>Type IIa plus thoracic descending aorta</t>
  </si>
  <si>
    <t>Type III</t>
  </si>
  <si>
    <t>Thoracic descending aorta, abdominal aorta, and/or renal arteries</t>
  </si>
  <si>
    <t xml:space="preserve">Type IV </t>
  </si>
  <si>
    <t>Abdominal aorta and/or renal arteries</t>
  </si>
  <si>
    <t>Type V</t>
  </si>
  <si>
    <t>Combined features of Type IIb and Type IV (i.e., entire aorta and branches)</t>
  </si>
  <si>
    <t>Mild</t>
  </si>
  <si>
    <t>• Rapidly progressive, symmetric sensorimotor polyradiculoneuropathy (85–95%)
• Refractoriness to IVIG with high response rate to rituximab (80–90%)
• Severe sensory ataxia with gait failure (60–75%)
• Severe quadriparesis / motor disability (50–65%)
• Marked high-amplitude postural and action tremor (40–50%)</t>
  </si>
  <si>
    <t>Occasional symptoms, minimal sleep or activity impact</t>
  </si>
  <si>
    <t>Frequent symptoms, some disruption to sleep or function</t>
  </si>
  <si>
    <t>Severe</t>
  </si>
  <si>
    <t>Daily symptoms, major sleep and activity impairment</t>
  </si>
  <si>
    <t>Very severe</t>
  </si>
  <si>
    <t>Relentless symptoms, extreme distress, life severely affected</t>
  </si>
  <si>
    <t>Primary ITP</t>
  </si>
  <si>
    <t>Not associated with another condition</t>
  </si>
  <si>
    <t>• Campylobacter jejuni
• Mycoplasma pneumoniae
• Hepatitis E virus</t>
  </si>
  <si>
    <t>• Preceding infections
• Toxic neuropathy exposures</t>
  </si>
  <si>
    <t>• Hashimoto's thyroiditis
• Sjogren's syndrome
• Type 1 diabetes</t>
  </si>
  <si>
    <t>Secondary ITP</t>
  </si>
  <si>
    <t>Associated with an autoimmune condition (e.g., lupus)</t>
  </si>
  <si>
    <t>• Worldwide (younger age distribution than classical CIDP)</t>
  </si>
  <si>
    <t>• Rituximab (highly effective first-line therapy)
• Plasma exchange (PLEX)
• Resistant to IVIG (contrasting classic CIDP)
• Corticosteroids (limited efficacy)</t>
  </si>
  <si>
    <t>Secondary ATP</t>
  </si>
  <si>
    <t>Associated with a non-autoimmune condition (e.g., H pylori, HIV)</t>
  </si>
  <si>
    <t>Autoimmune oophoritis
Premature ovarian failure due to autoimmune oophoritis</t>
  </si>
  <si>
    <t>IgA</t>
  </si>
  <si>
    <t>Affects sperm motility</t>
  </si>
  <si>
    <t>In autoimmune oophoritis, the immune system mistakenly attacks the ovaries, causing inflammation, atrophy, and fibrosis. These changes keep the ovaries from working normally, and the result can be primary ovarian insufficiency (POI). Autoimmune oophoritis is associated with lupus, pernicious anemia, myasthenia gravis, autoimmune polyendocrine syndrome type I or type II, and other autoimmune conditions. Special blood tests and imaging are used to diagnose this condition.</t>
  </si>
  <si>
    <t>Autoimmune inflammation of the ovarian follicles and theca cells leading to primary ovarian insufficiency, characterized by steroid cell autoantibodies (StCA) directed against steroidogenic enzymes such as 21-hydroxylase and 17α-hydroxylase. Chapter 43, pp. 608–618.</t>
  </si>
  <si>
    <t>17α-hydroxylase (CYP17A1)
Cytochrome P450 side-chain cleavage enzyme (CYP11A1)</t>
  </si>
  <si>
    <t>Ovarian theca interna cells (60%)
Granulosa cells (40%)</t>
  </si>
  <si>
    <t>IgG</t>
  </si>
  <si>
    <t>Affects fertilization and sperm transport</t>
  </si>
  <si>
    <t>• Anti-steroid-producing cell antibodies (anti-StCA)
• Anti-17α-hydroxylase (CYP17A1) autoantibodies
• Anti-CYP11A1 autoantibodies</t>
  </si>
  <si>
    <t>IgM</t>
  </si>
  <si>
    <t>Reduces sperm motility and fertilization potential</t>
  </si>
  <si>
    <t>• Autoreactive CD4+ T helper cells (steroidogenic enzyme-specific)
• Autoreactive CD8+ cytotoxic T cells
• Autoreactive B cells / plasma cells (anti-CYP17A1 / anti-CYP11A1)</t>
  </si>
  <si>
    <t>1. Genetic risk (often part of polyglandular autoimmune syndromes) leads to loss of tolerance against ovarian steroid-producing cells.
2. Development of anti-steroid-producing cell antibodies (anti-StCA) targeting CYP17A1 and CYP11A1 enzymes.
3. Autoreactive CD4+ and CD8+ cytotoxic T cells infiltrate the ovaries, selectively surrounding developing follicles.
4. Mononuclear inflammatory destruction of the theca interna and granulosa cells, sparing primordial follicles initially.
5. Progressive follicular destruction and luteal atrophy lead to premature ovarian insufficiency, amenorrhea, and hypergonadotropic hypogonadism.</t>
  </si>
  <si>
    <t>Female infertility due to antisperm antibody</t>
  </si>
  <si>
    <t>Cervical</t>
  </si>
  <si>
    <t>Cervical mucus antibodies</t>
  </si>
  <si>
    <t>Serum</t>
  </si>
  <si>
    <t>Serum antibodies</t>
  </si>
  <si>
    <t>Not sure</t>
  </si>
  <si>
    <t>Classical (mechanobullous) EBA</t>
  </si>
  <si>
    <t>Tense blisters on trauma-prone areas.</t>
  </si>
  <si>
    <t>SUBTYPECODE:1</t>
  </si>
  <si>
    <t>Inflammatory EBA</t>
  </si>
  <si>
    <t>Resembles other autoimmune blistering diseases like bullous pemphigoid.</t>
  </si>
  <si>
    <t>SUBTYPECODE:2</t>
  </si>
  <si>
    <t>Bullous pemphigoid-like EBA</t>
  </si>
  <si>
    <t>Widespread tense bullae, similar to bullous pemphigoid.</t>
  </si>
  <si>
    <t>SUBTYPECODE:3</t>
  </si>
  <si>
    <t>Mucous membrane pemphigoid-like EBA</t>
  </si>
  <si>
    <t>Involves mucous membranes with scarring.</t>
  </si>
  <si>
    <t>SUBTYPECODE:4</t>
  </si>
  <si>
    <t>Brunsting-Perry-like EBA</t>
  </si>
  <si>
    <t>Localized, scarring blisters on the head and neck.</t>
  </si>
  <si>
    <t>• Premature ovarian insufficiency / secondary amenorrhea before 40 years (90–100%)
• Primary or secondary infertility (80–90%)
• Vasomotor symptoms: hot flashes, night sweats, vaginal dryness (70–85%)
• Coexisting autoimmune Addison's disease (50–60%)</t>
  </si>
  <si>
    <t>SUBTYPECODE:5</t>
  </si>
  <si>
    <t>Idiopathic Acquired Hemophilia</t>
  </si>
  <si>
    <t>No identifiable cause.</t>
  </si>
  <si>
    <t>SUBTYPECODE:6</t>
  </si>
  <si>
    <t>Autoimmune-Associated Acquired Hemophilia</t>
  </si>
  <si>
    <t>Linked to autoimmune diseases (e.g., lupus, rheumatoid arthritis).</t>
  </si>
  <si>
    <t>1.0 cases per 5,000
4% of the 1% of women with primary ovarian insufficiency - prevalence is therefore 4% of 1% of 50% of US population</t>
  </si>
  <si>
    <t>SUBTYPECODE:7</t>
  </si>
  <si>
    <t>Malignancy-Associated Acquired Hemophilia</t>
  </si>
  <si>
    <t>Occurs in patients with cancer.</t>
  </si>
  <si>
    <t>SUBTYPECODE:8</t>
  </si>
  <si>
    <t>Drug-Induced Acquired Hemophilia</t>
  </si>
  <si>
    <t>Triggered by certain medications.</t>
  </si>
  <si>
    <t>SUBTYPECODE:9</t>
  </si>
  <si>
    <t>Pregnancy-Associated Acquired Hemophilia</t>
  </si>
  <si>
    <t>Develops during or after pregnancy.</t>
  </si>
  <si>
    <t>SUBTYPECODE:10</t>
  </si>
  <si>
    <t>• Viral oophoritis (mumps virus, CMV)
• Rubella virus</t>
  </si>
  <si>
    <t>• Pelvic viral infection
• Environmental toxins (smoking, chemotherapy)
• Ovarian trauma</t>
  </si>
  <si>
    <t>• Addison's disease (APS-1, APS-2)
• Hashimoto's thyroiditis
• Type 1 diabetes
• Vitiligo</t>
  </si>
  <si>
    <t>Monophasic ADEM</t>
  </si>
  <si>
    <t>Single episode, most common form.</t>
  </si>
  <si>
    <t>• Worldwide (identified in 10-20% of premature ovarian insufficiency cases)</t>
  </si>
  <si>
    <t>SUBTYPECODE:11</t>
  </si>
  <si>
    <t>Recurrent ADEM</t>
  </si>
  <si>
    <t>Multiple episodes without new triggers.</t>
  </si>
  <si>
    <t>SUBTYPECODE:12</t>
  </si>
  <si>
    <t>• Hormone replacement therapy (estrogen and cyclical progestin)
• Calcium and vitamin D supplementation
• Assisted reproduction techniques (donor oocyte)
• Immunosuppression (experimental, limited benefit)</t>
  </si>
  <si>
    <t>Multiphasic ADEM (MDEM)</t>
  </si>
  <si>
    <t>Second episode with new lesions.</t>
  </si>
  <si>
    <t>SUBTYPECODE:13</t>
  </si>
  <si>
    <t>Autoimmune optic neuritis (non-MS, non-NMOSD)</t>
  </si>
  <si>
    <t>Autoimmune optic neuritis; autoimmune optic neuropathy; antibody-mediated optic neuritis; atypical optic neuritis; inflammatory optic neuropathy; recurrent isolated optic neuritis; RION; chronic relapsing inflammatory optic neuropathy; CRION; non-MS optic neuritis; non-NMOSD optic neuritis; steroid-responsive optic neuritis; idiopathic recurrent optic neuritis</t>
  </si>
  <si>
    <t>Hyperacute/Fulminant ADEM</t>
  </si>
  <si>
    <t>Severe, rapidly progressing form.</t>
  </si>
  <si>
    <t>SUBTYPECODE:14</t>
  </si>
  <si>
    <t>Classic Kawasaki Disease</t>
  </si>
  <si>
    <t>Autoimmune optic neuritis is an immune-mediated inflammation of the optic nerve that occurs independently of multiple sclerosis or neuromyelitis optica spectrum disorders. Patients suffer acute, painful loss of vision that may recur or become chronic (CRION). Rapid administration of high-dose corticosteroids usually improves visual acuity, while long-term immunosuppression helps prevent irreversible optic nerve atrophy.</t>
  </si>
  <si>
    <t>Typical symptoms with fever, rash, and lymphadenopathy.</t>
  </si>
  <si>
    <t>SUBTYPECODE:15</t>
  </si>
  <si>
    <t>Isolated inflammatory demyelinating optic neuropathy presenting with acute visual deficit and retrobulbar pain, occurring in the absence of multiple sclerosis or aquaporin-4/MOG seropositivity, responsive to corticosteroid therapy. Chapter 55, pp. 778–785.</t>
  </si>
  <si>
    <t>Incomplete (Atypical) Kawasaki Disease</t>
  </si>
  <si>
    <t>Lacks some classic criteria, making diagnosis challenging.</t>
  </si>
  <si>
    <t>SUBTYPECODE:16</t>
  </si>
  <si>
    <t>Pityriasis Lichenoides et Varioliformis Acuta (PLEVA)</t>
  </si>
  <si>
    <t>Optic nerve oligodendrocytes (70%)
Retinal ganglion cell axons (30%)</t>
  </si>
  <si>
    <t>Sudden onset of red papules that evolve into vesicles or ulcers.</t>
  </si>
  <si>
    <t>SUBTYPECODE:17</t>
  </si>
  <si>
    <t>• Autoreactive CD4+ T cells
• Autoreactive B cells / plasma cells
• Autoreactive CD8+ cytotoxic T cells</t>
  </si>
  <si>
    <t>Pityriasis Lichenoides Chronica (PLC)</t>
  </si>
  <si>
    <t>Milder, chronic form with scaly, reddish-brown papules.</t>
  </si>
  <si>
    <t>SUBTYPECODE:18</t>
  </si>
  <si>
    <t>1. Isolated immune dysregulation or molecular mimicry primes autoreactive T cells against optic nerve glial or axonal autoantigens.
2. Autoreactive lymphocytes and macrophages breach the blood-optic nerve barrier, infiltrating optic nerve parenchyma and meningeal sheaths.
3. Local secretion of pro-inflammatory cytokines, reactive nitrogen species, and matrix metalloproteinases triggers inflammation.
4. Inflammatory edema within the non-distensible bony optic canal leads to compressive axonal ischemia and focal demyelination.
5. Conduction block and retrograde degeneration of retinal ganglion cells cause painful acute loss of visual acuity and central visual field defects.</t>
  </si>
  <si>
    <t>Autoimmune Addison's Disease</t>
  </si>
  <si>
    <t>Most common form, caused by immune attack on adrenal glands.</t>
  </si>
  <si>
    <t>SUBTYPECODE:19</t>
  </si>
  <si>
    <t>Infectious Addison’s Disease</t>
  </si>
  <si>
    <t>Resulting from infections like tuberculosis or fungal infections.</t>
  </si>
  <si>
    <t>SUBTYPECODE:20</t>
  </si>
  <si>
    <t>Genetic Addison’s Disease</t>
  </si>
  <si>
    <t>Due to inherited conditions affecting adrenal function.</t>
  </si>
  <si>
    <t>SUBTYPECODE:21</t>
  </si>
  <si>
    <t>Drug-Induced Addison’s Disease</t>
  </si>
  <si>
    <t>Caused by medications that affect adrenal hormone production.</t>
  </si>
  <si>
    <t>SUBTYPECODE:22</t>
  </si>
  <si>
    <t>Systemic AOSD</t>
  </si>
  <si>
    <t>Severe inflammation with high fever, rash, and organ involvement.</t>
  </si>
  <si>
    <t>SUBTYPECODE:23</t>
  </si>
  <si>
    <t>Chronic Articular AOSD</t>
  </si>
  <si>
    <t>Persistent arthritis as the dominant feature.</t>
  </si>
  <si>
    <t>SUBTYPECODE:24</t>
  </si>
  <si>
    <t>Monophasic AOSD</t>
  </si>
  <si>
    <t>A single episode that resolves completely.</t>
  </si>
  <si>
    <t>SUBTYPECODE:25</t>
  </si>
  <si>
    <t>• Acute/subacute painful visual loss (unilateral or bilateral) (90–100%)
• Impaired color vision / dyschromatopsia (90–95%)
• Retrobulbar pain exacerbated by eye movement (85–95%)
• Relative afferent pupillary defect (RAPD) and central scotoma (75–85%)</t>
  </si>
  <si>
    <t>Intermittent AOSD</t>
  </si>
  <si>
    <t>Recurring episodes with symptom-free periods.</t>
  </si>
  <si>
    <t>SUBTYPECODE:26</t>
  </si>
  <si>
    <t>Age-Related Macular Degeneration, Dry</t>
  </si>
  <si>
    <t>Slow-progressing form with drusen deposits.</t>
  </si>
  <si>
    <t>SUBTYPECODE:27</t>
  </si>
  <si>
    <t>Age-Related Macular Degeneration, Wet</t>
  </si>
  <si>
    <t>Rapid progression due to abnormal blood vessel growth.</t>
  </si>
  <si>
    <t>SUBTYPECODE:28</t>
  </si>
  <si>
    <t>Alopecia Areata</t>
  </si>
  <si>
    <t>Alopecia Areata, Patchy</t>
  </si>
  <si>
    <t>Localized hair loss in small patches.</t>
  </si>
  <si>
    <t>SUBTYPECODE:29</t>
  </si>
  <si>
    <t>Alopecia Areata, Totalis</t>
  </si>
  <si>
    <t>Complete loss of scalp hair.</t>
  </si>
  <si>
    <t>SUBTYPECODE:30</t>
  </si>
  <si>
    <t>• Varicella zoster virus, EBV
• Borrelia burgdorferi, Bartonella</t>
  </si>
  <si>
    <t>• Preceding viral illness
• Vaccinations
• Immune checkpoint inhibitors</t>
  </si>
  <si>
    <t>Alopecia Areata, Universalis</t>
  </si>
  <si>
    <t>Loss of all body hair.</t>
  </si>
  <si>
    <t>SUBTYPECODE:31</t>
  </si>
  <si>
    <t>• Systemic lupus erythematosus
• Sjogren's syndrome
• Sarcoidosis
• Hashimoto's thyroiditis</t>
  </si>
  <si>
    <t>• Worldwide (broadly distributed)</t>
  </si>
  <si>
    <t>Alopecia Areata, Ophiasis</t>
  </si>
  <si>
    <t>Hair loss in a band-like pattern around the scalp.</t>
  </si>
  <si>
    <t>SUBTYPECODE:32</t>
  </si>
  <si>
    <t>• High-dose intravenous methylprednisolone (1 g/day for 3-5 days)
• Oral prednisone taper
• Plasma exchange (PLEX) for steroid-unresponsive cases
• Mycophenolate mofetil / azathioprine for prevention of relapses</t>
  </si>
  <si>
    <t xml:space="preserve">Angiofollicular Lymph Node Hyperplasia </t>
  </si>
  <si>
    <t>Angiofollicular Lymph Node Hyperplasia, Unicentric</t>
  </si>
  <si>
    <t>Affects a single lymph node.</t>
  </si>
  <si>
    <t>SUBTYPECODE:33</t>
  </si>
  <si>
    <t>Angiofollicular Lymph Node Hyperplasia, Multicentric</t>
  </si>
  <si>
    <t>Involves multiple lymph nodes and systemic symptoms.</t>
  </si>
  <si>
    <t>SUBTYPECODE:34</t>
  </si>
  <si>
    <t>Autoimmune pancreatitis
Lymphoplasmocytic sclerosing pancreatitis
Nonalcoholic destructive pancreatitis
Tumefactive pancreatitis
Autoimmune pancreatitis type 1
Autoimmune pancreatitis type 2</t>
  </si>
  <si>
    <t>Ankylosing Spondylitis</t>
  </si>
  <si>
    <t>Ankylosing Spondylitis, Axial</t>
  </si>
  <si>
    <t>Affects the spine and sacroiliac joints.</t>
  </si>
  <si>
    <t>SUBTYPECODE:35</t>
  </si>
  <si>
    <t>Ankylosing Spondylitis, Peripheral</t>
  </si>
  <si>
    <t>Involves joints outside the spine, like knees or hips.</t>
  </si>
  <si>
    <t>SUBTYPECODE:36</t>
  </si>
  <si>
    <t xml:space="preserve">Anti-Glomerular Basement Membrane Disease </t>
  </si>
  <si>
    <t>Autoimmune pancreatitis is a rare autoimmune disorder characterized by inflammation of the pancreas that may be acute or chronic. It is thought to be caused by the body's immune system attacking healthy cells of the pancreas. There are two subtypes of AIP, known as type 1 and type 2. Type 1 is the most common and it affects the pancreas, along with other organs, such as the liver, salivary glands, kidneys, lymph nodes, and gallbladder. Type 2 seems to only affect the pancreas but is associated with inflammatory bowel disease. Symptomatic patients often experience yellowing of the eyes (jaundice) and weight loss, but many patients are asymptomatic.  Autoimmune pancreatitis is a non-cancerous condition, but it is often mistaken for pancreatic cancer due to similar signs and symptoms.  There is no cure, but the condition is well-managed with treatment.</t>
  </si>
  <si>
    <t>Anti-Glomerular Basement Membrane Disease, Renal-Limited</t>
  </si>
  <si>
    <t>Affects only the kidneys.</t>
  </si>
  <si>
    <t>SUBTYPECODE:37</t>
  </si>
  <si>
    <t>Anti-Glomerular Basement Membrane Disease, Pulmonary-Renal</t>
  </si>
  <si>
    <t>Affects both lungs and kidneys.</t>
  </si>
  <si>
    <t>SUBTYPECODE:38</t>
  </si>
  <si>
    <t xml:space="preserve">Positive rates for antinuclear antibody were 40%, and those of other antibodies were 10–30%. We found no patients with positive test for SS-A/Ro or SS-B/La antibodies, or anti-mitochondrial antibodies that represent disease-specific antibodies for the diagnosis of Sjögren's syndrome or primary biliary cirrhosis (PBC), respectively. These findings suggest that the autoantibodies found in this disease are not pathogenic, and that patients have a tendency to produce various autoantibodies that are neither disease specific nor of primary relevance. However, the occasional coexistence of pancreatitis with salivary gland lesions and cholangitis suggests shared target antigens. Carbonic anhydrase II (CA II) and lactoferrin are distributed in the cells of several exocrine organs, including the pancreas, salivary glands, and biliary duct. In this context, CA II or lactoferrin have been proposed as a candidate target antigen, but the presence of autoantibodies for these antigens is not sufficiently specific or sensitive (Kino-Ohsaki et al., 1996). Protein electrophoresis of patients' sera showed a polyclonal band in the rapidly migrating fraction of γ-globulins. Later, immunoelectrophoresis confirmed that this polyclonal band was caused by a high serum concentration of IgG4. We confirmed that serum IgG4 elevation could be found in 90% of patients with autoimmune pancreatitis, but in very few patients with other conditions including pancreatic cancer, chronic pancreatitis, and Sjögren's syndrome, suggesting that IgG4 is a sensitive and specific marker for this disease. In addition, levels of IgG4 correlate well with disease activity
</t>
  </si>
  <si>
    <t>ANCA-Positive Vasculitis, Granulomatosis with Polyangiitis (GPA)</t>
  </si>
  <si>
    <t>Involves respiratory tract and kidneys.</t>
  </si>
  <si>
    <t>SUBTYPECODE:39</t>
  </si>
  <si>
    <t>Pancreas</t>
  </si>
  <si>
    <t>ANCA-Positive Vasculitis, Microscopic Polyangiitis (MPA)</t>
  </si>
  <si>
    <t>Primarily affects small blood vessels in kidneys and lungs.</t>
  </si>
  <si>
    <t>SUBTYPECODE:40</t>
  </si>
  <si>
    <t>Laminin-511-E8
Amylase alpha-2A
Carbonic anhydrase II</t>
  </si>
  <si>
    <t>ANCA-Positive Vasculitis, Eosinophilic Granulomatosis with Polyangiitis (EGPA)</t>
  </si>
  <si>
    <t>Associated with asthma and eosinophilia.</t>
  </si>
  <si>
    <t>SUBTYPECODE:41</t>
  </si>
  <si>
    <t>Pancreatic ductal epithelial cells (60%)
Pancreatic acinar cells (40%)</t>
  </si>
  <si>
    <t>Antiphospholipid Syndrome</t>
  </si>
  <si>
    <t>Antiphospholipid Syndrome, Primary</t>
  </si>
  <si>
    <t>Occurs without an underlying condition.</t>
  </si>
  <si>
    <t>SUBTYPECODE:42</t>
  </si>
  <si>
    <t>Elevated IgG4</t>
  </si>
  <si>
    <t>Antiphospholipid Syndrome, Secondary</t>
  </si>
  <si>
    <t>• Autoreactive CD4+ cytotoxic T cells / Tfh cells
• Autoreactive IgG4+ plasmablasts / plasma cells
• Autoreactive CD8+ T cells</t>
  </si>
  <si>
    <t>Associated with autoimmune diseases like lupus.</t>
  </si>
  <si>
    <t>SUBTYPECODE:43</t>
  </si>
  <si>
    <t>Antiphospholipid Syndrome, Catastrophic</t>
  </si>
  <si>
    <t>Severe, life-threatening form with multiple organ involvement.</t>
  </si>
  <si>
    <t>SUBTYPECODE:44</t>
  </si>
  <si>
    <t>1. In Type 1, IgG4-related systemic disease driven by CD4+ cytotoxic T cells and IgG4+ plasmablasts; in Type 2, granulocytic duct epithelial lesions driven by neutrophils.
2. Infiltration of the pancreatic parenchyma and periductal stroma by dense lymphoplasmacytic infiltrates or granulocytes.
3. Local cytokine release (IL-10, TGF-β) in Type 1 induces abundant "storiform" interstitial fibrosis and obliterative phlebitis.
4. Compressive narrowing of the main pancreatic duct and distal common bile duct.
5. Diffuse sausage-like pancreatic swelling, exocrine/endocrine dysfunction, and painless obstructive jaundice.</t>
  </si>
  <si>
    <t>Antisynthetase Syndrome</t>
  </si>
  <si>
    <t>Antisynthetase Syndrome, Classic</t>
  </si>
  <si>
    <t>Features myositis, interstitial lung disease, and arthritis.</t>
  </si>
  <si>
    <t>SUBTYPECODE:45</t>
  </si>
  <si>
    <t>Antisynthetase Syndrome, Lung-Dominant</t>
  </si>
  <si>
    <t>Primarily affects the lungs with minimal muscle involvement.</t>
  </si>
  <si>
    <t>SUBTYPECODE:46</t>
  </si>
  <si>
    <t>Aplastic Anemia</t>
  </si>
  <si>
    <t>Aplastic Anemia, Acquired</t>
  </si>
  <si>
    <t>Caused by autoimmune attack, infections, or medications.</t>
  </si>
  <si>
    <t>SUBTYPECODE:47</t>
  </si>
  <si>
    <t>Aplastic Anemia, Congenital (Fanconi Anemia)</t>
  </si>
  <si>
    <t>Genetic disorder leading to bone marrow failure.</t>
  </si>
  <si>
    <t>SUBTYPECODE:48</t>
  </si>
  <si>
    <t>Autoimmune Angioedema</t>
  </si>
  <si>
    <t>Autoimmune Angioedema, C1-Inhibitor Deficiency</t>
  </si>
  <si>
    <t>Caused by autoantibodies affecting complement regulation.</t>
  </si>
  <si>
    <t>SUBTYPECODE:49</t>
  </si>
  <si>
    <t>Autoimmune Angioedema, Idiopathic</t>
  </si>
  <si>
    <t>No clear cause but linked to immune dysfunction.</t>
  </si>
  <si>
    <t>SUBTYPECODE:50</t>
  </si>
  <si>
    <t>Autoimmune Inner Ear Disorder, Primary</t>
  </si>
  <si>
    <t>Direct immune attack on the inner ear.</t>
  </si>
  <si>
    <t>SUBTYPECODE:51</t>
  </si>
  <si>
    <t>Autoimmune Inner Ear Disorder, Secondary</t>
  </si>
  <si>
    <t>Occurs with systemic autoimmune diseases.</t>
  </si>
  <si>
    <t>SUBTYPECODE:52</t>
  </si>
  <si>
    <t>Autoimmune Encephalitis</t>
  </si>
  <si>
    <t>Autoimmune Encephalitis, Limbic</t>
  </si>
  <si>
    <t>Affects the limbic system, causing memory and behavioral changes.</t>
  </si>
  <si>
    <t>SUBTYPECODE:53</t>
  </si>
  <si>
    <t>Autoimmune Encephalitis, Bickerstaff’s Brainstem</t>
  </si>
  <si>
    <t>Involves brainstem and causes eye movement abnormalities.</t>
  </si>
  <si>
    <t>SUBTYPECODE:54</t>
  </si>
  <si>
    <t>NMDA Receptor Encephalitis, Classic</t>
  </si>
  <si>
    <t>Psychiatric symptoms, seizures, and autonomic instability.</t>
  </si>
  <si>
    <t>• Diffuse sausage-shaped pancreatic enlargement on imaging (75–85%)
• Painless obstructive jaundice with dark urine and pale stools (70–80%)
• New-onset or acutely worsening type 2 diabetes (40–50%)
• Epigastric discomfort or mild back pain (35–45%)
• Unexplained weight loss (35–45%)</t>
  </si>
  <si>
    <t>SUBTYPECODE:55</t>
  </si>
  <si>
    <t>NMDA Receptor Encephalitis, Paraneoplastic</t>
  </si>
  <si>
    <t>Associated with tumors, particularly ovarian teratomas.</t>
  </si>
  <si>
    <t>SUBTYPECODE:56</t>
  </si>
  <si>
    <t>1.0 cases per 21,739 to 50,000</t>
  </si>
  <si>
    <t>Autoimmune Gastritis</t>
  </si>
  <si>
    <t>Autoimmune Gastritis, Type A</t>
  </si>
  <si>
    <t>Leads to vitamin B12 deficiency and pernicious anemia.</t>
  </si>
  <si>
    <t>SUBTYPECODE:57</t>
  </si>
  <si>
    <t>Autoimmune Gastritis, Type B</t>
  </si>
  <si>
    <t>Associated with Helicobacter pylori infection.</t>
  </si>
  <si>
    <t>SUBTYPECODE:58</t>
  </si>
  <si>
    <t>Autoimmune Hemolytic Anemia</t>
  </si>
  <si>
    <t>Autoimmune Hemolytic Anemia, Warm</t>
  </si>
  <si>
    <t>Caused by IgG antibodies active at body temperature.</t>
  </si>
  <si>
    <t>SUBTYPECODE:59</t>
  </si>
  <si>
    <t>Autoimmune Hemolytic Anemia, Cold (Cold Agglutinin Disease)</t>
  </si>
  <si>
    <t>Mediated by IgM antibodies at cold temperatures.</t>
  </si>
  <si>
    <t>SUBTYPECODE:60</t>
  </si>
  <si>
    <t>1.0 cases per 21,739</t>
  </si>
  <si>
    <t>Autoimmune Hepatitis</t>
  </si>
  <si>
    <t>Autoimmune Hepatitis, Type 1</t>
  </si>
  <si>
    <t>Most common form, can occur at any age.</t>
  </si>
  <si>
    <t>SUBTYPECODE:61</t>
  </si>
  <si>
    <t>Autoimmune Hepatitis, Type 2</t>
  </si>
  <si>
    <t>More aggressive, usually affects children.</t>
  </si>
  <si>
    <t>SUBTYPECODE:62</t>
  </si>
  <si>
    <t xml:space="preserve">Autoimmune Lymphoproliferative Syndrome </t>
  </si>
  <si>
    <t>ALPS, Type 1A</t>
  </si>
  <si>
    <t>Caused by mutations in the FAS gene.</t>
  </si>
  <si>
    <t>SUBTYPECODE:63</t>
  </si>
  <si>
    <t>ALPS, Type 1B</t>
  </si>
  <si>
    <t>• Helicobacter pylori
• Viral pancreatitis triggers</t>
  </si>
  <si>
    <t>Caused by FAS ligand mutations.</t>
  </si>
  <si>
    <t>SUBTYPECODE:64</t>
  </si>
  <si>
    <t>• Smoking / tobacco use
• Alcohol consumption (aggravator)
• Blue-collar / industrial toxin exposure</t>
  </si>
  <si>
    <t>ALPS, Type 2</t>
  </si>
  <si>
    <t>Involves CASP10 gene mutations.</t>
  </si>
  <si>
    <t>SUBTYPECODE:65</t>
  </si>
  <si>
    <t>• Sjogren's syndrome
• Primary sclerosing cholangitis
• Inflammatory bowel disease
• Hashimoto's thyroiditis</t>
  </si>
  <si>
    <t>Autoimmune Neutropenia</t>
  </si>
  <si>
    <t>Autoimmune Neutropenia, Primary</t>
  </si>
  <si>
    <t>Occurs in children without underlying disease.</t>
  </si>
  <si>
    <t>SUBTYPECODE:66</t>
  </si>
  <si>
    <t>• East Asia (Japan, South Korea) and Europe (Type 1 AIP); worldwide (Type 2 AIP)</t>
  </si>
  <si>
    <t>Autoimmune Neutropenia, Secondary</t>
  </si>
  <si>
    <t>Associated with lupus or other autoimmune diseases.</t>
  </si>
  <si>
    <t>SUBTYPECODE:67</t>
  </si>
  <si>
    <t>• Oral corticosteroids (prednisone 0.6-1.0 mg/kg/day, rapid response)
• Maintenance azathioprine or mycophenolate
• Rituximab (anti-CD20 for refractory/relapsing Type 1 AIP)
• Biliary stenting for obstructive jaundice</t>
  </si>
  <si>
    <t>Autoimmune Oophoritis</t>
  </si>
  <si>
    <t>Autoimmune Oophoritis, Isolated</t>
  </si>
  <si>
    <t>Targets ovaries, causing infertility.</t>
  </si>
  <si>
    <t>SUBTYPECODE:68</t>
  </si>
  <si>
    <t>Autoimmune peripheral neuropathy associated with nodal/paranodal antibodies</t>
  </si>
  <si>
    <t>Autoimmune Oophoritis, Associated with APS</t>
  </si>
  <si>
    <t>Occurs with autoimmune polyendocrine syndrome.</t>
  </si>
  <si>
    <t>SUBTYPECODE:69</t>
  </si>
  <si>
    <t>Autoimmune peripheral neuropathy associated with nodal/paranodal antibodies; autoimmune nodopathy; autoimmune nodopathies; antibody-mediated nodo-paranodopathy; nodo-paranodopathy; paranodal antibody neuropathy; nodal antibody neuropathy; CIDP with nodal/paranodal antibodies; chronic inflammatory demyelinating polyradiculoneuropathy with nodal/paranodal antibodies; anti-NF155 CIDP; anti-CNTN1 CIDP; anti-Caspr1 CIDP; anti-neurofascin neuropathy; anti-contactin-1 neuropathy</t>
  </si>
  <si>
    <t>Autoimmune Orchitis</t>
  </si>
  <si>
    <t>Autoimmune Orchitis, Isolated</t>
  </si>
  <si>
    <t>Involves only the testes.</t>
  </si>
  <si>
    <t>SUBTYPECODE:70</t>
  </si>
  <si>
    <t>Autoimmune peripheral neuropathy associated with nodal and paranodal antibodies is a specialized neuropathy subtype where autoantibodies attack proteins maintaining the axoglial junctions of peripheral nerves. Patients develop subacute to chronic motor and sensory deficits, marked limb weakness, and gait unsteadiness. Identification of specific nodal antibodies directs physicians toward tailored immunosuppressive options such as rituximab.</t>
  </si>
  <si>
    <t>Autoimmune Orchitis, Secondary</t>
  </si>
  <si>
    <t>Linked to systemic autoimmune diseases.</t>
  </si>
  <si>
    <t>SUBTYPECODE:71</t>
  </si>
  <si>
    <t>Autoimmune Pancreatitis</t>
  </si>
  <si>
    <t>Inflammatory neuropathy mediated by IgG4 subclass autoantibodies against paranodal proteins (NF155, CNTN1), causing detachment of terminal myelin loops from the axon, marked sensory ataxia, and responsiveness to rituximab rather than IVIg. Chapter 59, pp. 867–875.</t>
  </si>
  <si>
    <t>Autoimmune Pancreatitis, Type 1</t>
  </si>
  <si>
    <t>IgG4-related disease with systemic involvement.</t>
  </si>
  <si>
    <t>SUBTYPECODE:72</t>
  </si>
  <si>
    <t>Neurofascin-155 (NF155)
Contactin-1 (CNTN1)
Caspr1</t>
  </si>
  <si>
    <t>Paranodal Schwann cell terminal loops (65%)
Nodal axolemma of myelinated axons (35%)</t>
  </si>
  <si>
    <t>Autoimmune Pancreatitis, Type 2</t>
  </si>
  <si>
    <t>Primarily affects the pancreas, associated with inflammatory bowel disease.</t>
  </si>
  <si>
    <t>• Anti-NF155 autoantibodies
• Anti-CNTN1 autoantibodies
• Anti-Caspr1 autoantibodies</t>
  </si>
  <si>
    <t>SUBTYPECODE:73</t>
  </si>
  <si>
    <t>• Autoreactive B cells / plasma cells (IgG4-producing)
• Autoreactive CD4+ T helper cells</t>
  </si>
  <si>
    <t>Autoimmune Progesterone Dermatitis</t>
  </si>
  <si>
    <t>Autoimmune Progesterone Dermatitis, Cyclic</t>
  </si>
  <si>
    <t>1. Emergence of non-complement-fixing IgG4 (or IgG3) autoantibodies directed against contactin-1, contactin-associated protein 1, or neurofascin.
2. High-affinity autoantibodies bind paranodal junctional complexes connecting myelinating Schwann cells to axonal membranes.
3. Disassembly of axoglial junctions causes detachment of terminal myelin loops without overt macrophage-mediated demyelination.
4. Disruption of the paranodal diffusion barrier induces redistribution of nodal Nav channels and Kv channels.
5. Inability to maintain action potential propagation halts saltatory conduction, producing sensory ataxia, tremor, and motor weakness.</t>
  </si>
  <si>
    <t>Symptoms worsen with menstrual cycles.</t>
  </si>
  <si>
    <t>SUBTYPECODE:74</t>
  </si>
  <si>
    <t>Autoimmune Progesterone Dermatitis, Non-Cyclic</t>
  </si>
  <si>
    <t>Occurs independently of hormonal fluctuations.</t>
  </si>
  <si>
    <t>SUBTYPECODE:75</t>
  </si>
  <si>
    <t>Autoimmune Retinopathy</t>
  </si>
  <si>
    <t>Autoimmune Retinopathy, Paraneoplastic</t>
  </si>
  <si>
    <t>Associated with cancer.</t>
  </si>
  <si>
    <t>SUBTYPECODE:76</t>
  </si>
  <si>
    <t>Autoimmune Retinopathy, Non-Paraneoplastic</t>
  </si>
  <si>
    <t>Occurs without underlying malignancy.</t>
  </si>
  <si>
    <t>SUBTYPECODE:77</t>
  </si>
  <si>
    <t xml:space="preserve">Autoimmune Thrombocytopenic Purpura </t>
  </si>
  <si>
    <t>ITP, Primary</t>
  </si>
  <si>
    <t>No underlying cause identified.</t>
  </si>
  <si>
    <t>SUBTYPECODE:78</t>
  </si>
  <si>
    <t>ITP, Secondary</t>
  </si>
  <si>
    <t>Associated with lupus, infections, or medications.</t>
  </si>
  <si>
    <t>SUBTYPECODE:79</t>
  </si>
  <si>
    <t>Autoimmune Thyroiditis</t>
  </si>
  <si>
    <t>Autoimmune Thyroiditis, Hashimoto’s Thyroiditis</t>
  </si>
  <si>
    <t>Leads to hypothyroidism.</t>
  </si>
  <si>
    <t>SUBTYPECODE:80</t>
  </si>
  <si>
    <t>Autoimmune Thyroiditis, Postpartum Thyroiditis</t>
  </si>
  <si>
    <t>Occurs after pregnancy.</t>
  </si>
  <si>
    <t>SUBTYPECODE:81</t>
  </si>
  <si>
    <t>• Generalized areflexia (90–95%)
• Subacute to acute severe symmetrical distal and proximal limb weakness (80–90%)
• Severe proprioceptive sensory ataxia and positive Romberg sign (70–80%)
• Prominent action tremor of hands and arms (40–55%)</t>
  </si>
  <si>
    <t>Autoimmune Urticaria</t>
  </si>
  <si>
    <t>Autoimmune Urticaria, Chronic Spontaneous</t>
  </si>
  <si>
    <t>Persistent hives without an allergen.</t>
  </si>
  <si>
    <t>SUBTYPECODE:82</t>
  </si>
  <si>
    <t>Autoimmune Urticaria, Inducible</t>
  </si>
  <si>
    <t>Triggered by external stimuli like pressure or heat.</t>
  </si>
  <si>
    <t>SUBTYPECODE:83</t>
  </si>
  <si>
    <t>Autoimmune Urticaria and/or Angioedema</t>
  </si>
  <si>
    <t>Autoimmune Urticaria/Angioedema, Mast Cell-Mediated</t>
  </si>
  <si>
    <t>Caused by abnormal immune response.</t>
  </si>
  <si>
    <t>SUBTYPECODE:84</t>
  </si>
  <si>
    <t>Autoimmune Urticaria/Angioedema, Complement-Mediated</t>
  </si>
  <si>
    <t>Linked to complement system dysregulation.</t>
  </si>
  <si>
    <t>SUBTYPECODE:85</t>
  </si>
  <si>
    <t>Autoimmune Vasculitis</t>
  </si>
  <si>
    <t>Autoimmune Vasculitis, Large Vessel</t>
  </si>
  <si>
    <t>Includes giant cell arteritis and Takayasu arteritis.</t>
  </si>
  <si>
    <t>SUBTYPECODE:86</t>
  </si>
  <si>
    <t>Autoimmune Vasculitis, Small Vessel</t>
  </si>
  <si>
    <t>Includes ANCA-associated vasculitis.</t>
  </si>
  <si>
    <t>SUBTYPECODE:87</t>
  </si>
  <si>
    <t>• Campylobacter jejuni
• Cytomegalovirus, Zika virus</t>
  </si>
  <si>
    <t>• Infectious prodromes
• Immunizations</t>
  </si>
  <si>
    <t>Balo Concentric Sclerosis</t>
  </si>
  <si>
    <t>Balo Concentric Sclerosis, Classic</t>
  </si>
  <si>
    <t>Rare variant of multiple sclerosis with concentric demyelination.</t>
  </si>
  <si>
    <t>• Autoimmune thyroid disease
• Systemic lupus erythematosus</t>
  </si>
  <si>
    <t>SUBTYPECODE:88</t>
  </si>
  <si>
    <t>• Worldwide (rare, &lt;10% of inflammatory neuropathies)</t>
  </si>
  <si>
    <t>Behçet's Syndrome</t>
  </si>
  <si>
    <t>Behçet's Syndrome, Mucocutaneous</t>
  </si>
  <si>
    <t>• Rituximab (preferred for IgG4 anti-NF155/CNTN1)
• Plasmapheresis (plasma exchange)
• Corticosteroids
• IVIG (less effective in IgG4 nodal subtypes)</t>
  </si>
  <si>
    <t>Affects the skin, mouth, and genitals.</t>
  </si>
  <si>
    <t>SUBTYPECODE:89</t>
  </si>
  <si>
    <t>Autoimmune postural orthostatic tachycardia syndrome (POTS)</t>
  </si>
  <si>
    <t>Autoimmune postural orthostatic tachycardia syndrome; autoimmune POTS; postural orthostatic tachycardia syndrome with autoimmunity; POTS with autoantibodies; postural tachycardia syndrome with autoantibodies; adrenergic receptor autoantibody-associated POTS; muscarinic receptor autoantibody-associated POTS; ganglionic AChR antibody-associated POTS; autoimmune orthostatic intolerance; immune-mediated POTS</t>
  </si>
  <si>
    <t>Behçet's Syndrome, Ocular</t>
  </si>
  <si>
    <t>Involves inflammation of the eyes, leading to vision loss.</t>
  </si>
  <si>
    <t>SUBTYPECODE:90</t>
  </si>
  <si>
    <t>Autoimmune postural orthostatic tachycardia syndrome is a chronic autonomic disorder where autoantibodies targeting adrenergic or muscarinic receptors impair peripheral blood vessel constriction. Upon standing, blood pools in the lower extremities, triggering an excessive surge in heart rate, lightheadedness, fatigue, and brain fog. Therapeutic management combines fluid loading and lifestyle adaptations with immunomodulatory options in refractory cases.</t>
  </si>
  <si>
    <t>Behçet's Syndrome, Neurologic (Neuro-Behçet’s)</t>
  </si>
  <si>
    <t>Affects the brain and spinal cord.</t>
  </si>
  <si>
    <t>SUBTYPECODE:91</t>
  </si>
  <si>
    <t>Autonomic disorder characterized by orthostatic intolerance and excessive heart rate increase upon standing; recognized autoimmune subsets demonstrate autoantibodies against adrenergic and muscarinic receptors. Chapter 59, pp. 871–879.</t>
  </si>
  <si>
    <t>Behçet's Syndrome, Vascular</t>
  </si>
  <si>
    <t>Involves inflammation of blood vessels, leading to thrombosis.</t>
  </si>
  <si>
    <t>α1-adrenergic receptor
β1/β2-adrenergic receptors
Muscarinic acetylcholine receptors (M2/M4)</t>
  </si>
  <si>
    <t>SUBTYPECODE:92</t>
  </si>
  <si>
    <t>Postganglionic autonomic adrenergic / cholinergic nerve terminals (70%)
Vascular endothelial / smooth muscle cells (30%)</t>
  </si>
  <si>
    <t xml:space="preserve">Benign Mucous Membrane Pemphigoid </t>
  </si>
  <si>
    <t>• Anti-α1-adrenergic receptor autoantibodies
• Anti-β1/β2-adrenergic receptor autoantibodies
• Anti-muscarinic receptor autoantibodies</t>
  </si>
  <si>
    <t>Benign Mucous Membrane Pemphigoid, Ocular</t>
  </si>
  <si>
    <t>Affects conjunctiva, leading to scarring.</t>
  </si>
  <si>
    <t>SUBTYPECODE:93</t>
  </si>
  <si>
    <t>• Autoreactive B cells / plasma cells (anti-GPCR: adrenergic/muscarinic)
• Autoreactive CD4+ T helper cells</t>
  </si>
  <si>
    <t>Benign Mucous Membrane Pemphigoid, Oral</t>
  </si>
  <si>
    <t>1. Post-viral immune priming or immune dysregulation generates functional autoantibodies targeting G-protein-coupled receptors (GPCRs).
2. Autoantibodies selectively bind and functionally activate or block α1-adrenergic, β1/β2-adrenergic, and M2/M4 muscarinic receptors.
3. Impaired α1-mediated peripheral vasoconstriction causes persistent venous blood pooling in the splanchnic and lower limb circulation upon standing.
4. Secondary excessive compensatory sympathetic outflow and β1-receptor stimulation trigger pronounced sinus tachycardia.
5. Inadequate cerebral perfusion and autonomic hyperadrenergic state cause orthostatic intolerance, lightheadedness, brain fog, and palpitation.</t>
  </si>
  <si>
    <t>Affects the gums and mucosa in the mouth.</t>
  </si>
  <si>
    <t>SUBTYPECODE:94</t>
  </si>
  <si>
    <t>Benign Mucous Membrane Pemphigoid, Cutaneous</t>
  </si>
  <si>
    <t>Causes skin blistering.</t>
  </si>
  <si>
    <t>SUBTYPECODE:95</t>
  </si>
  <si>
    <t>Bullous Pemphigoid</t>
  </si>
  <si>
    <t>Bullous Pemphigoid, Generalized</t>
  </si>
  <si>
    <t>Widespread blistering across the body.</t>
  </si>
  <si>
    <t>SUBTYPECODE:96</t>
  </si>
  <si>
    <t>Bullous Pemphigoid, Localized</t>
  </si>
  <si>
    <t>Blisters limited to specific areas like the lower legs.</t>
  </si>
  <si>
    <t>SUBTYPECODE:97</t>
  </si>
  <si>
    <t>Cataplexy and Narcolepsy</t>
  </si>
  <si>
    <t>Narcolepsy Type 1</t>
  </si>
  <si>
    <t>Involves cataplexy and low hypocretin levels.</t>
  </si>
  <si>
    <t>SUBTYPECODE:98</t>
  </si>
  <si>
    <t>Narcolepsy Type 2</t>
  </si>
  <si>
    <t>No cataplexy, but excessive daytime sleepiness.</t>
  </si>
  <si>
    <t>SUBTYPECODE:99</t>
  </si>
  <si>
    <t>Celiac Disease</t>
  </si>
  <si>
    <t>Celiac Disease, Classic</t>
  </si>
  <si>
    <t>Presents with gastrointestinal symptoms and malabsorption.</t>
  </si>
  <si>
    <t>SUBTYPECODE:100</t>
  </si>
  <si>
    <t>Celiac Disease, Silent</t>
  </si>
  <si>
    <t>No symptoms but positive serology and villous atrophy.</t>
  </si>
  <si>
    <t>SUBTYPECODE:101</t>
  </si>
  <si>
    <t>• Orthostatic heart rate increment ≥30 bpm (or ≥40 bpm in teens) within 10 min of standing (100%)
• Absence of orthostatic hypotension (100%)
• Presyncope, lightheadedness, and orthostatic dizziness (90–95%)
• Palpitations and tremulousness upon standing (85–95%)
• Chronic fatigue and severe post-exertional exhaustion (80–90%)
• Cognitive dysfunction ('brain fog') (75–85%)</t>
  </si>
  <si>
    <t>Celiac Disease, Refractory</t>
  </si>
  <si>
    <t>Persistent symptoms despite a gluten-free diet.</t>
  </si>
  <si>
    <t>1.0 cases per 500 to 1,000</t>
  </si>
  <si>
    <t>SUBTYPECODE:102</t>
  </si>
  <si>
    <t xml:space="preserve">Chronic Fatigue Syndrome </t>
  </si>
  <si>
    <t>Chronic Fatigue Syndrome, Post-Infectious</t>
  </si>
  <si>
    <t>Triggered by a prior infection.</t>
  </si>
  <si>
    <t>SUBTYPECODE:103</t>
  </si>
  <si>
    <t>Chronic Fatigue Syndrome, Idiopathic</t>
  </si>
  <si>
    <t>No known preceding cause.</t>
  </si>
  <si>
    <t>SUBTYPECODE:104</t>
  </si>
  <si>
    <t xml:space="preserve">Chronic Inflammatory Demyelinating Polyradiculoneuropathy </t>
  </si>
  <si>
    <t>CIDP, Typical</t>
  </si>
  <si>
    <t>Symmetric weakness and sensory loss.</t>
  </si>
  <si>
    <t>SUBTYPECODE:105</t>
  </si>
  <si>
    <t>• SARS-CoV-2 (COVID-19)
• EBV, Borrelia burgdorferi
• Parvovirus B19</t>
  </si>
  <si>
    <t>CIDP, Multifocal</t>
  </si>
  <si>
    <t>• Viral infection (post-viral syndrome)
• Deconditioning, heat, prolonged standing
• Surgical or physical trauma</t>
  </si>
  <si>
    <t>Asymmetric nerve involvement.</t>
  </si>
  <si>
    <t>SUBTYPECODE:106</t>
  </si>
  <si>
    <t>• Ehlers-Danlos syndrome (hypermobility)
• Mast cell activation syndrome (MCAS)
• Hashimoto's thyroiditis
• Sjogren's syndrome</t>
  </si>
  <si>
    <t>• North America and Europe (estimated 0.2-1% of young females)</t>
  </si>
  <si>
    <t>CIDP, Motor-Dominant</t>
  </si>
  <si>
    <t>Primarily affects muscle strength.</t>
  </si>
  <si>
    <t>• Fluid/salt expansion &amp; compression garments
• Fludrocortisone, midodrine, pyridostigmine
• Ivabradine / beta-blockers
• IVIG (for refractory autoimmune cases)</t>
  </si>
  <si>
    <t>SUBTYPECODE:107</t>
  </si>
  <si>
    <t>Chronic Interstitial Cystitis</t>
  </si>
  <si>
    <t>APD
Autoimmune progesterone dermatitis</t>
  </si>
  <si>
    <t>Chronic Interstitial Cystitis, Hunner’s Lesions</t>
  </si>
  <si>
    <t>Bladder ulcers and severe pain.</t>
  </si>
  <si>
    <t>SUBTYPECODE:108</t>
  </si>
  <si>
    <t>Chronic Interstitial Cystitis, Non-Ulcerative</t>
  </si>
  <si>
    <t>Autoimmune progesterone dermatitis is a recurrent skin rash that varies in severity and generally appears during the second half of the cycle when levels of the hormone, progesterone, begin to rise and it subsides shortly after menstruation.</t>
  </si>
  <si>
    <t>Diffuse bladder irritation without lesions.</t>
  </si>
  <si>
    <t>SUBTYPECODE:109</t>
  </si>
  <si>
    <t>Chronic Lyme Disease</t>
  </si>
  <si>
    <t>Chronic Lyme Disease, Neurologic</t>
  </si>
  <si>
    <t>No mention in Rose &amp; Mackay - Rare cyclic dermatosis occurring in the luteal phase of the menstrual cycle, characterized by hypersensitivity reactions to endogenous progesterone; not classified as a classic autoantibody-mediated disease. Chapter 65, pp. 960–970.</t>
  </si>
  <si>
    <t>Persistent neurological symptoms.</t>
  </si>
  <si>
    <t>SUBTYPECODE:110</t>
  </si>
  <si>
    <t>Progesterone</t>
  </si>
  <si>
    <t>Chronic Lyme Disease, Musculoskeletal</t>
  </si>
  <si>
    <t>Ongoing joint pain and inflammation.</t>
  </si>
  <si>
    <t>SUBTYPECODE:111</t>
  </si>
  <si>
    <t>Cutaneous keratinocytes (60%)
Dermal mast cells / endothelial cells (40%)</t>
  </si>
  <si>
    <t>• Anti-progesterone autoantibodies</t>
  </si>
  <si>
    <t xml:space="preserve">Chronic Multifocal Osteomyelitis </t>
  </si>
  <si>
    <t>CRMO, Nonbacterial</t>
  </si>
  <si>
    <t>• Progesterone-specific CD4+ Th2 cells
• Autoreactive B cells / plasma cells (anti-progesterone)</t>
  </si>
  <si>
    <t>Chronic bone inflammation without infection.</t>
  </si>
  <si>
    <t>SUBTYPECODE:112</t>
  </si>
  <si>
    <t>1. Prior exposure to exogenous progestins or pregnancy sensibilizes the adaptive immune system to endogenous luteal progesterone.
2. Development of progesterone-specific IgE/IgG antibodies and CD4+ Th2 lymphocytes.
3. During the luteal phase of the menstrual cycle, surging serum progesterone levels bind specific immune receptors in cutaneous tissues.
4. Mast cell degranulation and CD4+ T-cell activation release histamine, leukotrienes, and pro-inflammatory cytokines into the dermis.
5. Recurrent cyclic cutaneous eruptions (urticaria, erythema multiforme-like lesions, eczema, angioedema) synchronize precisely with the luteal phase.</t>
  </si>
  <si>
    <t xml:space="preserve">Chronic Post-COVID-19 Syndrome </t>
  </si>
  <si>
    <t>Long COVID, Neurologic</t>
  </si>
  <si>
    <t>Brain fog, headaches, and cognitive impairment.</t>
  </si>
  <si>
    <t>SUBTYPECODE:113</t>
  </si>
  <si>
    <t>Long COVID, Cardiopulmonary</t>
  </si>
  <si>
    <t>Persistent shortness of breath and heart palpitations.</t>
  </si>
  <si>
    <t>SUBTYPECODE:114</t>
  </si>
  <si>
    <t>Cogan's Syndrome</t>
  </si>
  <si>
    <t>Cogan's Syndrome, Typical</t>
  </si>
  <si>
    <t>Interstitial keratitis with vestibulo-auditory symptoms.</t>
  </si>
  <si>
    <t>SUBTYPECODE:115</t>
  </si>
  <si>
    <t>Cogan's Syndrome, Atypical</t>
  </si>
  <si>
    <t>Includes systemic vasculitis.</t>
  </si>
  <si>
    <t>SUBTYPECODE:116</t>
  </si>
  <si>
    <t>Cold Agglutinin Disease</t>
  </si>
  <si>
    <t>Cold Agglutinin Disease, Primary</t>
  </si>
  <si>
    <t>No underlying condition, chronic hemolysis in cold temperatures.</t>
  </si>
  <si>
    <t>SUBTYPECODE:117</t>
  </si>
  <si>
    <t>Cold Agglutinin Disease, Secondary</t>
  </si>
  <si>
    <t>Associated with infections or lymphoproliferative disorders.</t>
  </si>
  <si>
    <t>SUBTYPECODE:118</t>
  </si>
  <si>
    <t>• Cyclical recurrent dermatosis occurring 3–7 days prior to menses and resolving after flow (95–100%)
• Positive intradermal luteal progesterone skin test (90–100%)
• Intensely pruritic erythema multiforme-like, eczematous, or urticarial lesions (85–95%)
• Facial and lip angioedema (30–40%)</t>
  </si>
  <si>
    <t xml:space="preserve">Complex Regional Pain Syndrome </t>
  </si>
  <si>
    <t>CRPS Type 1</t>
  </si>
  <si>
    <t>No nerve damage but severe pain and swelling.</t>
  </si>
  <si>
    <t>SUBTYPECODE:119</t>
  </si>
  <si>
    <t>CRPS Type 2</t>
  </si>
  <si>
    <t>Associated with identifiable nerve damage.</t>
  </si>
  <si>
    <t>SUBTYPECODE:120</t>
  </si>
  <si>
    <t>Crohn's Disease</t>
  </si>
  <si>
    <t>Crohn’s Disease, Ileal</t>
  </si>
  <si>
    <t>Primarily affects the ileum.</t>
  </si>
  <si>
    <t>SUBTYPECODE:121</t>
  </si>
  <si>
    <t>Crohn’s Disease, Colonic</t>
  </si>
  <si>
    <t>Involves only the colon.</t>
  </si>
  <si>
    <t>SUBTYPECODE:122</t>
  </si>
  <si>
    <t>Crohn’s Disease, Gastroduodenal</t>
  </si>
  <si>
    <t>Affects the stomach and duodenum.</t>
  </si>
  <si>
    <t>• Viral triggers (unspecified)</t>
  </si>
  <si>
    <t>SUBTYPECODE:123</t>
  </si>
  <si>
    <t>• Exogenous progesterone (contraceptive pills, IVF injections)
• Luteal phase of menstrual cycle (endogenous progesterone spike)</t>
  </si>
  <si>
    <t xml:space="preserve">Cryptogenic Organizing Pneumonia </t>
  </si>
  <si>
    <t>• Autoimmune thyroiditis
• Vitiligo</t>
  </si>
  <si>
    <t>COP, Idiopathic</t>
  </si>
  <si>
    <t>SUBTYPECODE:124</t>
  </si>
  <si>
    <t>• Worldwide (rare, &lt;200 reported cases)</t>
  </si>
  <si>
    <t>COP, Secondary</t>
  </si>
  <si>
    <t>• Inhibition of ovulation (GnRH analogs, tamoxifen)
• Bilateral oophorectomy (definitive for refractory)
• Antihistamines and systemic corticosteroids
• Desensitization protocols</t>
  </si>
  <si>
    <t>Occurs due to infections, drugs, or autoimmune disease.</t>
  </si>
  <si>
    <t>SUBTYPECODE:125</t>
  </si>
  <si>
    <t>Autoimmune pulmonary alveolar proteinosis (aPAP)</t>
  </si>
  <si>
    <t>Cutaneous Lupus Erythematosus</t>
  </si>
  <si>
    <t>Cutaneous Lupus, Discoid</t>
  </si>
  <si>
    <t>Causes scarring skin lesions.</t>
  </si>
  <si>
    <t>SUBTYPECODE:126</t>
  </si>
  <si>
    <t>Cutaneous Lupus, Subacute</t>
  </si>
  <si>
    <t>Autoimmune pulmonary alveolar proteinosis; autoimmune PAP; aPAP; acquired pulmonary alveolar proteinosis; PAP acquired; idiopathic pulmonary alveolar proteinosis (historical); primary acquired PAP; anti-GM-CSF antibody pulmonary alveolar proteinosis; GM-CSF autoantibody-associated PAP; pulmonary alveolar lipoproteinosis, acquired; anti-granulocyte-macrophage colony-stimulating factor autoantibody-associated PAP</t>
  </si>
  <si>
    <t>Non-scarring, photosensitive lesions.</t>
  </si>
  <si>
    <t>SUBTYPECODE:127</t>
  </si>
  <si>
    <t>Cutaneous Mastocytosis</t>
  </si>
  <si>
    <t>Cutaneous Mastocytosis, Urticaria Pigmentosa</t>
  </si>
  <si>
    <t>Brown patches that itch when rubbed.</t>
  </si>
  <si>
    <t>Autoimmune pulmonary alveolar proteinosis is a rare lung disorder caused by neutralizing autoantibodies against granulocyte-macrophage colony-stimulating factor (GM-CSF). This antibody blocks alveolar macrophages from clearing surfactant, leading to the accumulation of lipoproteinaceous material within the alveoli and causing progressive breathlessness, cough, and hypoxia. Whole lung lavage and GM-CSF therapies are established treatments.</t>
  </si>
  <si>
    <t>SUBTYPECODE:128</t>
  </si>
  <si>
    <t>Rare pulmonary disease caused by high-affinity neutralizing autoantibodies against granulocyte-macrophage colony-stimulating factor (GM-CSF), which impair alveolar macrophage maturation and surfactant catabolism, causing intra-alveolar surfactant accumulation. Chapter 74, pp. 1085–1092.</t>
  </si>
  <si>
    <t>Cutaneous Mastocytosis, Diffuse</t>
  </si>
  <si>
    <t>Generalized thickening of the skin.</t>
  </si>
  <si>
    <t>SUBTYPECODE:129</t>
  </si>
  <si>
    <t>Dermatitis Herpetiformis</t>
  </si>
  <si>
    <t>Dermatitis Herpetiformis, Gluten-Sensitive</t>
  </si>
  <si>
    <t>Linked to celiac disease.</t>
  </si>
  <si>
    <t>SUBTYPECODE:130</t>
  </si>
  <si>
    <t>Dermatomyositis, Classic</t>
  </si>
  <si>
    <t>Muscle weakness with a skin rash.</t>
  </si>
  <si>
    <t>SUBTYPECODE:131</t>
  </si>
  <si>
    <t>Respiratory</t>
  </si>
  <si>
    <t>Dermatomyositis, Amyopathic</t>
  </si>
  <si>
    <t>Skin rash without muscle involvement.</t>
  </si>
  <si>
    <t>SUBTYPECODE:132</t>
  </si>
  <si>
    <t>Granulocyte-macrophage colony-stimulating factor (GM-CSF)</t>
  </si>
  <si>
    <t>Dermatomyositis, Paraneoplastic</t>
  </si>
  <si>
    <t>Associated with underlying cancer.</t>
  </si>
  <si>
    <t>Alveolar macrophages (85%)
Type II alveolar pneumocytes (15%)</t>
  </si>
  <si>
    <t>SUBTYPECODE:133</t>
  </si>
  <si>
    <t>• Neutralizing anti-GM-CSF IgG autoantibodies</t>
  </si>
  <si>
    <t>Diabetes Mellitus Type 1</t>
  </si>
  <si>
    <t>Type 1 Diabetes, Autoimmune</t>
  </si>
  <si>
    <t>T-cell mediated destruction of pancreatic β-cells.</t>
  </si>
  <si>
    <t>SUBTYPECODE:134</t>
  </si>
  <si>
    <t>• Autoreactive B cells / plasma cells (anti-GM-CSF IgG)
• Autoreactive CD4+ T helper cells (GM-CSF-specific)</t>
  </si>
  <si>
    <t>Type 1 Diabetes, Idiopathic</t>
  </si>
  <si>
    <t>No detectable autoantibodies.</t>
  </si>
  <si>
    <t>SUBTYPECODE:135</t>
  </si>
  <si>
    <t>1. Loss of immune tolerance prompts clonal B cells to produce high-titer neutralizing IgG autoantibodies against granulocyte-macrophage colony-stimulating factor (GM-CSF).
2. Circulating and alveolar anti-GM-CSF autoantibodies bind and neutralize GM-CSF, blocking its interaction with the GM-CSF receptor on alveolar macrophages.
3. Inhibition of GM-CSF signaling halts PU.1 transcription factor expression, severely arresting alveolar macrophage terminal differentiation.
4. Immature alveolar macrophages lose the capacity to catabolize and clear pulmonary surfactant lipids and proteins.
5. Massive, progressive intra-alveolar accumulation of periodic acid-Schiff (PAS)-positive lipoproteinaceous surfactant causes impaired gas exchange and dyspnea.</t>
  </si>
  <si>
    <t xml:space="preserve">Eaton-Lambert Syndrome </t>
  </si>
  <si>
    <t>LEMS, Paraneoplastic</t>
  </si>
  <si>
    <t>Linked to small cell lung cancer.</t>
  </si>
  <si>
    <t>SUBTYPECODE:136</t>
  </si>
  <si>
    <t>LEMS, Idiopathic</t>
  </si>
  <si>
    <t>No associated cancer.</t>
  </si>
  <si>
    <t>SUBTYPECODE:137</t>
  </si>
  <si>
    <t>Endometriosis, Superficial Peritoneal</t>
  </si>
  <si>
    <t>Lesions on the peritoneum.</t>
  </si>
  <si>
    <t>SUBTYPECODE:138</t>
  </si>
  <si>
    <t>Endometriosis, Deep Infiltrating</t>
  </si>
  <si>
    <t>Penetrates organs like the bladder or rectum.</t>
  </si>
  <si>
    <t>SUBTYPECODE:139</t>
  </si>
  <si>
    <t>Enthesitis, Peripheral</t>
  </si>
  <si>
    <t>Affects tendon attachments in limbs.</t>
  </si>
  <si>
    <t>SUBTYPECODE:140</t>
  </si>
  <si>
    <t>Enthesitis, Axial</t>
  </si>
  <si>
    <t>Involves the spine and sacroiliac joints.</t>
  </si>
  <si>
    <t>SUBTYPECODE:141</t>
  </si>
  <si>
    <t>Eosinophilic Esophagitis, Pediatric</t>
  </si>
  <si>
    <t>Manifests as feeding difficulties.</t>
  </si>
  <si>
    <t>SUBTYPECODE:142</t>
  </si>
  <si>
    <t>Eosinophilic Esophagitis, Adult</t>
  </si>
  <si>
    <t>Presents with dysphagia and food impaction.</t>
  </si>
  <si>
    <t>SUBTYPECODE:143</t>
  </si>
  <si>
    <t>Epilepsy, Focal</t>
  </si>
  <si>
    <t>Seizures originate in one part of the brain.</t>
  </si>
  <si>
    <t>SUBTYPECODE:144</t>
  </si>
  <si>
    <t>Epilepsy, Generalized</t>
  </si>
  <si>
    <t>Affects both hemispheres of the brain.</t>
  </si>
  <si>
    <t>SUBTYPECODE:145</t>
  </si>
  <si>
    <t>• Milky, opaque bronchoalveolar lavage fluid with PAS-positive proteinaceous material (95–100%)
• Insidious, progressive exertional dyspnea (85–95%)
• Chronic, non-productive or mildly productive cough (60–75%)
• Bibasilar inspiratory crackles (50–60%)
• Weight loss, low-grade fevers, and cyanosis in advanced disease (20–30%)</t>
  </si>
  <si>
    <t>Episcleritis, Simple</t>
  </si>
  <si>
    <t>Mild inflammation without nodules.</t>
  </si>
  <si>
    <t>SUBTYPECODE:146</t>
  </si>
  <si>
    <t>Episcleritis, Nodular</t>
  </si>
  <si>
    <t>Localized, raised inflammatory nodules.</t>
  </si>
  <si>
    <t>SUBTYPECODE:147</t>
  </si>
  <si>
    <t>1.0 cases per 140,000 to 166,667</t>
  </si>
  <si>
    <t>Erythema Nodosum</t>
  </si>
  <si>
    <t>Erythema Nodosum, Idiopathic</t>
  </si>
  <si>
    <t>SUBTYPECODE:148</t>
  </si>
  <si>
    <t>Erythema Nodosum, Secondary</t>
  </si>
  <si>
    <t>Associated with infections or autoimmune diseases.</t>
  </si>
  <si>
    <t>SUBTYPECODE:149</t>
  </si>
  <si>
    <t>Essential Mixed Cryoglobulinemia</t>
  </si>
  <si>
    <t>Cryoglobulinemia Type I</t>
  </si>
  <si>
    <t>Associated with monoclonal IgM or IgG.</t>
  </si>
  <si>
    <t>SUBTYPECODE:150</t>
  </si>
  <si>
    <t>Cryoglobulinemia Type II</t>
  </si>
  <si>
    <t>Mixed monoclonal and polyclonal Ig.</t>
  </si>
  <si>
    <t>SUBTYPECODE:151</t>
  </si>
  <si>
    <t>Evans Syndrome</t>
  </si>
  <si>
    <t>Evans Syndrome, Primary</t>
  </si>
  <si>
    <t>No associated underlying disease.</t>
  </si>
  <si>
    <t>SUBTYPECODE:152</t>
  </si>
  <si>
    <t>Evans Syndrome, Secondary</t>
  </si>
  <si>
    <t>Occurs with lupus or other autoimmune disorders.</t>
  </si>
  <si>
    <t>SUBTYPECODE:153</t>
  </si>
  <si>
    <t xml:space="preserve">Fasciitis with Eosinophilia Syndrome </t>
  </si>
  <si>
    <t>Fasciitis with Eosinophilia, Classic</t>
  </si>
  <si>
    <t>Skin thickening and eosinophilia.</t>
  </si>
  <si>
    <t>SUBTYPECODE:154</t>
  </si>
  <si>
    <t>• Viral respiratory infections (EBV, CMV)</t>
  </si>
  <si>
    <t>Fasciitis with Eosinophilia, Associated with Drugs</t>
  </si>
  <si>
    <t>• Inhaled silica, titanium, aluminum dusts
• Cigarette smoke
• Industrial chemical exposures</t>
  </si>
  <si>
    <t>Triggered by medications.</t>
  </si>
  <si>
    <t>SUBTYPECODE:155</t>
  </si>
  <si>
    <t>• Autoimmune thyroiditis
• Rheumatoid arthritis</t>
  </si>
  <si>
    <t>Felty Syndrome</t>
  </si>
  <si>
    <t>Felty Syndrome, Classic</t>
  </si>
  <si>
    <t>Triad of rheumatoid arthritis, splenomegaly, and neutropenia.</t>
  </si>
  <si>
    <t>SUBTYPECODE:156</t>
  </si>
  <si>
    <t>• Worldwide (~6-7 per million prevalence; slightly higher in Japan)</t>
  </si>
  <si>
    <t>Fibromyalgia, Primary</t>
  </si>
  <si>
    <t>No known cause, chronic widespread pain.</t>
  </si>
  <si>
    <t>SUBTYPECODE:157</t>
  </si>
  <si>
    <t>• Whole lung lavage (WLL, standard gold-standard)
• Inhaled recombinant GM-CSF (sargramostim)
• Rituximab (anti-CD20)
• Plasmapheresis</t>
  </si>
  <si>
    <t>Fibromyalgia, Secondary</t>
  </si>
  <si>
    <t>Occurs with other conditions like lupus or rheumatoid arthritis.</t>
  </si>
  <si>
    <t>SUBTYPECODE:158</t>
  </si>
  <si>
    <t>Autoimmune retinal vasculitis (primary)</t>
  </si>
  <si>
    <t>Autoimmune retinal vasculitis; primary retinal vasculitis; idiopathic retinal vasculitis; isolated retinal vasculitis; retinal arteritis; autoimmune retinal arteritis; idiopathic ischemic retinal vasculitis; noninfectious retinal vasculitis; antiretinal autoimmunity-associated retinal vasculitis; IRVAN syndrome; idiopathic retinal vasculitis, aneurysms and neuroretinitis; retinal vasculitis with antiretinal antibodies</t>
  </si>
  <si>
    <t>Graves' Disease</t>
  </si>
  <si>
    <t>Graves’ Disease, Classic</t>
  </si>
  <si>
    <t>Hyperthyroidism, goiter, and eye involvement.</t>
  </si>
  <si>
    <t>SUBTYPECODE:159</t>
  </si>
  <si>
    <t>Autoimmune retinal vasculitis is an inflammatory condition affecting the blood vessels of the retina that arises without an associated systemic rheumatic disease. Inflammation and occlusion of retinal vessels can cause blurred vision, blind spots, floaters, and potential retinal ischemia. Treatment involves localized and systemic corticosteroids and immunomodulatory agents to preserve eyesight.</t>
  </si>
  <si>
    <t>Idiopathic, immune-mediated inflammation of retinal vessels characterized by vascular sheathing, leakage, occlusions, and macular edema in the absence of an underlying systemic inflammatory condition. Chapter 55, pp. 776–784.</t>
  </si>
  <si>
    <t>Graves’ Disease, Ophthalmopathy</t>
  </si>
  <si>
    <t>Severe eye symptoms, including bulging eyes.</t>
  </si>
  <si>
    <t>SUBTYPECODE:160</t>
  </si>
  <si>
    <t>Retinal S-antigen (arrestin)
Recoverin</t>
  </si>
  <si>
    <t>Retinal vascular endothelial cells (60%)
Photoreceptor outer segments (40%)</t>
  </si>
  <si>
    <t xml:space="preserve">Guillain-Barré Syndrome </t>
  </si>
  <si>
    <t>GBS, Acute Inflammatory Demyelinating Polyneuropathy (AIDP)</t>
  </si>
  <si>
    <t>Most common form, affects myelin.</t>
  </si>
  <si>
    <t>SUBTYPECODE:161</t>
  </si>
  <si>
    <t>• Anti-retinal autoantibodies (anti-recoverin, anti-S-antigen)</t>
  </si>
  <si>
    <t>• Autoreactive CD4+ Th1 / Th17 cells (retinal antigen-specific)
• Autoreactive B cells / plasma cells
• Autoreactive CD8+ cytotoxic T cells</t>
  </si>
  <si>
    <t>GBS, Miller Fisher Syndrome</t>
  </si>
  <si>
    <t>Causes ataxia, ophthalmoplegia, and areflexia.</t>
  </si>
  <si>
    <t>SUBTYPECODE:162</t>
  </si>
  <si>
    <t>1. Breakdown of ocular immune privilege exposes inner blood-retina barrier antigens to primed autoreactive T lymphocytes.
2. Autoreactive CD4+ Th1/Th17 cells and B cells infiltrate retinal perivascular sheaths and vascular adventitia.
3. Inflammatory cytokine secretion (IFN-γ, TNF-α) and immune complex deposition cause endothelial activation and disruption of tight junctions.
4. Infiltration of neutrophils and macrophages induces microvascular thrombosis, perivascular cuffing, and focal retinal ischemia.
5. Retinal capillary non-perfusion, macular edema, and neovascularization lead to vitreous hemorrhage and progressive visual loss.</t>
  </si>
  <si>
    <t>GBS, Acute Motor Axonal Neuropathy (AMAN)</t>
  </si>
  <si>
    <t>Predominantly affects motor neurons.</t>
  </si>
  <si>
    <t>SUBTYPECODE:163</t>
  </si>
  <si>
    <t xml:space="preserve">Herpes Gestationis </t>
  </si>
  <si>
    <t>Herpes Gestationis, Early-Onset</t>
  </si>
  <si>
    <t>Appears in the first or second trimester.</t>
  </si>
  <si>
    <t>SUBTYPECODE:164</t>
  </si>
  <si>
    <t>Herpes Gestationis, Late-Onset</t>
  </si>
  <si>
    <t>Develops in the third trimester or postpartum.</t>
  </si>
  <si>
    <t>SUBTYPECODE:165</t>
  </si>
  <si>
    <t>Hidradenitis Suppurativa</t>
  </si>
  <si>
    <t>Hidradenitis Suppurativa, Hurley Stage I</t>
  </si>
  <si>
    <t>Mild, isolated abscesses.</t>
  </si>
  <si>
    <t>SUBTYPECODE:166</t>
  </si>
  <si>
    <t>Hidradenitis Suppurativa, Hurley Stage II</t>
  </si>
  <si>
    <t>Recurring abscesses with scarring.</t>
  </si>
  <si>
    <t>SUBTYPECODE:167</t>
  </si>
  <si>
    <t>Hidradenitis Suppurativa, Hurley Stage III</t>
  </si>
  <si>
    <t>Extensive interconnected abscesses.</t>
  </si>
  <si>
    <t>SUBTYPECODE:168</t>
  </si>
  <si>
    <t>Hypersensitivity Angiitis</t>
  </si>
  <si>
    <t>Hypersensitivity Angiitis, Cutaneous</t>
  </si>
  <si>
    <t>Limited to the skin.</t>
  </si>
  <si>
    <t>SUBTYPECODE:169</t>
  </si>
  <si>
    <t>Hypersensitivity Angiitis, Systemic</t>
  </si>
  <si>
    <t>Affects internal organs.</t>
  </si>
  <si>
    <t>SUBTYPECODE:170</t>
  </si>
  <si>
    <t>• Retinal perivascular cuffing, sheathing, and vascular leakage on angiography (90–100%)
• Painless progressive visual blurriness / decrease in visual acuity (80–90%)
• Vitreous floaters and haze (65–75%)
• Visual field scotomas (40–50%)</t>
  </si>
  <si>
    <t>Idiopathic Pulmonary Fibrosis</t>
  </si>
  <si>
    <t>Idiopathic Pulmonary Fibrosis, Familial</t>
  </si>
  <si>
    <t>Runs in families.</t>
  </si>
  <si>
    <t>SUBTYPECODE:171</t>
  </si>
  <si>
    <t>Idiopathic Pulmonary Fibrosis, Sporadic</t>
  </si>
  <si>
    <t>No genetic association.</t>
  </si>
  <si>
    <t>SUBTYPECODE:172</t>
  </si>
  <si>
    <t xml:space="preserve">IgA Nephropathy </t>
  </si>
  <si>
    <t>IgA Nephropathy, Primary</t>
  </si>
  <si>
    <t>Isolated kidney involvement.</t>
  </si>
  <si>
    <t>SUBTYPECODE:173</t>
  </si>
  <si>
    <t>IgA Nephropathy, Secondary</t>
  </si>
  <si>
    <t>Associated with autoimmune or infectious diseases.</t>
  </si>
  <si>
    <t>SUBTYPECODE:174</t>
  </si>
  <si>
    <t>• Mycobacterium tuberculosis
• Herpesviruses (HSV, CMV)
• Toxoplasma gondii</t>
  </si>
  <si>
    <t>• Systemic vasculitis / autoimmune disease
• Chronic ocular inflammation
• Viral infections</t>
  </si>
  <si>
    <t xml:space="preserve">Immunoglobulin A Vasculitis </t>
  </si>
  <si>
    <t>HSP, Classic</t>
  </si>
  <si>
    <t>• Behçet's disease
• Systemic lupus erythematosus
• Sarcoidosis
• Multiple sclerosis</t>
  </si>
  <si>
    <t>Purpura, arthritis, abdominal pain, and kidney involvement.</t>
  </si>
  <si>
    <t>SUBTYPECODE:175</t>
  </si>
  <si>
    <t>• Systemic and periocular corticosteroids
• Immunosuppressive agents (methotrexate, mycophenolate)
• Biologics (adalimumab, infliximab)
• Laser photocoagulation / vitrectomy</t>
  </si>
  <si>
    <t>HSP, Severe Renal Involvement</t>
  </si>
  <si>
    <t>Leads to long-term kidney damage.</t>
  </si>
  <si>
    <t>SUBTYPECODE:176</t>
  </si>
  <si>
    <t xml:space="preserve">Immunoglobulin G4 Related Disease </t>
  </si>
  <si>
    <t>IgG4-RD, Pancreatic</t>
  </si>
  <si>
    <t>Involves autoimmune pancreatitis.</t>
  </si>
  <si>
    <t>Autoimmune retinopathy is a rare immune-mediated disorder in which autoantibodies attack retinal proteins, leading to progressive photoreceptor dysfunction. It is considered autoimmune even when no underlying trigger or associated systemic disease can be identified.</t>
  </si>
  <si>
    <t>SUBTYPECODE:177</t>
  </si>
  <si>
    <t>Rare immune-mediated retinopathy encompassing paraneoplastic (cancer-associated retinopathy / CAR) and non-paraneoplastic forms, mediated by autoantibodies against retinal antigens such as recoverin, enolase, and arrestin, leading to progressive photoreceptor dysfunction and visual loss. Chapter 55, pp. 775–785.</t>
  </si>
  <si>
    <t>IgG4-RD, Systemic</t>
  </si>
  <si>
    <t>Multiorgan involvement.</t>
  </si>
  <si>
    <t>SUBTYPECODE:178</t>
  </si>
  <si>
    <t>Recoverin
α-enolase
Carbonic anhydrase II</t>
  </si>
  <si>
    <t>Retinal photoreceptor cells (rods and cones) (85%)
Retinal ganglion / bipolar cells (15%)</t>
  </si>
  <si>
    <t>Inclusion Body Myositis, Sporadic</t>
  </si>
  <si>
    <t>• Anti-recoverin autoantibodies
• Anti-α-enolase autoantibodies
• Anti-carbonic anhydrase II autoantibodies</t>
  </si>
  <si>
    <t>Progressive muscle weakness in older adults.</t>
  </si>
  <si>
    <t>SUBTYPECODE:179</t>
  </si>
  <si>
    <t>• Autoreactive B cells / plasma cells (anti-recoverin / anti-enolase)
• Autoreactive CD4+ T helper cells</t>
  </si>
  <si>
    <t>Inclusion Body Myositis, Hereditary</t>
  </si>
  <si>
    <t>Genetic variant.</t>
  </si>
  <si>
    <t>SUBTYPECODE:180</t>
  </si>
  <si>
    <t>1. Paraneoplastic (cancer-associated retinopathy) or non-paraneoplastic immune response generates autoantibodies against retinal antigens (recoverin, α-enolase).
2. Circulating antiretinal autoantibodies breach a compromised blood-retina barrier and enter the neurosensory retina.
3. Autoantibodies penetrate photoreceptor cells and bind intracellular antigens like recoverin, uncoupling phototransduction.
4. Intracellular calcium overload triggers caspase-dependent apoptotic pathways in rod and cone photoreceptors.
5. Progressive degeneration and loss of photoreceptors and retinal ganglion cells cause photoaversion, night blindness, scotomas, and central visual loss.</t>
  </si>
  <si>
    <t>Infertility Associated with Antisperm Antibodies</t>
  </si>
  <si>
    <t>Antisperm Antibody Infertility, Female</t>
  </si>
  <si>
    <t>Immune reaction to partner’s sperm.</t>
  </si>
  <si>
    <t>SUBTYPECODE:181</t>
  </si>
  <si>
    <t>Antisperm Antibody Infertility, Male</t>
  </si>
  <si>
    <t>Sperm autoimmunity affecting motility.</t>
  </si>
  <si>
    <t>SUBTYPECODE:182</t>
  </si>
  <si>
    <t>Intermediate Uveitis</t>
  </si>
  <si>
    <t>Intermediate Uveitis, Isolated</t>
  </si>
  <si>
    <t>No associated systemic disease.</t>
  </si>
  <si>
    <t>SUBTYPECODE:183</t>
  </si>
  <si>
    <t>Intermediate Uveitis, Associated</t>
  </si>
  <si>
    <t>Linked to conditions like multiple sclerosis or sarcoidosis.</t>
  </si>
  <si>
    <t>SUBTYPECODE:184</t>
  </si>
  <si>
    <t xml:space="preserve">Juvenile Rheumatoid Arthritis </t>
  </si>
  <si>
    <t>JIA, Oligoarticular</t>
  </si>
  <si>
    <t>Affects fewer than five joints.</t>
  </si>
  <si>
    <t>SUBTYPECODE:185</t>
  </si>
  <si>
    <t>JIA, Polyarticular</t>
  </si>
  <si>
    <t>• Severely attenuated scotopic/photopic ERG amplitudes (90–100%)
• Subacute progressive, painless bilateral vision loss (85–95%)
• Annular or ring scotomas / visual field constriction (60–70%)
• Photopsias / shimmering or flickering lights (50–65%)
• Nyctalopia / poor dark adaptation (45–55%)</t>
  </si>
  <si>
    <t>Affects five or more joints.</t>
  </si>
  <si>
    <t>SUBTYPECODE:186</t>
  </si>
  <si>
    <t>JIA, Systemic (Still’s Disease)</t>
  </si>
  <si>
    <t>Causes fever and organ inflammation.</t>
  </si>
  <si>
    <t>SUBTYPECODE:187</t>
  </si>
  <si>
    <t>Lichen Planus</t>
  </si>
  <si>
    <t>Lichen Planus, Cutaneous</t>
  </si>
  <si>
    <t>Classic skin lesions.</t>
  </si>
  <si>
    <t>SUBTYPECODE:188</t>
  </si>
  <si>
    <t>Lichen Planus, Oral</t>
  </si>
  <si>
    <t>Affects mucous membranes.</t>
  </si>
  <si>
    <t>SUBTYPECODE:189</t>
  </si>
  <si>
    <t>Lichen Planus, Erosive</t>
  </si>
  <si>
    <t>Severe ulcerative form.</t>
  </si>
  <si>
    <t>• Viral ocular infections
• Paraneoplastic tumor antigens (recoverin, enolase)</t>
  </si>
  <si>
    <t>SUBTYPECODE:190</t>
  </si>
  <si>
    <t>• Occult malignancy (small cell lung cancer, melanoma, breast)
• Aging and UV exposure</t>
  </si>
  <si>
    <t>Lichen Sclerosus</t>
  </si>
  <si>
    <t>• Hashimoto's thyroiditis
• Systemic lupus erythematosus
• Rheumatoid arthritis</t>
  </si>
  <si>
    <t>Lichen Sclerosus, Genital</t>
  </si>
  <si>
    <t>Affects the anogenital area.</t>
  </si>
  <si>
    <t>SUBTYPECODE:191</t>
  </si>
  <si>
    <t>• High-dose systemic corticosteroids
• Intravenous immunoglobulin (IVIG)
• Plasma exchange
• Rituximab / treatment of underlying neoplasm</t>
  </si>
  <si>
    <t>Lichen Sclerosus, Extragenital</t>
  </si>
  <si>
    <t>Autoimmune small fiber neuropathy</t>
  </si>
  <si>
    <t>Affects other body areas.</t>
  </si>
  <si>
    <t>SUBTYPECODE:192</t>
  </si>
  <si>
    <t>Autoimmune small fiber neuropathy; autoimmune small-fiber neuropathy; autoimmune small fiber polyneuropathy; apparently autoimmune small-fiber polyneuropathy; aaSFPN; dysimmune small fiber neuropathy; immune-mediated small fiber neuropathy; small fiber neuropathy with autoimmune features; SFN with autoimmunity; TS-HDS antibody-associated small fiber neuropathy; FGFR3 antibody-associated small fiber neuropathy; idiopathic small fiber neuropathy with autoantibodies</t>
  </si>
  <si>
    <t>Ligneous Conjunctivitis</t>
  </si>
  <si>
    <t>Ligneous Conjunctivitis, Primary</t>
  </si>
  <si>
    <t>Congenital and recurring.</t>
  </si>
  <si>
    <t>SUBTYPECODE:193</t>
  </si>
  <si>
    <t>Autoimmune small fiber neuropathy is a disorder of the peripheral nervous system where autoantibodies damage unmyelinated C and thinly myelinated A-delta nerve fibers. Patients suffer from severe burning neuropathic pain, numbness, and autonomic symptoms like gastrointestinal disturbance or orthostatic instability. Diagnosis is confirmed through skin biopsy evaluating epidermal nerve fiber density, and immunotherapy can offer symptom reduction.</t>
  </si>
  <si>
    <t>Selective immune-mediated damage to unmyelinated C and thinly myelinated A-delta nerve fibers, leading to neuropathic pain and autonomic symptoms, associated with autoantibodies such as anti-TS-HDS and anti-FGFR3. Chapter 59, pp. 872–880.</t>
  </si>
  <si>
    <t>Ligneous Conjunctivitis, Secondary</t>
  </si>
  <si>
    <t>Linked to systemic diseases.</t>
  </si>
  <si>
    <t>SUBTYPECODE:194</t>
  </si>
  <si>
    <t>Trisulfated heparin disaccharide (TS-HDS)
Fibroblast growth factor receptor 3 (FGFR3)</t>
  </si>
  <si>
    <t>Linear IgA Dermatosis</t>
  </si>
  <si>
    <t>Unmyelinated C-fiber and thinly myelinated A-delta dorsal root ganglion neurons (100%)</t>
  </si>
  <si>
    <t>Linear IgA Dermatosis, Childhood (Chronic Bullous Disease of Childhood)</t>
  </si>
  <si>
    <t>Self-limiting.</t>
  </si>
  <si>
    <t>SUBTYPECODE:195</t>
  </si>
  <si>
    <t>• Anti-TS-HDS IgM
• Anti-FGFR3 autoantibodies</t>
  </si>
  <si>
    <t>• Autoreactive B cells / plasma cells (anti-TS-HDS / anti-FGFR3)
• Autoreactive CD4+ T helper cells</t>
  </si>
  <si>
    <t>Linear IgA Dermatosis, Adult-Onset</t>
  </si>
  <si>
    <t>Chronic and recurring.</t>
  </si>
  <si>
    <t>SUBTYPECODE:196</t>
  </si>
  <si>
    <t>1. Environmental insult or systemic autoimmunity breaks tolerance against unmyelinated nerve antigens (TS-HDS, FGFR3, plexin D1).
2. Synthesis of pathogenic autoantibodies alongside activation of proinflammatory cytokines (IL-2, TNF-α).
3. Autoantibodies and inflammatory mediators penetrate the permeable microvasculature of dorsal root ganglia.
4. Complement activation, microvascular endoneurial ischemia, or direct cytotoxicity targeting unmyelinated C-fibers and thinly myelinated A-delta fibers.
5. Progressive somatic and autonomic distal axonal degeneration causes neuropathic pain, burning paresthesias, and autonomic dysfunction.</t>
  </si>
  <si>
    <t xml:space="preserve">Lipomatosis Dolorosa </t>
  </si>
  <si>
    <t>Dercum’s Disease, Generalized</t>
  </si>
  <si>
    <t>Multiple painful lipomas.</t>
  </si>
  <si>
    <t>SUBTYPECODE:197</t>
  </si>
  <si>
    <t>Dercum’s Disease, Localized</t>
  </si>
  <si>
    <t>Limited to specific body areas.</t>
  </si>
  <si>
    <t>SUBTYPECODE:198</t>
  </si>
  <si>
    <t>Lupus Vasculitis</t>
  </si>
  <si>
    <t>Lupus Vasculitis, Cutaneous</t>
  </si>
  <si>
    <t>Skin involvement.</t>
  </si>
  <si>
    <t>SUBTYPECODE:199</t>
  </si>
  <si>
    <t>Lupus Vasculitis, Systemic</t>
  </si>
  <si>
    <t>SUBTYPECODE:200</t>
  </si>
  <si>
    <t>Microscopic Colitis</t>
  </si>
  <si>
    <t>Microscopic Colitis, Lymphocytic</t>
  </si>
  <si>
    <t>Increased lymphocytes in the colon lining.</t>
  </si>
  <si>
    <t>SUBTYPECODE:201</t>
  </si>
  <si>
    <t>Microscopic Colitis, Collagenous</t>
  </si>
  <si>
    <t>Thickened collagen layer in the colon.</t>
  </si>
  <si>
    <t>SUBTYPECODE:202</t>
  </si>
  <si>
    <t xml:space="preserve">Microscopic Polyangiitis </t>
  </si>
  <si>
    <t>MPA, Renal</t>
  </si>
  <si>
    <t>Kidney inflammation and damage.</t>
  </si>
  <si>
    <t>SUBTYPECODE:203</t>
  </si>
  <si>
    <t>• Normal motor examination and preserved deep tendon reflexes (90–95%)
• Distal burning neuropathic pain in feet and lower extremities (85–95%)
• Reduced intraepidermal nerve fiber density on skin punch biopsy (85–95%)
• Allodynia, dysesthesias, and hyperalgesia (80–90%)
• Autonomic symptoms (altered sweating, dry mouth/eyes, gastrointestinal dysmotility) (50–65%)</t>
  </si>
  <si>
    <t>MPA, Pulmonary-Renal Syndrome</t>
  </si>
  <si>
    <t>Involves lungs and kidneys.</t>
  </si>
  <si>
    <t>SUBTYPECODE:204</t>
  </si>
  <si>
    <t>1.0 cases per 1,000 to 2,000</t>
  </si>
  <si>
    <t>Mixed Collagen Vascular Disease</t>
  </si>
  <si>
    <t>Mixed Collagen Vascular Disease, Overlap Syndrome</t>
  </si>
  <si>
    <t>Features from multiple autoimmune diseases.</t>
  </si>
  <si>
    <t>SUBTYPECODE:205</t>
  </si>
  <si>
    <t>Mooren's Ulcer</t>
  </si>
  <si>
    <t>Mooren’s Ulcer, Unilateral</t>
  </si>
  <si>
    <t>Affects one eye.</t>
  </si>
  <si>
    <t>SUBTYPECODE:206</t>
  </si>
  <si>
    <t>Mooren’s Ulcer, Bilateral</t>
  </si>
  <si>
    <t>Affects both eyes, more severe.</t>
  </si>
  <si>
    <t>SUBTYPECODE:207</t>
  </si>
  <si>
    <t>• COVID-19, EBV, CMV
• Borrelia burgdorferi
• Hepatitis C virus</t>
  </si>
  <si>
    <t>• Metabolic stress (diabetes, alcohol)
• Toxin exposures
• Chemotherapy / neurotoxic agents</t>
  </si>
  <si>
    <t xml:space="preserve">Morphea </t>
  </si>
  <si>
    <t>Morphea, Plaque-Type</t>
  </si>
  <si>
    <t>Isolated patches of thickened skin.</t>
  </si>
  <si>
    <t>SUBTYPECODE:208</t>
  </si>
  <si>
    <t>• Sjogren's syndrome
• Celiac disease
• Systemic lupus erythematosus
• Hashimoto's thyroiditis</t>
  </si>
  <si>
    <t>• Worldwide (common; up to 50-100 per 100,000)</t>
  </si>
  <si>
    <t>Morphea, Generalized</t>
  </si>
  <si>
    <t>Widespread skin hardening.</t>
  </si>
  <si>
    <t>• IVIG (for autoimmune/inflammatory etiology)
• Corticosteroids
• Neuropathic pain agents (gabapentin, pregabalin, duloxetine)
• Treatment of underlying systemic disease</t>
  </si>
  <si>
    <t>SUBTYPECODE:209</t>
  </si>
  <si>
    <t>Hashimoto thyroiditis
Hashimoto's disease
Ord's thyroiditis
Autoimmune thyroiditis
Autoimmune thyroiditis
Autoimmune thyroiditis
Chronic lymphocytic thyroiditis
Hashimoto's thyroiditis</t>
  </si>
  <si>
    <t>Moyamoya Disease</t>
  </si>
  <si>
    <t>Moyamoya, Familial</t>
  </si>
  <si>
    <t>Genetic component.</t>
  </si>
  <si>
    <t>SUBTYPECODE:210</t>
  </si>
  <si>
    <t>Autoimmune thyroiditis is a chronic disorder where the immune system creates antibodies that attack the thyroid and cause inflammation. This inflammation may initially cause excess release of thyroid hormones (hyperthyroidism ) but over time, this damage leads to insufficient thyroid hormone production (hypothyroidism), causing fatigue, weight gain, and depression. Genetic and environmental factors may play a role in the development of this disorder. There is no cure, but hormone treatments are available to manage symptoms.  
Several names are used for autoimmune thyroiditis. When it is known to be autoimmune, it is called Hashimoto's when the thyroid gland is enlarged (called a goiter), and (less commonly) Ord's thyroiditis, when the thyroid gland shrinks.</t>
  </si>
  <si>
    <t>Moyamoya, Idiopathic</t>
  </si>
  <si>
    <t>Chronic autoimmune inflammation of the thyroid gland (Hashimoto's thyroiditis) characterized by lymphocytic infiltration, follicular destruction, and circulating autoantibodies against thyroid peroxidase (TPO) and thyroglobulin (TG), leading to hypothyroidism. Chapter 40, pp. 555–570.</t>
  </si>
  <si>
    <t>No known cause.</t>
  </si>
  <si>
    <t>SUBTYPECODE:211</t>
  </si>
  <si>
    <t>Thyroid peroxidase (TPO)
Thyroglobulin (Tg)</t>
  </si>
  <si>
    <t>Multiple Sclerosis, Relapsing-Remitting (RRMS)</t>
  </si>
  <si>
    <t>Most common form with flare-ups.</t>
  </si>
  <si>
    <t>Thyroid follicular epithelial cells (thyrocytes) (100%)</t>
  </si>
  <si>
    <t>SUBTYPECODE:212</t>
  </si>
  <si>
    <t>autoantibodies against TG and thyroid peroxidase</t>
  </si>
  <si>
    <t>Multiple Sclerosis, Primary Progressive (PPMS)</t>
  </si>
  <si>
    <t>Gradual worsening without relapses.</t>
  </si>
  <si>
    <t>• Autoreactive CD4+ Th1 cells (TPO/Tg-specific)
• Autoreactive CD8+ cytotoxic T cells (thyrocyte destruction)
• Autoreactive B cells / plasma cells (anti-TPO / anti-Tg)</t>
  </si>
  <si>
    <t>SUBTYPECODE:213</t>
  </si>
  <si>
    <t>1. Genetic susceptibility (HLA-DR3/DR5, CTLA4, PTPN22) and environmental factors trigger thyroid follicular cell stress.
2. Presentation of thyroid peroxidase (TPO) and thyroglobulin (Tg) by dendritic cells to autoreactive CD4+ T cells.
3. Clonal expansion of CD4+ Th1/Th17 cells, B cells producing anti-TPO/anti-Tg antibodies, and CD8+ cytotoxic T cells.
4. Dense lymphocytic infiltration of the thyroid parenchyma with germinal center formation and Hürthle cell metaplasia.
5. Perforin/granzyme- and Fas/FasL-mediated apoptosis of thyrocytes leads to follicular destruction, interstitial fibrosis, and primary hypothyroidism.</t>
  </si>
  <si>
    <t>Multiple Sclerosis, Secondary Progressive (SPMS)</t>
  </si>
  <si>
    <t>Follows RRMS with worsening symptoms.</t>
  </si>
  <si>
    <t>SUBTYPECODE:214</t>
  </si>
  <si>
    <t>Multiple Sclerosis, Progressive-Relapsing (PRMS)</t>
  </si>
  <si>
    <t>Rare, steady decline with relapses.</t>
  </si>
  <si>
    <t>SUBTYPECODE:215</t>
  </si>
  <si>
    <t>Myasthenia Gravis</t>
  </si>
  <si>
    <t>Myasthenia Gravis, Generalized</t>
  </si>
  <si>
    <t>Affects multiple muscle groups.</t>
  </si>
  <si>
    <t>SUBTYPECODE:217</t>
  </si>
  <si>
    <t>Myasthenia Gravis, Ocular</t>
  </si>
  <si>
    <t>Limited to eye muscles.</t>
  </si>
  <si>
    <t>SUBTYPECODE:218</t>
  </si>
  <si>
    <t>Myasthenia Gravis, Seronegative</t>
  </si>
  <si>
    <t>SUBTYPECODE:219</t>
  </si>
  <si>
    <t xml:space="preserve">Myelin Oligodendrocyte Glycoprotein Antibody-Associated Disease </t>
  </si>
  <si>
    <t>MOGAD, Monophasic</t>
  </si>
  <si>
    <t>Single episode of demyelination.</t>
  </si>
  <si>
    <t>SUBTYPECODE:220</t>
  </si>
  <si>
    <t>MOGAD, Relapsing</t>
  </si>
  <si>
    <t>• Chronic debilitating fatigue and sluggishness (80–90%)
• Cold intolerance (60–75%)
• Involuntary weight gain with reduced appetite (60–70%)
• Dry, coarse skin and diffuse hair thinning (60–70%)
• Constipation (50–60%)
• Firm, non-tender, lobulated goiter (50–60%)</t>
  </si>
  <si>
    <t>Multiple episodes over time.</t>
  </si>
  <si>
    <t>SUBTYPECODE:221</t>
  </si>
  <si>
    <t>Myocarditis Due to Autoimmune Disease</t>
  </si>
  <si>
    <t>Myocarditis, Lupus-Associated</t>
  </si>
  <si>
    <t>Occurs in systemic lupus erythematosus.</t>
  </si>
  <si>
    <t>SUBTYPECODE:222</t>
  </si>
  <si>
    <t>1.0 cases per 10 to 20</t>
  </si>
  <si>
    <t>Myocarditis, Giant Cell</t>
  </si>
  <si>
    <t>Severe form with rapid progression.</t>
  </si>
  <si>
    <t>SUBTYPECODE:223</t>
  </si>
  <si>
    <t>1.0 cases per 172 to 192</t>
  </si>
  <si>
    <t>Myositis, Polymyositis</t>
  </si>
  <si>
    <t>Female: 30
Male: 40</t>
  </si>
  <si>
    <t>Affects multiple muscles.</t>
  </si>
  <si>
    <t>SUBTYPECODE:224</t>
  </si>
  <si>
    <t>Female: 50
Male: 65</t>
  </si>
  <si>
    <t>Myositis, Dermatomyositis</t>
  </si>
  <si>
    <t>Includes skin involvement.</t>
  </si>
  <si>
    <t>SUBTYPECODE:225</t>
  </si>
  <si>
    <t>Myositis, Inclusion Body</t>
  </si>
  <si>
    <t>• Yersinia enterocolitica
• Hepatitis C virus
• EBV, Coxsackievirus B</t>
  </si>
  <si>
    <t>• High dietary iodine intake
• Cigarette smoking / cessation
• Selenium deficiency
• Stress and pregnancy (postpartum)</t>
  </si>
  <si>
    <t>Progressive and resistant to treatment.</t>
  </si>
  <si>
    <t>SUBTYPECODE:226</t>
  </si>
  <si>
    <t>• Type 1 diabetes
• Celiac disease
• Addison's disease
• Vitiligo
• Pernicious anemia</t>
  </si>
  <si>
    <t>• Worldwide (up to 5-10% of females in iodine-replete nations)</t>
  </si>
  <si>
    <t>Necrotizing Vasculitis</t>
  </si>
  <si>
    <t>Necrotizing Vasculitis, Small Vessel</t>
  </si>
  <si>
    <t>Involves capillaries and small arteries.</t>
  </si>
  <si>
    <t>SUBTYPECODE:227</t>
  </si>
  <si>
    <t>• Levothyroxine (T4 replacement therapy)
• Regular monitoring of TSH/FT4
• Selenium supplementation (adjunctive)</t>
  </si>
  <si>
    <t>Necrotizing Vasculitis, Medium Vessel</t>
  </si>
  <si>
    <t>Affects medium-sized arteries.</t>
  </si>
  <si>
    <t>Autoimmune urticaria
Chronic idiopathic urticaria
Chronic urticaria
Physical urticaria</t>
  </si>
  <si>
    <t>SUBTYPECODE:228</t>
  </si>
  <si>
    <t xml:space="preserve">Neuralgic Amyotrophy </t>
  </si>
  <si>
    <t>Neuralgic Amyotrophy, Classic</t>
  </si>
  <si>
    <t>Sudden onset of severe shoulder pain.</t>
  </si>
  <si>
    <t xml:space="preserve">Autoimmune urticaria occurs when the immune system attacks the normal tissues of the body, resulting in hives. The condition becomes chronic when the lesions persists longer than 6 weeks. Chronic autoimmune urticaria has been found to be associated with autoimmune thyroid disease.
Urticaria can also be caused by allergic reaction to plants like poison ivy, dyes found in clothing, and cosmetics. An allergic reaction is not an autoimmune disease because there is no involvement by the adaptive immune system and auto-antibodies that attack your own cells are not involved. There are antibodies (IgE antibodies), but they target the invading molecules (e.g., poison ivy), not the cells in the skin. In autoimmune urticaria, the antibodies created are attacking the skin itself, not an invading molecule. </t>
  </si>
  <si>
    <t>SUBTYPECODE:229</t>
  </si>
  <si>
    <t>Neuralgic Amyotrophy, Hereditary</t>
  </si>
  <si>
    <t>Genetic form with recurrent episodes.</t>
  </si>
  <si>
    <t>Chronic urticaria (CU) is a relatively common type of urticaria, defined as hives lasting longer than 6 weeks (Kaplan, 2004). It affects around 0.1% of the population including both adults and children (Schocket, 2006), with a higher predilection in women than in men (2:1), and with significant adverse effects on quality of life (Schocket, 2006). CU is currently divided into three subcategories (Greaves and Tan, 2007): (1) urticarial vasculitis (leukocytoclastic vasculitis of the small vessels with hives duration of more than 24 hours which can accompany autoimmune rheumatic diseases, inflammatory bowel disease, viral hepatitis, and paraproteinemia); (2) physical urticarias (with several subtypes, e.g., solar, cold, aquagenic, delayed pressure, vibratory, cholinergic, and dermographism); and (3) chronic autoimmune urticaria (which is caused by anti-FCεRI antibodies, and less often by anti-IgE antibodies).</t>
  </si>
  <si>
    <t>SUBTYPECODE:230</t>
  </si>
  <si>
    <t>FcεRIα (high-affinity IgE receptor α subunit)
IgE</t>
  </si>
  <si>
    <t xml:space="preserve">Neuromyelitis Optica </t>
  </si>
  <si>
    <t>NMO, Relapsing</t>
  </si>
  <si>
    <t>Multiple attacks over time.</t>
  </si>
  <si>
    <t>Dermal mast cells (80%)
Circulating basophils (20%)</t>
  </si>
  <si>
    <t>SUBTYPECODE:231</t>
  </si>
  <si>
    <t>• Autoreactive B cells / plasma cells (anti-FcεRIα / anti-IgE)
• Autoreactive CD4+ T helper cells</t>
  </si>
  <si>
    <t>NMO, Monophasic</t>
  </si>
  <si>
    <t>Single attack with no recurrence.</t>
  </si>
  <si>
    <t>SUBTYPECODE:232</t>
  </si>
  <si>
    <t>1. Idiopathic autoimmune breakdown promotes B-cell production of functional IgG autoantibodies against the FcεRIα subunit or IgE.
2. Circulating IgG autoantibodies bind the high-affinity IgE receptor (FcεRIα) or receptor-bound IgE on cutaneous mast cells and basophils.
3. Cross-linking of adjacent FcεRI receptors triggers classical complement activation (generating anaphylatoxin C5a) and mast cell degranulation.
4. Rapid exocytosis of histamine, leukotrienes, prostaglandins, and platelet-activating factor into the upper dermis.
5. Local pre-capillary vasodilation, enhanced postcapillary venular permeability, and sensory nerve ending excitation produce transient wheals and pruritus.</t>
  </si>
  <si>
    <t xml:space="preserve">Neuromyotonia </t>
  </si>
  <si>
    <t>Neuromyotonia, Acquired</t>
  </si>
  <si>
    <t>Autoimmune form.</t>
  </si>
  <si>
    <t>SUBTYPECODE:233</t>
  </si>
  <si>
    <t>Neuromyotonia, Hereditary</t>
  </si>
  <si>
    <t>Genetic mutations affecting nerve function.</t>
  </si>
  <si>
    <t>SUBTYPECODE:234</t>
  </si>
  <si>
    <t>Ophthalmoplegia Due to Graves' Disease</t>
  </si>
  <si>
    <t>Ophthalmoplegia, Mild</t>
  </si>
  <si>
    <t>Eye movement restriction without vision loss.</t>
  </si>
  <si>
    <t>SUBTYPECODE:235</t>
  </si>
  <si>
    <t>Ophthalmoplegia, Severe</t>
  </si>
  <si>
    <t>Progressive vision-threatening involvement.</t>
  </si>
  <si>
    <t>SUBTYPECODE:236</t>
  </si>
  <si>
    <t>Opsoclonus-Myoclonus Syndrome</t>
  </si>
  <si>
    <t>Opsoclonus-Myoclonus, Paraneoplastic</t>
  </si>
  <si>
    <t>Associated with neuroblastoma.</t>
  </si>
  <si>
    <t>SUBTYPECODE:237</t>
  </si>
  <si>
    <t>Opsoclonus-Myoclonus, Idiopathic</t>
  </si>
  <si>
    <t>No known cancer association.</t>
  </si>
  <si>
    <t>SUBTYPECODE:238</t>
  </si>
  <si>
    <t>Palindromic Rheumatism</t>
  </si>
  <si>
    <t>Palindromic Rheumatism, Isolated</t>
  </si>
  <si>
    <t>No progression to rheumatoid arthritis.</t>
  </si>
  <si>
    <t>SUBTYPECODE:239</t>
  </si>
  <si>
    <t>• Symptoms recurring for &gt;6 weeks (100%)
• Chronic, recurrent pruritic erythematous wheals/hives lasting &lt;24h per lesion (95–100%)
• Positive autologous serum skin test (ASST) (50–60%)
• Concomitant angioedema (face, lips, eyelids) (40–50%)</t>
  </si>
  <si>
    <t>Palindromic Rheumatism, Pre-Rheumatoid</t>
  </si>
  <si>
    <t>May develop into rheumatoid arthritis.</t>
  </si>
  <si>
    <t>SUBTYPECODE:240</t>
  </si>
  <si>
    <t>1.0 cases per 100 to 200</t>
  </si>
  <si>
    <t>1.0 cases per 125</t>
  </si>
  <si>
    <t>Paraneoplastic Cerebellar Degeneration</t>
  </si>
  <si>
    <t>Paraneoplastic Cerebellar Degeneration, Lung Cancer-Associated</t>
  </si>
  <si>
    <t>Linked to small-cell lung cancer.</t>
  </si>
  <si>
    <t>SUBTYPECODE:241</t>
  </si>
  <si>
    <t>Paraneoplastic Cerebellar Degeneration, Gynecologic Cancer-Associated</t>
  </si>
  <si>
    <t>Occurs with ovarian or breast cancer.</t>
  </si>
  <si>
    <t>SUBTYPECODE:242</t>
  </si>
  <si>
    <t xml:space="preserve">Paroxysmal Nocturnal Hemoglobinuria </t>
  </si>
  <si>
    <t>PNH, Classic</t>
  </si>
  <si>
    <t>Predominantly hemolysis.</t>
  </si>
  <si>
    <t>• Helicobacter pylori
• Viral upper respiratory infections
• Staphylococcal antigens</t>
  </si>
  <si>
    <t>SUBTYPECODE:243</t>
  </si>
  <si>
    <t>• Physical triggers (pressure, temperature, friction)
• NSAIDs and aspirin
• Stress and alcohol</t>
  </si>
  <si>
    <t>• Hashimoto's thyroiditis
• Vitiligo
• Celiac disease
• Rheumatoid arthritis</t>
  </si>
  <si>
    <t>PNH, Aplastic Anemia-Associated</t>
  </si>
  <si>
    <t>Overlaps with bone marrow failure.</t>
  </si>
  <si>
    <t>• Worldwide (0.5-1% of adult population)</t>
  </si>
  <si>
    <t>SUBTYPECODE:244</t>
  </si>
  <si>
    <t>• High-dose second-generation H1-antihistamines (up to 4x standard)
• Omalizumab (anti-IgE biologic, highly effective)
• Cyclosporine A
• Short-course oral corticosteroids for severe exacerbations</t>
  </si>
  <si>
    <t xml:space="preserve">Pediatric Autoimmune Neuropsychiatric Disorder Associated with Streptococcal Infection </t>
  </si>
  <si>
    <t>PANDAS, Classic</t>
  </si>
  <si>
    <t>Sudden onset of OCD/tics after streptococcal infection.</t>
  </si>
  <si>
    <t>SUBTYPECODE:245</t>
  </si>
  <si>
    <t>Pemphigus Vulgaris</t>
  </si>
  <si>
    <t>Painful blisters on skin and mucous membranes.</t>
  </si>
  <si>
    <t>SUBTYPECODE:246</t>
  </si>
  <si>
    <t xml:space="preserve">Both &lt;a href="/Disease_Profile/autoimmune-urticaria.aspx"&gt;autoimmune urticaria&lt;/a&gt; and &lt;a href="/Disease_Profile/autoimmune-angioedema.aspx"&gt;autoimmune angioedema&lt;/a&gt; are skin conditions associated with other autoimmune diseases. Urticaria is marked by raised, itchy, and red or pale areas, known as hives. Angioedema is swelling in skin and mucous membranes, including the mouth and throat, and is a more serious condition than urticaria. 
While they are also diseases on their own, patients will receive a diagnosis of a chronic version of the disease because the ICD coding system used in the medical record does not have codes for either disease. The SNOMED coding system (used in Europe) has a code for each condition, and for this combined term.
</t>
  </si>
  <si>
    <t>Pemphigus Foliaceus</t>
  </si>
  <si>
    <t>Affects the skin, no mucosal involvement.</t>
  </si>
  <si>
    <t>SUBTYPECODE:247</t>
  </si>
  <si>
    <t>Paraneoplastic Pemphigus</t>
  </si>
  <si>
    <t>FcεRIα
IgE
C1 esterase inhibitor</t>
  </si>
  <si>
    <t>Linked to underlying malignancy.</t>
  </si>
  <si>
    <t>SUBTYPECODE:248</t>
  </si>
  <si>
    <t>Cutaneous mast cells (70%)
Circulating basophils (20%)
Microvascular endothelial cells (10%)</t>
  </si>
  <si>
    <t>• Anti-FcεRIα autoantibodies
• Anti-IgE autoantibodies
• Anti-C1-INH autoantibodies</t>
  </si>
  <si>
    <t>POEMS Syndrome</t>
  </si>
  <si>
    <t>POEMS, Classic</t>
  </si>
  <si>
    <t>Polyneuropathy, organomegaly, endocrinopathy, M-protein, and skin changes.</t>
  </si>
  <si>
    <t>SUBTYPECODE:249</t>
  </si>
  <si>
    <t xml:space="preserve">Polyarteritis Nodosa </t>
  </si>
  <si>
    <t>1. Clonal B cells synthesize IgG autoantibodies directed against FcεRIα, IgE, or C1-esterase inhibitor.
2. Autoantibody binding cross-links FcεRI receptors on mast cells and basophils, triggering immediate degranulation and complement amplification.
3. Release of vasoactive mediators (histamine, bradykinin, leukotrienes C4/D4) spreads from the superficial dermis to deep dermis and submucosa.
4. Profound microvascular hyperpermeability and marked vasodilatation allow massive plasma extravasation into interstitial spaces.
5. Extensive tissue swelling results in coexisting erythematous urticarial wheals and painful, non-pitting deeper subcutaneous/submucosal angioedema.</t>
  </si>
  <si>
    <t>PAN, Classic</t>
  </si>
  <si>
    <t>Medium-vessel vasculitis affecting multiple organs.</t>
  </si>
  <si>
    <t>SUBTYPECODE:250</t>
  </si>
  <si>
    <t>PAN, Hepatitis B-Associated</t>
  </si>
  <si>
    <t>Linked to HBV infection.</t>
  </si>
  <si>
    <t>SUBTYPECODE:251</t>
  </si>
  <si>
    <t xml:space="preserve">Polyglandular Autoimmune Syndrome Type 1 </t>
  </si>
  <si>
    <t>APS-1, Classic</t>
  </si>
  <si>
    <t>Childhood onset, includes Addison’s disease, hypoparathyroidism, and candidiasis.</t>
  </si>
  <si>
    <t>SUBTYPECODE:252</t>
  </si>
  <si>
    <t xml:space="preserve">Polyglandular Autoimmune Syndrome Type 2 </t>
  </si>
  <si>
    <t>APS-2, Schmidt Syndrome</t>
  </si>
  <si>
    <t>Addison’s disease with thyroid autoimmunity.</t>
  </si>
  <si>
    <t>SUBTYPECODE:253</t>
  </si>
  <si>
    <t xml:space="preserve">Polyglandular Autoimmune Syndrome Type 3 </t>
  </si>
  <si>
    <t>APS-3, Thyroid-Only</t>
  </si>
  <si>
    <t>Autoimmune thyroiditis without adrenal involvement.</t>
  </si>
  <si>
    <t>SUBTYPECODE:254</t>
  </si>
  <si>
    <t xml:space="preserve">Polyglandular Autoimmune Syndrome Type 4 </t>
  </si>
  <si>
    <t>APS-4, Atypical</t>
  </si>
  <si>
    <t>Rare forms with varying glandular involvement.</t>
  </si>
  <si>
    <t>SUBTYPECODE:255</t>
  </si>
  <si>
    <t xml:space="preserve">Polymyalgia Rheumatica </t>
  </si>
  <si>
    <t>PMR, Classic</t>
  </si>
  <si>
    <t>Shoulder and hip pain with stiffness.</t>
  </si>
  <si>
    <t>SUBTYPECODE:256</t>
  </si>
  <si>
    <t>• Evanescent pruritic urticarial plaques resolving within 24 hours without scarring (85–95%)
• Nocturnal worsening of pruritus and sleep disruption (70–80%)
• Episodic asymmetric non-pitting swelling/angioedema of lips, face, or hands (50–60%)</t>
  </si>
  <si>
    <t>Polymyositis, Classic</t>
  </si>
  <si>
    <t>Symmetric muscle weakness without rash.</t>
  </si>
  <si>
    <t>SUBTYPECODE:257</t>
  </si>
  <si>
    <t xml:space="preserve">Postmyocardial Infarction Syndrome </t>
  </si>
  <si>
    <t>Dressler Syndrome, Classic</t>
  </si>
  <si>
    <t>Pericarditis after heart attack or surgery.</t>
  </si>
  <si>
    <t>SUBTYPECODE:258</t>
  </si>
  <si>
    <t xml:space="preserve">Primary Biliary Cholangitis </t>
  </si>
  <si>
    <t>PBC, Early</t>
  </si>
  <si>
    <t>Asymptomatic with elevated liver enzymes.</t>
  </si>
  <si>
    <t>SUBTYPECODE:259</t>
  </si>
  <si>
    <t>PBC, Advanced</t>
  </si>
  <si>
    <t>Significant liver scarring and cirrhosis.</t>
  </si>
  <si>
    <t>SUBTYPECODE:260</t>
  </si>
  <si>
    <t>Primary Idiopathic Dilated Cardiomyopathy</t>
  </si>
  <si>
    <t>Dilated Cardiomyopathy, Familial</t>
  </si>
  <si>
    <t>Genetic inheritance.</t>
  </si>
  <si>
    <t>SUBTYPECODE:261</t>
  </si>
  <si>
    <t>• Helicobacter pylori
• Parvovirus B19, Hepatitis B/C</t>
  </si>
  <si>
    <t>Dilated Cardiomyopathy, Autoimmune</t>
  </si>
  <si>
    <t>Immune-mediated heart muscle damage.</t>
  </si>
  <si>
    <t>• NSAIDs, food additives
• Heat, cold, vibration, pressure
• Physical exertion / emotional stress</t>
  </si>
  <si>
    <t>SUBTYPECODE:262</t>
  </si>
  <si>
    <t>• Autoimmune thyroiditis
• Systemic lupus erythematosus
• Vitiligo</t>
  </si>
  <si>
    <t>• Worldwide (~1% lifetime prevalence)</t>
  </si>
  <si>
    <t xml:space="preserve">Primary Sclerosing Cholangitis </t>
  </si>
  <si>
    <t>PSC, Small Duct</t>
  </si>
  <si>
    <t>Affects only small bile ducts.</t>
  </si>
  <si>
    <t>• Second-generation H1-antihistamines
• Omalizumab (anti-IgE)
• Cyclosporine A
• Epinephrine (for concurrent laryngeal angioedema)</t>
  </si>
  <si>
    <t>SUBTYPECODE:263</t>
  </si>
  <si>
    <t>PSC, Large Duct</t>
  </si>
  <si>
    <t>Involves major bile ducts.</t>
  </si>
  <si>
    <t>SUBTYPECODE:264</t>
  </si>
  <si>
    <t xml:space="preserve">Progressive Hemifacial Atrophy </t>
  </si>
  <si>
    <t>Hemifacial Atrophy, Unilateral</t>
  </si>
  <si>
    <t>Affects one side of the face.</t>
  </si>
  <si>
    <t>SUBTYPECODE:265</t>
  </si>
  <si>
    <t>Autoimmune vasculitis is a broad category of autoimmune diseases that all involve inflammation of the walls of blood vessels.  A more specific form, inflammation of arteries, is called arteritis.  It causes changes in the walls of blood vessels, including thickening, weakening, narrowing and scarring. These changes restrict blood flow, resulting in organ and tissue damage.
There are many types of vasculitis, and most of them are rare. Vasculitis might affect just one organ, such as your skin, or it may involve several. The condition can be short term (acute) or long lasting (chronic).</t>
  </si>
  <si>
    <t>Heterogeneous spectrum of autoimmune conditions characterized by inflammation and destruction of blood vessel walls, classified according to predominant vessel size (large, medium, or small vessel vasculitis) and immune mechanism. Chapter 72, pp. 1045–1060.</t>
  </si>
  <si>
    <t>Psoriasis, Plaque</t>
  </si>
  <si>
    <t>Most common, red scaly patches.</t>
  </si>
  <si>
    <t>SUBTYPECODE:266</t>
  </si>
  <si>
    <t>Small-vessel endothelial cells (65%)
Circulating neutrophils (35%)</t>
  </si>
  <si>
    <t>Psoriasis, Guttate</t>
  </si>
  <si>
    <t>Small, drop-like lesions.</t>
  </si>
  <si>
    <t>SUBTYPECODE:267</t>
  </si>
  <si>
    <t>• Anti-neutrophil cytoplasmic antibodies (PR3-ANCA, MPO-ANCA)
• Anti-endothelial cell antibodies (AECA)</t>
  </si>
  <si>
    <t>• Autoreactive CD4+ Th1 and Th17 cells
• Autoreactive B cells / plasma cells (ANCA / AECA)
• Autoreactive CD8+ cytotoxic T cells</t>
  </si>
  <si>
    <t>Psoriasis, Inverse</t>
  </si>
  <si>
    <t>Affects folds like armpits.</t>
  </si>
  <si>
    <t>SUBTYPECODE:268</t>
  </si>
  <si>
    <t>1. Loss of immune tolerance and infectious or environmental priming upregulate endothelial adhesion molecules and activate neutrophils/monocytes.
2. Generation of pathogenic autoantibodies (such as ANCA or anti-endothelial cell antibodies) or immune complexes.
3. Infiltration of vessel walls by autoreactive T cells, macrophages, or antibody-activated neutrophils.
4. Release of reactive oxygen species, lytic proteases, and pro-inflammatory cytokines induces transmural vascular necrosis.
5. Luminal thrombosis, vascular occlusion, or aneurysmal rupture leads to tissue ischemia, purpura, and multi-organ dysfunction.</t>
  </si>
  <si>
    <t>Psoriasis, Pustular</t>
  </si>
  <si>
    <t>Severe with pustules.</t>
  </si>
  <si>
    <t>SUBTYPECODE:269</t>
  </si>
  <si>
    <t>Psoriatic Arthritis</t>
  </si>
  <si>
    <t>Psoriatic Arthritis, Peripheral</t>
  </si>
  <si>
    <t>Affects hands, feet, or large joints.</t>
  </si>
  <si>
    <t>SUBTYPECODE:270</t>
  </si>
  <si>
    <t>Psoriatic Arthritis, Axial</t>
  </si>
  <si>
    <t>Involves the spine.</t>
  </si>
  <si>
    <t>SUBTYPECODE:271</t>
  </si>
  <si>
    <t>Pure Red Cell Aplasia</t>
  </si>
  <si>
    <t>Red Cell Aplasia, Autoimmune</t>
  </si>
  <si>
    <t>Associated with immune-mediated suppression.</t>
  </si>
  <si>
    <t>SUBTYPECODE:272</t>
  </si>
  <si>
    <t>Pyoderma Gangrenosum</t>
  </si>
  <si>
    <t>Pyoderma Gangrenosum, Classic Ulcerative</t>
  </si>
  <si>
    <t>Painful ulcers.</t>
  </si>
  <si>
    <t>SUBTYPECODE:273</t>
  </si>
  <si>
    <t>Pyoderma Gangrenosum, Bullous</t>
  </si>
  <si>
    <t>Superficial, fluid-filled lesions.</t>
  </si>
  <si>
    <t>SUBTYPECODE:274</t>
  </si>
  <si>
    <t>• Palpable purpura on lower extremities (60–75%)
• Systemic B-symptoms: fevers, unintentional weight loss, night sweats (50–65%)
• Glomerulonephritis with hematuria/proteinuria (40–60%)
• Mononeuritis multiplex (foot drop, wrist drop) (30–45%)
• Ischemic skin ulcerations and digital gangrene (25–35%)</t>
  </si>
  <si>
    <t>Rasmussen Syndrome</t>
  </si>
  <si>
    <t>Rasmussen Syndrome, Unilateral</t>
  </si>
  <si>
    <t>Affects one hemisphere.</t>
  </si>
  <si>
    <t>SUBTYPECODE:275</t>
  </si>
  <si>
    <t>1.0 cases per 2,000 to 5,000</t>
  </si>
  <si>
    <t>Raynaud's Phenomenon</t>
  </si>
  <si>
    <t>Raynaud’s, Primary</t>
  </si>
  <si>
    <t>No underlying disease.</t>
  </si>
  <si>
    <t>SUBTYPECODE:276</t>
  </si>
  <si>
    <t>Raynaud’s, Secondary</t>
  </si>
  <si>
    <t>Linked to autoimmune diseases.</t>
  </si>
  <si>
    <t>SUBTYPECODE:277</t>
  </si>
  <si>
    <t>Reactive Arthritis</t>
  </si>
  <si>
    <t>Reactive Arthritis, Post-Infectious</t>
  </si>
  <si>
    <t>Follows infection.</t>
  </si>
  <si>
    <t>SUBTYPECODE:278</t>
  </si>
  <si>
    <t>Relapsing Polychondritis</t>
  </si>
  <si>
    <t>Relapsing Polychondritis, Classic</t>
  </si>
  <si>
    <t>Episodic inflammation of cartilage.</t>
  </si>
  <si>
    <t>SUBTYPECODE:279</t>
  </si>
  <si>
    <t>Restless Legs, Primary</t>
  </si>
  <si>
    <t>Idiopathic.</t>
  </si>
  <si>
    <t>SUBTYPECODE:280</t>
  </si>
  <si>
    <t>Restless Legs, Secondary</t>
  </si>
  <si>
    <t>Due to another condition.</t>
  </si>
  <si>
    <t>SUBTYPECODE:281</t>
  </si>
  <si>
    <t xml:space="preserve">Retinocochleocerebral Vasculopathy </t>
  </si>
  <si>
    <t>Retinocochleocerebral Vasculopathy, Classic</t>
  </si>
  <si>
    <t>Triad of retinal artery occlusion, hearing loss, and encephalopathy.</t>
  </si>
  <si>
    <t>SUBTYPECODE:282</t>
  </si>
  <si>
    <t>Retinocochleocerebral Vasculopathy, Incomplete</t>
  </si>
  <si>
    <t>• Staphylococcus aureus
• Hepatitis B, Hepatitis C
• Parvovirus B19, CMV</t>
  </si>
  <si>
    <t>Partial presentation of symptoms.</t>
  </si>
  <si>
    <t>SUBTYPECODE:283</t>
  </si>
  <si>
    <t>• Silica dust inhalation
• Medications (propylthiouracil, hydralazine, minocycline)
• Smoking</t>
  </si>
  <si>
    <t>• Rheumatoid arthritis
• Systemic lupus erythematosus
• Sjogren's syndrome
• Systemic sclerosis</t>
  </si>
  <si>
    <t xml:space="preserve">Rheumatic Chorea </t>
  </si>
  <si>
    <t>Rheumatic Chorea, Classic</t>
  </si>
  <si>
    <t>• Worldwide (higher incidence in Northern European ancestry)</t>
  </si>
  <si>
    <t>Involuntary movements after streptococcal infection.</t>
  </si>
  <si>
    <t>SUBTYPECODE:284</t>
  </si>
  <si>
    <t>• High-dose systemic glucocorticoids
• Cyclophosphamide or Rituximab
• Avacopan (for ANCA-associated vasculitis)
• Maintenance azathioprine, methotrexate, or mycophenolate</t>
  </si>
  <si>
    <t>Rheumatic Fever</t>
  </si>
  <si>
    <t>Rheumatic Fever, Acute</t>
  </si>
  <si>
    <t>Fever, joint pain, and heart inflammation.</t>
  </si>
  <si>
    <t>Autoinflammatory calcifying aortic valve disease (immune-mediated)</t>
  </si>
  <si>
    <t>SUBTYPECODE:285</t>
  </si>
  <si>
    <t>Rheumatic Fever, Chronic</t>
  </si>
  <si>
    <t>Long-term damage to heart valves.</t>
  </si>
  <si>
    <t>Autoinflammatory calcifying aortic valve disease; immune-mediated calcific aortic valve disease; calcific aortic valve disease; CAVD; calcific aortic stenosis; CAVS; inflammatory calcific aortic valve disease; autoinflammatory calcific valve disease; immune-mediated valvular calcification; calcific valvular aortic stenosis; aortic valve calcification</t>
  </si>
  <si>
    <t>SUBTYPECODE:286</t>
  </si>
  <si>
    <t xml:space="preserve">Rheumatoid Arthritis </t>
  </si>
  <si>
    <t>RA, Seropositive</t>
  </si>
  <si>
    <t>Presence of rheumatoid factor (RF) and anti-CCP antibodies.</t>
  </si>
  <si>
    <t>SUBTYPECODE:287</t>
  </si>
  <si>
    <t>Autoinflammatory calcifying aortic valve disease is a chronic inflammatory disorder where innate immune cells infiltrate aortic valve tissue, triggering cytokine release and progressive fibrotic calcification. Over time, the aortic leaflets become stiff and restricted, leading to significant aortic stenosis and heart failure. Management focuses on monitoring hemodynamic progression and eventual surgical or transcatheter valve replacement.</t>
  </si>
  <si>
    <t>RA, Seronegative</t>
  </si>
  <si>
    <t>No detectable RF or anti-CCP antibodies.</t>
  </si>
  <si>
    <t>SUBTYPECODE:288</t>
  </si>
  <si>
    <t>Chronic inflammatory valvular process driven by immune cell infiltration, cytokine release, and osteogenic reprogramming of valvular interstitial cells leading to leaflet calcification; not classified as a primary autoimmune disease. Chapter 68, pp. 985–995.</t>
  </si>
  <si>
    <t>Rheumatoid Vasculitis</t>
  </si>
  <si>
    <t>Rheumatoid Vasculitis, Cutaneous</t>
  </si>
  <si>
    <t>Affects the skin, causing ulcers and nodules.</t>
  </si>
  <si>
    <t>SUBTYPECODE:289</t>
  </si>
  <si>
    <t>Heart</t>
  </si>
  <si>
    <t>Rheumatoid Vasculitis, Systemic</t>
  </si>
  <si>
    <t>Involves internal organs.</t>
  </si>
  <si>
    <t>SUBTYPECODE:290</t>
  </si>
  <si>
    <t>Sarcoidosis, Pulmonary</t>
  </si>
  <si>
    <t>Valvular interstitial cells (VICs) (75%)
Valvular endothelial cells (VECs) (25%)</t>
  </si>
  <si>
    <t>Affects the lungs, causing granulomas.</t>
  </si>
  <si>
    <t>SUBTYPECODE:291</t>
  </si>
  <si>
    <t>Sarcoidosis, Cutaneous</t>
  </si>
  <si>
    <t>Involves the skin with lupus pernio or erythema nodosum.</t>
  </si>
  <si>
    <t>SUBTYPECODE:292</t>
  </si>
  <si>
    <t>Sarcoidosis, Neurosarcoidosis</t>
  </si>
  <si>
    <t>Affects the nervous system.</t>
  </si>
  <si>
    <t>SUBTYPECODE:293</t>
  </si>
  <si>
    <t>1. Mechanical hemodynamic stress, oxidized lipids, or genetic variants trigger innate immune activation in valvular interstitial cells (VICs).
2. Recruitment of macrophages and T lymphocytes with persistent secretion of IL-1β, TNF-α, and IL-6.
3. Sustained inflammation stimulates VIC transdifferentiation into osteoblast-like cells via RUNX2 and BMP-2 signaling.
4. Active mineralization and dystrophic calcification of aortic valve leaflets with extracellular matrix degradation.
5. Leaflet stiffening, immobility, and progressive narrowing of the aortic orifice cause severe aortic stenosis and left ventricular overload.</t>
  </si>
  <si>
    <t>Schnitzler Syndrome</t>
  </si>
  <si>
    <t>Schnitzler Syndrome, Classic</t>
  </si>
  <si>
    <t>Chronic urticaria, fever, and monoclonal gammopathy.</t>
  </si>
  <si>
    <t>SUBTYPECODE:294</t>
  </si>
  <si>
    <t>Scleritis, Anterior</t>
  </si>
  <si>
    <t>Affects the front of the sclera.</t>
  </si>
  <si>
    <t>SUBTYPECODE:295</t>
  </si>
  <si>
    <t>Scleritis, Posterior</t>
  </si>
  <si>
    <t>Involves the back of the sclera, causing vision loss.</t>
  </si>
  <si>
    <t>SUBTYPECODE:296</t>
  </si>
  <si>
    <t>Scleritis, Necrotizing</t>
  </si>
  <si>
    <t>Severe, leading to scleral destruction.</t>
  </si>
  <si>
    <t>SUBTYPECODE:297</t>
  </si>
  <si>
    <t>Sjögren's Disease</t>
  </si>
  <si>
    <t>Sjögren’s Disease, Primary</t>
  </si>
  <si>
    <t>Occurs without another autoimmune disease.</t>
  </si>
  <si>
    <t>SUBTYPECODE:298</t>
  </si>
  <si>
    <t>Sjögren’s Disease, Secondary</t>
  </si>
  <si>
    <t>Associated with lupus or rheumatoid arthritis.</t>
  </si>
  <si>
    <t>SUBTYPECODE:299</t>
  </si>
  <si>
    <t xml:space="preserve">SLE Glomerulonephritis Syndrome </t>
  </si>
  <si>
    <t>Lupus Nephritis, Class I (Minimal Mesangial)</t>
  </si>
  <si>
    <t>Mild, no significant kidney damage.</t>
  </si>
  <si>
    <t>SUBTYPECODE:300</t>
  </si>
  <si>
    <t>Lupus Nephritis, Class II (Mesangial Proliferative)</t>
  </si>
  <si>
    <t>More inflammation but mild symptoms.</t>
  </si>
  <si>
    <t>SUBTYPECODE:301</t>
  </si>
  <si>
    <t>Lupus Nephritis, Class III (Focal)</t>
  </si>
  <si>
    <t>Scattered inflammation with possible kidney function loss.</t>
  </si>
  <si>
    <t>SUBTYPECODE:302</t>
  </si>
  <si>
    <t>Lupus Nephritis, Class IV (Diffuse)</t>
  </si>
  <si>
    <t>Severe kidney damage.</t>
  </si>
  <si>
    <t>SUBTYPECODE:303</t>
  </si>
  <si>
    <t>Lupus Nephritis, Class V (Membranous)</t>
  </si>
  <si>
    <t>Protein leakage in urine.</t>
  </si>
  <si>
    <t>• Harsh crescendo-decrescendo systolic murmur radiating to carotids (90–95%)
• Progressive exertional dyspnea (75–85%)
• Angina pectoris upon exertion (40–50%)
• Exertional presyncope or syncope (20–30%)</t>
  </si>
  <si>
    <t>SUBTYPECODE:304</t>
  </si>
  <si>
    <t>Lupus Nephritis, Class VI (Advanced Sclerosis)</t>
  </si>
  <si>
    <t>End-stage kidney disease.</t>
  </si>
  <si>
    <t>SUBTYPECODE:305</t>
  </si>
  <si>
    <t xml:space="preserve">Steroid-Responsive Encephalopathy Associated with Autoimmune Thyroiditis </t>
  </si>
  <si>
    <t>SREAT, Vasculitic Type</t>
  </si>
  <si>
    <t>Brain inflammation with stroke-like episodes.</t>
  </si>
  <si>
    <t>SUBTYPECODE:306</t>
  </si>
  <si>
    <t>SREAT, Diffuse Type</t>
  </si>
  <si>
    <t>Cognitive impairment and psychiatric symptoms.</t>
  </si>
  <si>
    <t>SUBTYPECODE:307</t>
  </si>
  <si>
    <t>Stiff-Person Syndrome</t>
  </si>
  <si>
    <t>Stiff-Person Syndrome, Classic</t>
  </si>
  <si>
    <t>Rigidity and spasms in the trunk and limbs.</t>
  </si>
  <si>
    <t>SUBTYPECODE:308</t>
  </si>
  <si>
    <t>Stiff-Person Syndrome, Progressive Encephalomyelitis with Rigidity and Myoclonus (PERM)</t>
  </si>
  <si>
    <t>More severe, with brainstem involvement.</t>
  </si>
  <si>
    <t>SUBTYPECODE:309</t>
  </si>
  <si>
    <t>Subacute Bacterial Endocarditis</t>
  </si>
  <si>
    <t>Subacute Bacterial Endocarditis, Native Valve</t>
  </si>
  <si>
    <t>Affects previously normal heart valves.</t>
  </si>
  <si>
    <t>SUBTYPECODE:310</t>
  </si>
  <si>
    <t xml:space="preserve">Sympathetic Uveitis </t>
  </si>
  <si>
    <t>Sympathetic Uveitis, Classic</t>
  </si>
  <si>
    <t>Bilateral eye inflammation after trauma or surgery.</t>
  </si>
  <si>
    <t>SUBTYPECODE:311</t>
  </si>
  <si>
    <t xml:space="preserve">Systemic Lupus Erythematosus </t>
  </si>
  <si>
    <t>SLE, Cutaneous</t>
  </si>
  <si>
    <t>• Streptococcus / enterococcal endocarditis triggers
• Chlamydia pneumoniae</t>
  </si>
  <si>
    <t>Primarily affects the skin.</t>
  </si>
  <si>
    <t>SUBTYPECODE:312</t>
  </si>
  <si>
    <t>• Dyslipidemia, oxidized LDL
• Shear stress / bicuspid aortic valve anatomy
• Hypertension and smoking</t>
  </si>
  <si>
    <t>SLE, Systemic</t>
  </si>
  <si>
    <t>Affects multiple organs.</t>
  </si>
  <si>
    <t>SUBTYPECODE:313</t>
  </si>
  <si>
    <t>• Rheumatoid arthritis
• Systemic lupus erythematosus
• Ankylosing spondylitis</t>
  </si>
  <si>
    <t>SLE, Drug-Induced</t>
  </si>
  <si>
    <t>SUBTYPECODE:314</t>
  </si>
  <si>
    <t>• Worldwide (increases exponentially with age &gt;65)</t>
  </si>
  <si>
    <t xml:space="preserve">Systemic Mast Cell Disease </t>
  </si>
  <si>
    <t>Systemic Mastocytosis, Indolent</t>
  </si>
  <si>
    <t>Slow progression, mild symptoms.</t>
  </si>
  <si>
    <t>SUBTYPECODE:315</t>
  </si>
  <si>
    <t>• Surgical aortic valve replacement (SAVR)
• Transcatheter aortic valve implantation (TAVI)
• Cardiovascular risk reduction (statins, antihypertensives)</t>
  </si>
  <si>
    <t>Systemic Mastocytosis, Aggressive</t>
  </si>
  <si>
    <t>Severe organ damage.</t>
  </si>
  <si>
    <t>SUBTYPECODE:316</t>
  </si>
  <si>
    <t>Diffuse Cerebral Sclerosis of Schilder
Encephalitis Periaxialis Diffusa
Myelinoclastic Diffuse Sclerosis
Diffuse Scleroses, Myelinoclastic
Diffuse Sclerosis, Myelinoclastic
Myelinoclastic Diffuse Scleroses
Scleroses, Myelinoclastic Diffuse
Sclerosis, Myelinoclastic Diffuse
Poliodystrophia Cerebri
Schilder Disease
Disease, Schilder
Schilder's Disease
Disease, Schilder's
Schilders Disease
Sudanophilic Cerebral Sclerosis
Cerebral Sclerosis, Diffuse
Diffuse Cerebral Scleroses
Diffuse Cerebral Sclerosis
Sclerosis, Diffuse Cerebral
Encephalitis Periaxialis Concentrica
Encephalitis Periaxialis
Alpers Syndrome
Syndrome, Alpers
Alpers Diffuse Degeneration of Cerebral Gray Matter with Hepatic Cirrhosis
Alpers Disease
Alpers Progressive Infantile Poliodystrophy
Alpers' Disease
Alper Disease
Alper's Disease
Disease, Alpers'
Alpers' Syndrome
Alper's Syndrome
Alper Syndrome
Alpers-Huttenlocher Syndrome
Alpers Huttenlocher Syndrome
Syndrome, Alpers-Huttenlocher
Neuronal Degeneration Of Childhood With Liver Disease, Progressive
Progressive Neuronal Degeneration of Childhood with Liver Disease
Progressive Sclerosing Poliodystrophy
Progressive Sclerosing Poliodystrophies
Balo Concentric Sclerosis
Concentric Sclerosis, Balo
Balo's Concentric Sclerosis
Concentric Sclerosis, Balo's
Scleroses, Balo's Concentric</t>
  </si>
  <si>
    <t xml:space="preserve">Systemic Sclerosis </t>
  </si>
  <si>
    <t>Systemic Sclerosis, Diffuse</t>
  </si>
  <si>
    <t>Rapid progression with widespread skin involvement.</t>
  </si>
  <si>
    <t>SUBTYPECODE:317</t>
  </si>
  <si>
    <t>Balo's disease is a rare demyelinating disorder of the central nervous system in which the myelin (the fatty substance covering nerve cells) is damaged.</t>
  </si>
  <si>
    <t>Acute inflammatory demyelinating variant of multiple sclerosis characterized by alternating concentric rings of preserved and lost myelin with hypoxic-like tissue injury and oligodendropathy. Chapter 57, pp. 825–835.</t>
  </si>
  <si>
    <t>Systemic Sclerosis, Limited (CREST Syndrome)</t>
  </si>
  <si>
    <t>Milder, affecting extremities.</t>
  </si>
  <si>
    <t>Myelin basic protein (MBP)</t>
  </si>
  <si>
    <t>SUBTYPECODE:318</t>
  </si>
  <si>
    <t>Central nervous system oligodendrocytes (85%)
Astrocytes (15%)</t>
  </si>
  <si>
    <t>Systemic Sclerosis with Limited Cutaneous Involvement</t>
  </si>
  <si>
    <t>Limited Sclerosis, CREST Syndrome</t>
  </si>
  <si>
    <t>• Autoreactive CD4+ Th1 / Th17 cells (myelin-reactive)
• Autoreactive CD8+ cytotoxic T cells
• Autoreactive B cells / plasma cells</t>
  </si>
  <si>
    <t>Calcinosis, Raynaud’s, esophageal dysfunction, sclerodactyly, telangiectasia.</t>
  </si>
  <si>
    <t>SUBTYPECODE:319</t>
  </si>
  <si>
    <t>1. Unknown environmental or viral trigger induces aggressive central nervous system autoreactivity against myelin basic protein.
2. Massive influx of autoreactive CD4+/CD8+ T cells, activated microglia, and macrophages across the blood-brain barrier.
3. Local secretion of neurotoxic cytokines, nitric oxide, and reactive oxygen species at the expanding edge of the demyelinating lesion.
4. Hypoxia-inducible factor 1α (HIF-1α) and heat shock proteins (Hsp70) transiently upregulate in adjacent tissue, creating a temporary rim of neuroprotection.
5. Cyclic waves of demyelinating injury and sublethal preservation produce alternating concentric rings of demyelinated and preserved white matter.</t>
  </si>
  <si>
    <t xml:space="preserve">Temporal Arteritis </t>
  </si>
  <si>
    <t>Temporal Arteritis, Cranial</t>
  </si>
  <si>
    <t>Affects the head, causing headache and vision loss.</t>
  </si>
  <si>
    <t>SUBTYPECODE:320</t>
  </si>
  <si>
    <t>Temporal Arteritis, Large Vessel</t>
  </si>
  <si>
    <t>Involves the aorta and major arteries.</t>
  </si>
  <si>
    <t>SUBTYPECODE:321</t>
  </si>
  <si>
    <t>Tolosa-Hunt Syndrome</t>
  </si>
  <si>
    <t>Tolosa-Hunt Syndrome, Classic</t>
  </si>
  <si>
    <t>Painful ophthalmoplegia due to cavernous sinus inflammation.</t>
  </si>
  <si>
    <t>SUBTYPECODE:322</t>
  </si>
  <si>
    <t>Transverse Myelitis</t>
  </si>
  <si>
    <t>Transverse Myelitis, Partial</t>
  </si>
  <si>
    <t>Affects one side of the spinal cord.</t>
  </si>
  <si>
    <t>SUBTYPECODE:323</t>
  </si>
  <si>
    <t>Transverse Myelitis, Complete</t>
  </si>
  <si>
    <t>Affects the entire width of the spinal cord.</t>
  </si>
  <si>
    <t>SUBTYPECODE:324</t>
  </si>
  <si>
    <t>Ulcerative Colitis</t>
  </si>
  <si>
    <t>Ulcerative Colitis, Proctitis</t>
  </si>
  <si>
    <t>Limited to the rectum.</t>
  </si>
  <si>
    <t>SUBTYPECODE:325</t>
  </si>
  <si>
    <t>• Pathognomonic concentric alternating lamellar rings on T2 MRI (95–100%)
• Acute to subacute focal motor deficits / hemiparesis (60–75%)
• Cognitive deterioration, confusion, and behavioral changes (50–60%)
• Central aphasia or dysphasia (30–40%)
• Severe subacute headache (30–40%)</t>
  </si>
  <si>
    <t>Ulcerative Colitis, Left-Sided</t>
  </si>
  <si>
    <t>Affects the rectum and descending colon.</t>
  </si>
  <si>
    <t>SUBTYPECODE:326</t>
  </si>
  <si>
    <t>1.0 cases per 1,000,000
Extremely rare</t>
  </si>
  <si>
    <t>Ulcerative Colitis, Pancolitis</t>
  </si>
  <si>
    <t>Involves the entire colon.</t>
  </si>
  <si>
    <t>SUBTYPECODE:327</t>
  </si>
  <si>
    <t xml:space="preserve">Undifferentiated Connective Tissue Disease </t>
  </si>
  <si>
    <t>UCTD, Stable</t>
  </si>
  <si>
    <t>Persistent but does not progress into a defined autoimmune disease.</t>
  </si>
  <si>
    <t>SUBTYPECODE:328</t>
  </si>
  <si>
    <t>UCTD, Evolving</t>
  </si>
  <si>
    <t>May develop into lupus or another connective tissue disorder.</t>
  </si>
  <si>
    <t>• Human herpesvirus 6 (HHV-6)
• EBV, Varicella zoster virus</t>
  </si>
  <si>
    <t>SUBTYPECODE:329</t>
  </si>
  <si>
    <t>• Viral upper respiratory infections
• Heat / elevated body temperature
• Stress</t>
  </si>
  <si>
    <t>• Multiple sclerosis
• Autoimmune thyroiditis</t>
  </si>
  <si>
    <t>Urticarial Vasculitis</t>
  </si>
  <si>
    <t>• East Asia (Japan, China), Philippines, and Caucasian adults</t>
  </si>
  <si>
    <t>Urticarial Vasculitis, Normocomplementemic</t>
  </si>
  <si>
    <t>Mild, normal complement levels.</t>
  </si>
  <si>
    <t>SUBTYPECODE:330</t>
  </si>
  <si>
    <t>• High-dose intravenous methylprednisolone
• Plasma exchange (PLEX)
• Cyclophosphamide or Rituximab (for refractory lesions)
• Disease-modifying MS therapies (interferons, fingolimod)</t>
  </si>
  <si>
    <t>Behçet's syndrome
Behcet's syndrome
Behçet's disease
Morbus Adamandiades-Behçet
Hughes Stovin syndrome
Hughes-Stovin syndrome</t>
  </si>
  <si>
    <t>Urticarial Vasculitis, Hypocomplementemic</t>
  </si>
  <si>
    <t>More severe, with low complement levels.</t>
  </si>
  <si>
    <t>SUBTYPECODE:331</t>
  </si>
  <si>
    <t>Behçet's syndrome is a chronic inflammatory disease that leads to mass inflammation in the blood vessels of the body which results in artery and vein damage. Many of the symptoms can seem unrelated at first, such as mouth sores, eye inflammation, skin rashes, etc, however, symptoms vary from person to person and varies depending on the body parts that are affected. Unfortunately, Behçet’s syndrome can lead to more serious complications such as blindness.
This disease is not well understood but is believed to be autoimmune in nature since the symptoms are due to vasculitis. Researchers have also found several genes to be associated with Behçet’s and believe that those with these genes can trigger Behçet’s if they are exposed to a virus or bacterium.</t>
  </si>
  <si>
    <t>Uveitis, Anterior</t>
  </si>
  <si>
    <t>Involves the iris and ciliary body.</t>
  </si>
  <si>
    <t>SUBTYPECODE:332</t>
  </si>
  <si>
    <t>Chronic relapsing multisystem inflammatory vasculitis affecting vessels of all sizes, characterized by recurrent aphthous oral ulcers, genital ulcers, uveitis, and pathergy, mediated by innate immune dysregulation, neutrophil hyperreactivity, and HLA-B*51 association. Chapter 63, pp. 930–942; Chapter 72, pp. 1055–1065.</t>
  </si>
  <si>
    <t>Uveitis, Intermediate</t>
  </si>
  <si>
    <t>Vascular endothelial cells (70%)
Mucocutaneous keratinocytes (30%)</t>
  </si>
  <si>
    <t>Affects the vitreous.</t>
  </si>
  <si>
    <t>SUBTYPECODE:333</t>
  </si>
  <si>
    <t>autoantibodies to tropomyosin 48063, Antibodies to protein S 32422</t>
  </si>
  <si>
    <t>• Autoreactive CD4+ Th1 / Th17 cells
• Autoreactive CD8+ cytotoxic T cells
• Autoreactive γδ T cells</t>
  </si>
  <si>
    <t>Uveitis, Posterior</t>
  </si>
  <si>
    <t>Involves the retina and choroid.</t>
  </si>
  <si>
    <t>1. Genetic association with HLA-B*51 and microbial/environmental triggers activate neutrophil hyperfunction and innate pathways.
2. Hyperactive neutrophils and CD4+ Th1/Th17 lymphocytes infiltrate venules and arteries across multiple organ systems.
3. Abundant secretion of IL-1β, IL-6, IL-17, and TNF-α promotes endothelial cell activation and prothrombotic state.
4. Transmural perivascular neutrophilic infiltration and leukocytoclasis cause panvascular endothelial damage without necrotizing granulomas.
5. Recurrent aphthous oral/genital ulcers, hypopyon uveitis, pathergy, and venous/arterial thromboses develop.</t>
  </si>
  <si>
    <t>SUBTYPECODE:334</t>
  </si>
  <si>
    <t>Uveitis, Panuveitis</t>
  </si>
  <si>
    <t>Affects all parts of the eye.</t>
  </si>
  <si>
    <t>SUBTYPECODE:335</t>
  </si>
  <si>
    <t>Vitiligo, Non-Segmental</t>
  </si>
  <si>
    <t>Widespread, symmetrical pigment loss.</t>
  </si>
  <si>
    <t>SUBTYPECODE:336</t>
  </si>
  <si>
    <t>Vitiligo, Segmental</t>
  </si>
  <si>
    <t>Affects one area of the body.</t>
  </si>
  <si>
    <t>SUBTYPECODE:337</t>
  </si>
  <si>
    <t>Vogt-Koyanagi-Harada Disease</t>
  </si>
  <si>
    <t>Vogt-Koyanagi-Harada, Acute</t>
  </si>
  <si>
    <t>Sudden eye inflammation and neurological symptoms.</t>
  </si>
  <si>
    <t>SUBTYPECODE:338</t>
  </si>
  <si>
    <t>Vogt-Koyanagi-Harada, Chronic</t>
  </si>
  <si>
    <t>Ongoing skin and eye pigmentation changes.</t>
  </si>
  <si>
    <t>• Recurrent, painful oral aphthous ulcerations ≥3 times in a 12-month period (98–100%)
• Painful recurrent genital ulcerations with scarring (75–85%)
• Papulopustular skin lesions or erythema nodosum (65–80%)
• Relapsing uveitis / retinal vasculitis / hypopyon (50–70%)
• Positive cutaneous pathergy test (40–60%)</t>
  </si>
  <si>
    <t>SUBTYPECODE:339</t>
  </si>
  <si>
    <t xml:space="preserve">Warm Autoimmune Hemolytic Anemia </t>
  </si>
  <si>
    <t>WAIHA, Primary</t>
  </si>
  <si>
    <t>SUBTYPECODE:340</t>
  </si>
  <si>
    <t>WAIHA, Secondary</t>
  </si>
  <si>
    <t>Associated with lupus, lymphoma, or infections.</t>
  </si>
  <si>
    <t>SUBTYPECODE:341</t>
  </si>
  <si>
    <t>1.0 cases per 10,000 to 50,000</t>
  </si>
  <si>
    <t>SUBTYPECODE:342</t>
  </si>
  <si>
    <t>1.0 cases per 19,231</t>
  </si>
  <si>
    <t>SUBTYPECODE:343</t>
  </si>
  <si>
    <t>SUBTYPECODE:344</t>
  </si>
  <si>
    <t>• Streptococcus sanguinis
• Herpes simplex virus (HSV-1)
• Parvovirus B19</t>
  </si>
  <si>
    <t>• Heavy metal exposure
• Physical trauma / mucosal injury
• Infectious prodromes</t>
  </si>
  <si>
    <t>SUBTYPECODE:345</t>
  </si>
  <si>
    <t>• Inflammatory bowel disease
• Ankylosing spondylitis
• Psoriasis</t>
  </si>
  <si>
    <t>• "Silk Road" countries (highest in Turkey: 400/100,000, Iran, Japan)</t>
  </si>
  <si>
    <t>SUBTYPECODE:346</t>
  </si>
  <si>
    <t>• Colchicine (mucocutaneous manifestations)
• Topical and systemic corticosteroids
• Immunosuppressants (azathioprine, cyclosporine)
• Biologics: TNF inhibitors (infliximab, adalimumab), apremilast</t>
  </si>
  <si>
    <t>SUBTYPECODE:347</t>
  </si>
  <si>
    <t>Benign mucous membrane pemphigoid
Cicatricial pemphigoid
Mucous membrane pemphigoid
Ocular pemphigoid
Scarring pemphigoid
Ocular cicatricial pemphigoid</t>
  </si>
  <si>
    <t>SUBTYPECODE:348</t>
  </si>
  <si>
    <t>Cicatricial pemphigoid is a rare autoimmune disease, discovered in 2002, that causes blistering of the mucous membranes. This blistering is due to autoantibodies binding to anchoring filaments of the epidermis.  A common mucous membrane that is affected is the conjunctiva of the eye.  Other areas that can be affected include the skin, nose, mouth, and genitals.
Cicatricial pemphigoid is usually not chronic, and most patients symptoms disappear within 3 years.</t>
  </si>
  <si>
    <t>SUBTYPECODE:349</t>
  </si>
  <si>
    <t>Chronic autoimmune subepithelial blistering disease (cicatricial pemphigoid) predominantly affecting mucosal surfaces, mediated by IgG autoantibodies targeting the basement membrane zone proteins BP180, laminin 332 (epiligrin), or α6β4 integrin, leading to scarring. Chapter 65, pp. 958–968.</t>
  </si>
  <si>
    <t>SUBTYPECODE:350</t>
  </si>
  <si>
    <t>BP180 (type XVII collagen)
BP230
Laminin-332
α6β4 integrin</t>
  </si>
  <si>
    <t>SUBTYPECODE:351</t>
  </si>
  <si>
    <t>Mucosal basal epithelial cells (keratinocytes) (90%)
Basal lamina anchoring fibroblasts (10%)</t>
  </si>
  <si>
    <t>IgG autoantibodies against BP180 antigen</t>
  </si>
  <si>
    <t>SUBTYPECODE:352</t>
  </si>
  <si>
    <t>• Autoreactive B cells / plasma cells (anti-BP180 / anti-laminin-332)
• Autoreactive CD4+ T helper cells</t>
  </si>
  <si>
    <t>SUBTYPECODE:353</t>
  </si>
  <si>
    <t>1. Breakdown of tolerance against basement membrane hemidesmosomal proteins (BP180, laminin-332, integrin α6β4).
2. Clonal B cells produce pathogenic IgG (IgG4/IgG1) and IgA autoantibodies targeting the mucosal basement membrane zone.
3. Autoantibodies bind extracellular epitopes, activating complement and recruiting neutrophils, eosinophils, and mast cells.
4. Proteolytic enzymes cleave the dermal-epidermal junction, producing subepithelial blister formation on mucous membranes.
5. Chronic mucosal ulceration, TGF-β release, and exuberant fibroblast activation cause progressive cicatrization, conjunctival symblepharon, and airway strictures.</t>
  </si>
  <si>
    <t>SUBTYPECODE:354</t>
  </si>
  <si>
    <t>SUBTYPECODE:355</t>
  </si>
  <si>
    <t>SUBTYPECODE:356</t>
  </si>
  <si>
    <t>SUBTYPECODE:357</t>
  </si>
  <si>
    <t>SUBTYPECODE:358</t>
  </si>
  <si>
    <t>SUBTYPECODE:359</t>
  </si>
  <si>
    <t>SUBTYPECODE:360</t>
  </si>
  <si>
    <t>• Progressive cicatricial subepithelial scarring (90–100%)
• Desquamative gingivitis and chronic oral mucosal erosions (85–95%)
• Cicatricial conjunctivitis with symblepharon, trichiasis, and corneal scarring (60–70%)
• Laryngeal/esophageal strictures and dysphagia/hoarseness (10–15%)</t>
  </si>
  <si>
    <t>1.0 cases per 862,069 to 1,149,425</t>
  </si>
  <si>
    <t>• Herpes simplex virus
• Cytomegalovirus, EBV</t>
  </si>
  <si>
    <t>• Ocular and dental procedures / trauma
• Medications (penicillamine, furosemide, beta-blockers)
• Smoking</t>
  </si>
  <si>
    <t>• Rheumatoid arthritis
• Hashimoto's thyroiditis
• Pernicious anemia</t>
  </si>
  <si>
    <t>• Worldwide (elderly predominance, ~1-2 per million)</t>
  </si>
  <si>
    <t>• High-dose systemic corticosteroids
• Dapsone (for mild disease)
• Rituximab (anti-CD20, highly effective for severe/ocular)
• Cyclophosphamide, mycophenolate mofetil, or azathioprine</t>
  </si>
  <si>
    <t>Bickerstaff brainstem encephalitis (anti-GQ1b spectrum)</t>
  </si>
  <si>
    <t>Bickerstaff brainstem encephalitis; Bickerstaff's brainstem encephalitis; Bickerstaff encephalitis; BBE; brainstem encephalitis in anti-GQ1b antibody syndrome; anti-GQ1b antibody-associated BBE; Miller Fisher syndrome-Bickerstaff overlap; Fisher-Bickerstaff syndrome; Guillain-Barre syndrome-BBE overlap; post-infectious brainstem encephalitis; anti-GQ1b spectrum disorder</t>
  </si>
  <si>
    <t>Bickerstaff brainstem encephalitis is a rare neuroinflammatory disorder within the anti-GQ1b antibody spectrum, characterized by autoantibodies targeting ganglioside GQ1b on cranial nerves and brainstem pathways. It classically presents with external ophthalmoplegia, ataxia, and altered consciousness or brisk reflexes. Prompt immunotherapy with intravenous immunoglobulin or plasma exchange generally yields substantial neurological recovery.</t>
  </si>
  <si>
    <t>Acute inflammatory brainstem encephalopathy characterized by external ophthalmoplegia, ataxia, and disturbance of consciousness or hyperreflexia, strongly associated with IgG autoantibodies targeting ganglioside GQ1b. Chapter 58, pp. 850–858; Chapter 59, pp. 866–874.</t>
  </si>
  <si>
    <t>GQ1b ganglioside
GT1a ganglioside</t>
  </si>
  <si>
    <t>Cranial nerve myelinating Schwann cells and oculomotor paranodal axonal membranes (100%)</t>
  </si>
  <si>
    <t>• Anti-GQ1b IgG autoantibodies
• Anti-GT1a IgG autoantibodies</t>
  </si>
  <si>
    <t>• Autoreactive B cells / plasma cells (anti-GQ1b / anti-GT1a)
• Autoreactive CD4+ T helper cells</t>
  </si>
  <si>
    <t>1. Preceding Campylobacter jejuni or viral infection displays lipooligosaccharides structurally mimicking GQ1b gangliosides.
2. Molecular mimicry drives production of high-titer IgG autoantibodies directed against GQ1b/GT1a gangliosides.
3. Anti-GQ1b antibodies cross the blood-brain barrier and bind densely expressed GQ1b antigens on the brainstem reticular formation and oculomotor nerves.
4. Classical complement pathway activation and deposition of membrane attack complexes (C5b-9) at presynaptic motor nerve terminals.
5. Blockade of acetylcholine release and neuronal conduction failure produce acute ophthalmoplegia, severe ataxia, and central disturbance of consciousness.</t>
  </si>
  <si>
    <t>• Acute progressive external ophthalmoplegia / ophthalmoparesis (95–100%)
• Severe central cerebellar and sensory ataxia (90–95%)
• Altered consciousness / somnolence, stupor, or coma (85–95%)
• Generalized hypo- or areflexia (50–60%)
• Pyramidal tract signs / extensor plantar responses (Babinski sign) (40–50%)</t>
  </si>
  <si>
    <t>1.0 cases per 1,000,000 to 5,000,000</t>
  </si>
  <si>
    <t>• Campylobacter jejuni (mimicry to GQ1b ganglioside)
• Cytomegalovirus, Mycoplasma pneumoniae
• EBV, Influenza virus</t>
  </si>
  <si>
    <t>• Gastrointestinal or respiratory infections
• Vaccinations (rare trigger)</t>
  </si>
  <si>
    <t>• Guillain-Barré syndrome
• Miller Fisher syndrome
• Autoimmune thyroiditis</t>
  </si>
  <si>
    <t>• Worldwide (rare, higher reported rates in Japan and East Asia)</t>
  </si>
  <si>
    <t>• Intravenous immunoglobulin (IVIG) (0.4 g/kg/day for 5 days)
• Plasmapheresis (plasma exchange)
• Supportive respiratory and autonomic monitoring</t>
  </si>
  <si>
    <t>Birdshot chorioretinopathy
Birdshot retinopathy
Birdshot chorioretinitis</t>
  </si>
  <si>
    <t>Birdshot retinochoroidopathy is an extremely rare eye disease that is caused by an autoimmune reaction targeting the choroid and retina.</t>
  </si>
  <si>
    <t>Bilateral chronic posterior uveitis strongly associated with HLA-A*29, mediated by retinal S-antigen-specific autoreactive CD8+ T lymphocytes, producing multiple distinct hypopigmented cream-colored choroidal spots. Chapter 55, pp. 780–788.</t>
  </si>
  <si>
    <t>Retinal S-antigen</t>
  </si>
  <si>
    <t>Retinal pigment epithelium (RPE) cells (60%)
Retinal photoreceptors (40%)</t>
  </si>
  <si>
    <t>• Anti-retinal S-antigen autoantibodies</t>
  </si>
  <si>
    <t>• Autoreactive CD8+ cytotoxic T cells (HLA-A29-restricted, retinal S-Ag)
• Autoreactive CD4+ Th17 / Th1 cells
• Autoreactive B cells / plasma cells</t>
  </si>
  <si>
    <t>1. Extremely strong genetic association with HLA-A*29:02 (&gt;95%) primes an aberrant CD8+ and CD4+ T-cell response.
2. Breakdown of retinal-choroidal immune tolerance exposes retinal S-antigen and interphotoreceptor retinoid-binding protein (IRBP).
3. Infiltration of the choroid and outer retina by HLA-A29-restricted cytotoxic CD8+ T cells and Th17/Th1 lymphocytes.
4. Production of IL-17, IFN-γ, and TNF-α leads to multifocal stromal choroiditis and retinal periphlebitis.
5. Progressive chorioretinal atrophy, depigmented "birdshot" fundus lesions, cystoid macular edema, and irreversible visual field constriction.</t>
  </si>
  <si>
    <t>• Creamy yellow-orange hypopigmented choroidal spots radiating from optic disc (95–100%)
• Vitreous floaters and hazy vision (75–85%)
• Retinal arteriolar attenuation and vasculitis (70–85%)
• Bilateral blurred vision / reduced visual acuity (70–80%)
• Nyctalopia and diminished color discrimination (50–65%)</t>
  </si>
  <si>
    <t>1.0 cases per 100,000</t>
  </si>
  <si>
    <t>• Chlamydia pneumoniae
• Borrelia burgdorferi (historical)</t>
  </si>
  <si>
    <t>• Chronic intraocular inflammation
• Environmental immune activation</t>
  </si>
  <si>
    <t>• Autoimmune thyroiditis
• Vitiligo
• Psoriasis</t>
  </si>
  <si>
    <t>• Western and Northern Europe, Caucasian populations (HLA-A29+)</t>
  </si>
  <si>
    <t>• Local and systemic corticosteroids
• Cyclosporine A or Tacrolimus
• Mycophenolate mofetil or Methotrexate
• Biologics (adalimumab, infliximab)</t>
  </si>
  <si>
    <t>Bullous pemphigoid
Bullous pemphigoid</t>
  </si>
  <si>
    <t>Bullous pemphigoid is a rare, autoimmune, chronic skin disorder characterized by blistering. This disorder occurs most frequently in elderly people. Generalized blistering occurs in and under the upper layers of the skin and usually subsides spontaneously within several months or years. In some rare cases of Bullous pemphigoid, complications such as pneumonia may develop.</t>
  </si>
  <si>
    <t>BP patients have circulating and tissue-bound IgG autoantibodies described by Jordon et al. (Jordon et al., 1967), which are directed against two hemidesmosomal proteins (Mutasim et al., 1985) known as the BP230 (BPAG1) and the BP180 (BPAG2, type XVII collagen) antigens (Jordon et al., 1967; Stanley et al., 1981; Labib et al., 1986). The autoantibodies in BP sera are predominantly of IgG1 and IgG4 subclasses (Laffitte et al., 2001). In addition to IgG autoantibodies, IgE autoantibodies to BP180 are found in the majority of untreated BP patients (Dimson et al., 2003).</t>
  </si>
  <si>
    <t>BP180 (type XVII collagen)
BP230 (dystonin)</t>
  </si>
  <si>
    <t>Basal epidermal keratinocytes (hemidesmosomes) (100%)</t>
  </si>
  <si>
    <t>The autoantibodies in BP sera are predominantly of IgG1 and IgG4, IgE autoantibodies to BP180</t>
  </si>
  <si>
    <t>• Autoreactive CD4+ Th2 / Th1 cells (BP180 NC16A-specific)
• Autoreactive B cells / plasma cells (anti-BP180 / anti-BP230)</t>
  </si>
  <si>
    <t>1. Breakdown of self-tolerance in elderly individuals (associated with HLA-DQB1*03:01 or dipeptidyl peptidase-4 inhibitors) against hemidesmosomal BP180 and BP230.
2. Autoreactive CD4+ Th2/Th1 cells stimulate B cells to synthesize IgG (mostly IgG4/IgG1) and IgE autoantibodies against the NC16A domain of BP180.
3. Autoantibodies bind BP180 at the dermal-epidermal junction, activating complement and recruiting eosinophils and neutrophils.
4. Eosinophil-derived major basic protein and neutrophil elastase degrade extracellular collagen XVII anchoring filaments.
5. Dermal-epidermal separation forms tense subepidermal bullae with intense cutaneous pruritus.</t>
  </si>
  <si>
    <t>• Severe, intractable pruritus often preceding bullae by weeks/months (95–100%)
• Negative Nikolsky's sign (95–100%)
• Tense, sturdy subepidermal blisters and bullae on normal or erythematous skin (85–95%)
• Urticarial or eczematous inflammatory plaques (60–70%)
• Oral mucosal involvement (10–20%)</t>
  </si>
  <si>
    <t>1.0 cases per 3,861</t>
  </si>
  <si>
    <t>• Cytomegalovirus, EBV
• Hepatitis B, Hepatitis C
• Helicobacter pylori</t>
  </si>
  <si>
    <t>• Medications (diuretics, DPP-4 inhibitors, penicillamine)
• UV radiation / sunlight / burns
• Neurological disorders (stroke, dementia, Parkinson's)</t>
  </si>
  <si>
    <t>• Rheumatoid arthritis
• Hashimoto's thyroiditis
• Ulcerative colitis
• Diabetes mellitus type 1</t>
  </si>
  <si>
    <t>• Worldwide (most common autoimmune blistering disease in elderly, Europe/US)</t>
  </si>
  <si>
    <t>• High-potency topical corticosteroids (clobetasol propionate)
• Oral prednisone (moderate doses with taper)
• Tetracyclines + nicotinamide
• Rituximab (for refractory disease) / Dupilumab</t>
  </si>
  <si>
    <t>Bullous systemic lupus erythematosus (BSLE)</t>
  </si>
  <si>
    <t>Bullous systemic lupus erythematosus; BSLE; bullous lupus erythematosus; bullous lupus; vesiculobullous systemic lupus erythematosus; systemic lupus erythematosus with bullous lesions; autoimmune subepidermal blistering disease associated with SLE; type VII collagen antibody-associated BSLE; type VII collagen autoantibody bullous lupus</t>
  </si>
  <si>
    <t>Bullous systemic lupus erythematosus is an uncommon vesiculobullous manifestation of lupus erythematosus mediated by autoantibodies against type VII collagen at the dermal-epidermal junction. Patients develop widespread, tense blisters and erosions on sun-exposed and unexposed skin and mucous membranes. The condition responds rapidly to dapsone therapy, in addition to standard systemic lupus treatments.</t>
  </si>
  <si>
    <t>Subepidermal blistering eruption occurring in patients with systemic lupus erythematosus, mediated by autoantibodies against type VII collagen within the anchoring fibrils of the dermo-epidermal junction. Chapter 65, pp. 960–968; Chapter 76, pp. 1110–1122.</t>
  </si>
  <si>
    <t>Type VII collagen</t>
  </si>
  <si>
    <t>Dermal-epidermal anchoring fibrils (sub-lamina densa fibroblasts / keratinocytes) (100%)</t>
  </si>
  <si>
    <t>• Anti-type VII collagen autoantibodies
• Antinuclear antibodies (ANA)</t>
  </si>
  <si>
    <t>• Autoreactive B cells / plasma cells (anti-type VII collagen)
• Autoreactive CD4+ T helper cells</t>
  </si>
  <si>
    <t>1. Underlying systemic lupus erythematosus with extensive autoantibody repertoire and defective clearance of apoptotic material.
2. Development of high-affinity IgG autoantibodies specifically targeting type VII collagen within the anchoring fibrils of the basement membrane zone.
3. Anti-type VII collagen antibodies deposit in a continuous linear or granular pattern along the sub-lamina densa.
4. Activation of complement and intense infiltration of polymorphonuclear neutrophils along the dermo-epidermal junction.
5. Neutrophil elastase degrades anchoring fibrils, resulting in dermo-epidermal separation, extensive tense bullae, and mucosal erosions.</t>
  </si>
  <si>
    <t>• Neutrophilic infiltrate at dermal-epidermal junction on biopsy (95–100%)
• Widespread, tense subepidermal vesicles and bullae on sun-exposed and trunk areas (85–95%)
• Active systemic lupus erythematosus manifestations (lupus nephritis: 50–60%, arthritis: 60–75%)
• Mucosal blister formation and erosions (40–50%)</t>
  </si>
  <si>
    <t>• Retroviruses, EBV
• Cytomegalovirus</t>
  </si>
  <si>
    <t>• Ultraviolet (UV) light exposure
• Medications (hydralazine, procainamide)
• Infections</t>
  </si>
  <si>
    <t>• Systemic lupus erythematosus (definitive)
• Autoimmune hemolytic anemia
• Immune thrombocytopenia</t>
  </si>
  <si>
    <t>• Worldwide (rare, &lt;2-3% of SLE patients; more common in African/Hispanic)</t>
  </si>
  <si>
    <t>• Dapsone (drug of choice, rapid response)
• Systemic corticosteroids
• Hydroxychloroquine
• Rituximab or mycophenolate mofetil</t>
  </si>
  <si>
    <t>Cataplexy and narcolepsy
Narcolepsy type 1</t>
  </si>
  <si>
    <t xml:space="preserve">Narcolepsy is a neurologic condition that causes a person to experience extreme sleepiness during the day without warning. When combined with cataplexy, a similar onset of muscle weakness, the condition is sometimes called narcolepsy type 1 and is suspected of being caused when the immune system attacks an important chemical in brain cells called hypocretin. The destruction of this chemical leads to the symptoms experienced by patients.
The first reports of narcolepsy being an autoimmune disease came in 2013, but retraction of that paper in 2014 put its status in doubt. Subsequent research and identification of the molecular mechanism by Mahoney et al. provides evidence and justifies classification as an autoimmune disease. </t>
  </si>
  <si>
    <r>
      <rPr>
        <rFont val="Calibri"/>
        <color theme="1"/>
        <sz val="17.0"/>
      </rPr>
      <t xml:space="preserve">There is an autoantibody association too, depending on the tribbles2 homolog protein (trib2), in 14–26% of DQB1 (cataplexy-associated) cases, but trib2 is a ubiquitously expressed protein, and there are no indications that antibodies to it are related to narcolepsy. "One wonders how the story will eventually pan out!" - latest evidence points to autoimmunity - citation needed. [AHA - 20201-01-06]
</t>
    </r>
    <r>
      <rPr>
        <rFont val="Calibri"/>
        <color rgb="FF1155CC"/>
        <sz val="17.0"/>
        <u/>
      </rPr>
      <t>https://pubmed.ncbi.nlm.nih.gov/17259865/</t>
    </r>
  </si>
  <si>
    <t>Hypocretin / Orexin neurons
Tribbles homolog 2 (TRIB2)</t>
  </si>
  <si>
    <t>Hypothalamic hypocretin / orexin-producing neurons (100%)</t>
  </si>
  <si>
    <t>• Anti-TRIB2 autoantibodies
• Anti-hypocretin receptor 2 autoantibodies</t>
  </si>
  <si>
    <t>• Autoreactive CD4+ T cells (hypocretin/orexin-specific, HLA-DQB1*06:02)
• Autoreactive CD8+ cytotoxic T cells (hypocretin neuron targeting)
• Autoreactive B cells / plasma cells</t>
  </si>
  <si>
    <t>1. Strong genetic association with HLA-DQB1*06:02 coupled with post-infectious molecular mimicry (influenza A H1N1, Streptococcus).
2. Primed autoreactive CD4+ and CD8+ cytotoxic T cells breach the blood-brain barrier into the lateral hypothalamus.
3. T cells specifically target and destroy hypocretin (orexin)-producing neurons via perforin/granzyme cytotoxicity.
4. Selective, near-complete depletion (&gt;90%) of hypocretinergic neurons in the tuberal lateral hypothalamus.
5. Loss of hypothalamic hypocretin signaling disrupts sleep-wake stabilization and REM sleep gating, producing excessive daytime sleepiness and cataplexy.</t>
  </si>
  <si>
    <t>• Excessive daytime sleepiness (EDS) with sudden irresistible sleep attacks (100%)
• Cataplexy: sudden bilateral loss of muscle tone provoked by positive emotions (90–100% in Type 1)
• Disrupted nocturnal sleep (70–80%)
• Hypnagogic or hypnopompic vivid hallucinations (40–60%)
• Sleep paralysis upon awakening or falling asleep (40–50%)</t>
  </si>
  <si>
    <t>1.0 cases per 7,143</t>
  </si>
  <si>
    <t>• Influenza A virus (H1N1 2009 pandemic / Pandemrix vaccine)
• Streptococcus pyogenes (strep throat)</t>
  </si>
  <si>
    <t>• Preceding H1N1 influenza infection or Pandemrix vaccination
• Psychological stress
• Altered sleep-wake cycles</t>
  </si>
  <si>
    <t>• Hashimoto's thyroiditis
• Type 1 diabetes
• Celiac disease</t>
  </si>
  <si>
    <t>• Worldwide (strongest cluster in Northern Europe post-2009 pandemic)</t>
  </si>
  <si>
    <t>• Modafinil / Armodafinil (wakefulness-promoting agents)
• Sodium oxybate (for cataplexy and sleep architecture)
• Pitolisant (H3 inverse agonist) or Solriamfetol
• Venlafaxine / fluoxetine (suppress cataplexy)</t>
  </si>
  <si>
    <t>Adult form of celiac disease
Celiac disease
Celiac sprue
Coeliac disease
Gluten-induced enteropathy
Gluten-sensitive enteropathy
Nontropical sprue</t>
  </si>
  <si>
    <t>Celiac disease (CD) is an autoimmune disorder that results in damage and loss of function to the small intestine.  Disease onset is generally triggered by the consumption of foods containing gluten.  CD is also shown to be heritable in a number of patients.  Damage results when components of gluten proteins activate immune cells that attack the small projections (villi) lining the small intestine.  There are 6 types of CD:
Classic/Intestinal: This type often is diagnosed by the age of 3.  All ages of pediatric patients often experience digestive problems, stomach pain, diarrhea, and weight loss, whereas adults usually experience constipation and indigestion.
Non-classic/Extraintestinal: Patients with this type normally have nutritional deficiency, which leads to bone loss, lack of growth, tooth problems, and nerve damage.
Subclinical: Individuals with this type have milder symptoms that are improved when gluten is eliminated from the diet.  Diagnosis is often accidental through dietary experimentation or routine blood work.
Refractory: Patients with this type are chronically symptomatic despite eliminating gluten from their diet for a year or more.  Ulcers, lesions, and lymphoma may result in the small intestine.
Seronegative: This type is diagnosed in individuals who show the symptoms of CD but whose blood work tests negative for the condition.
Gluten free diet non-responsive: Individuals with this type show no improvement after following a gluten free diet for at least one year.  Symptoms are consistent with CD but may also include other disorders that produce similar symptoms. 
CD is generally treated by eliminating gluten from the diet.  Patients with an early diagnosis and who show improvement from dietary restrictions can expect to lead full and productive lives.  However, late diagnosis, failure to adhere to a gluten free diet, or lack of improvement from dietary restrictions can lead to complications, including cancer and problems with the spleen.</t>
  </si>
  <si>
    <t>Untreated celiac disease patients (on a regular diet) usually have increased levels of antibodies against gluten, other food antigens, and autoantigens. Initially, autoantibodies in celiac disease were detected as anti-reticulin antibodies by staining of various rat tissue (Alp and Wright, 1971; Seah et al., 1971). Later IgA anti-endomysium antibodies (EMA) either as detected by staining of monkey esophagus (Chorzelski et al., 1984) or human umbilical cord (Ladinser et al., 1994) were recognized. The main antigen recognized by anti-reticulin antibodies and EMA was identified as the enzyme transglutaminse 2 (TG2) (Dieterich et al., 1997), although antibodies to calreticulin and actin are also found (Clemente et al., 2000; Sanchez et al., 2000). The antibodies to TG2 are both of the IgA and IgG isotypes, but the IgA antibodies are most closely linked with celiac disease (Rostom et al., 2005).</t>
  </si>
  <si>
    <t>Digestive system
HLA-DQ2/DQ8 susceptibility → gluten ingestion → increased intestinal permeability → duodenal TG2 activation → gluten deamidation and cross-linking → antigen presentation → CD4+ T cell + IL-15/IEL activation → B cell activation → anti-TG2/EMA/anti-DGP → mucosal injury (intraepithelial lymphocytosis, crypt hyperplasia, villous atrophy) → malabsorption and extraintestinal manifestations.</t>
  </si>
  <si>
    <t>Tissue transglutaminase 2 (tTG-2)
Deamidated gliadin peptides (DGP)</t>
  </si>
  <si>
    <t>Small intestinal enterocytes (75%)
Submucosal stromal fibroblasts / endothelial cells (25%)</t>
  </si>
  <si>
    <t>IgA anti-endomysium antibodies, IgA antibodies to transglutaminse 2</t>
  </si>
  <si>
    <t>• Autoreactive / deamidated gliadin-specific CD4+ T cells (HLA-DQ2/DQ8-restricted)
• Autoreactive CD8+ cytotoxic intraepithelial lymphocytes (IELs)
• Autoreactive B cells / plasma cells (anti-tTG2 / anti-DGP)</t>
  </si>
  <si>
    <t>1. Dietary ingestion of gluten in HLA-DQ2/DQ8 genetically susceptible individuals exposes resistant 33-mer gliadin peptides.
2. In the lamina propria, tissue transglutaminase 2 (tTG-2) deamidates gliadin peptides, creating negatively charged epitopes with high HLA-DQ2/DQ8 affinity.
3. Dendritic cells present deamidated gliadin to CD4+ T helper cells, triggering secretion of IFN-γ and stimulating B cells to produce anti-tTG and anti-DGP antibodies.
4. Epithelial stress upregulates IL-15, which reprograms intraepithelial lymphocytes (CD8+ IELs) into natural killer-like cytotoxic cells.
5. IEL-mediated lysis of enterocytes via NKG2D/MIC interactions causes diffuse villous atrophy, crypt hyperplasia, and malabsorption.</t>
  </si>
  <si>
    <t>• Chronic fatigue and lethargy (60–75%)
• Abdominal bloating, distension, and cramping pain (60–70%)
• Chronic diarrhea with bulky, foul-smelling steatorrhea (45–55%)
• Involuntary weight loss and malabsorption (40–50%)
• Refractory iron deficiency anemia (40–50%)
• Malabsorptive osteopenia or osteoporosis (30–40%)</t>
  </si>
  <si>
    <t>1.0 cases per 100</t>
  </si>
  <si>
    <t>1.0 cases per 100 to 133</t>
  </si>
  <si>
    <t>• Rotavirus
• Enterovirus, Reovirus
• Adenovirus type 12</t>
  </si>
  <si>
    <t>• Ingestion of dietary gluten (gliadin in wheat, rye, barley)
• Early childhood gastrointestinal infections
• Early infant feeding practices</t>
  </si>
  <si>
    <t>• Type 1 diabetes
• Autoimmune thyroiditis
• Dermatitis herpetiformis
• Sjogren's syndrome
• Addison's disease</t>
  </si>
  <si>
    <t>• Europe, North America, Australia, North Africa (1% of population)</t>
  </si>
  <si>
    <t>• Strict, life-long gluten-free diet (GFD)
• Micronutrient supplementation (iron, folate, calcium, vitamin D)
• Systemic corticosteroids (for refractory celiac sprue)
• Immunosuppressants (budesonide, azathioprine)</t>
  </si>
  <si>
    <t>Chronic Fatigue Syndrome
Myalgic encephalomyelitis
Systemic exertion intolerance disease</t>
  </si>
  <si>
    <t>The autoimmune nature of chronic fatigue syndrome is still unknown but the syndrome often arises as a symptom in patients with autoimmune disorders. Chronic fatigue syndrome, also becoming known as myalgic encephalomyelitis, can be classified as extreme fatigue, tiredness and weakness, that lasts for at least 6 months and worsens with physical or mental activity without improvement from rest. 
The cause of this syndrome is unknown, however, researchers believe that it may be caused by a combination of factors such as genetics, infections, physical or emotional trauma, and/or problems with energy usage. Although symptoms can come and go, it may be difficult for some individuals to maintain a regular schedule or to live independently, as some people may be too weak to get out of bed and others may need to use a wheelchair.</t>
  </si>
  <si>
    <t>High among claimed causes of CFS are chronic viral infections, notably Epstein–Barr virus; the case for a murine retrovirus, XMRV, has been convincingly refuted. Other candidates are allergies, autoimmunity, hyper-reactive responses to unusual environmental exposures, and psychosomatic disorder. Despite evidence in CFS for immune activation and/or impaired indices of cell-mediated immunity (Lloyd et al., 1989, 1990; Buchwald and Komaroff, 1991), data from the conventional indications of inflammatory activity or tissue destruction (ESR, C-reactive protein) are non-supportive. Benefit from immunomodulatory treatment with intravenous immunoglobulin, of known efficacy in some well-defined antibody-mediated autoimmune diseases, is controversial, either endorsed (Lloyd et al., 1990) or refuted (Peterson et al., 1990). Analysis of an autoimmune component in CFS encounters issues such as specification of a clear associated diagnosis and a scarcity of affirmative evidence, perhaps indicative of unpublished negative studies, opposed to which is the known occurrence of fatigue in certain well-accepted autoimmune disorders. The major question then is whether, among cases fulfilling CDC criteria for CFS, there can be regularly identified a highly raised level of any autoantibody specificity, particularly antinuclear autoantibody (ANA). Positive studies include that of Behan et al. (1985) (50 cases) and another group (60 cases) (Konstantinov et al., 1996; von Mikecz et al., 1997) which cited a frequency of autoantibodies of 83% versus 17% in a control group, predominantly of ANA specificity, and directed particularly to nuclear envelope proteins, together with cytoplasmic staining patterns of intermediate filament-vimentin type thought to be indicative of viral infection. On the other hand, there are negative results for ANA in CFS (Skowera et al., 2002), or only modestly positive results (Vernon and Reeves, 2005). It is not the purpose here to review all the varied suppositions on the basis of CFS because none is sufficiently convincing. It can be said that autoimmunity does not provide an explanation for all cases of CFS, that autoantibodies when present might reflect some other as yet unidentified cause, and that autoimmunity likely is but one among a conglomerate</t>
  </si>
  <si>
    <t>Central neuroglial cells (microglia / astrocytes) (50%)
Circulating immune lymphocytes (50%)
(Unspecified quantitative percentage in literature)</t>
  </si>
  <si>
    <t>1. Severe acute viral/bacterial infection (EBV, enterovirus, SARS-CoV-2) triggers prolonged innate and adaptive neuroimmune activation.
2. Sustained microglial activation, brainstem neuroinflammation, and autonomic nervous system dysregulation.
3. Impaired cellular bioenergetics characterized by mitochondrial dysfunction, defective oxidative phosphorylation, and cellular energy deficit.
4. Endothelial dysfunction, platelet microclots, and diminished microvascular tissue perfusion during physical exertion.
5. Inability to meet metabolic demands upon exertion results in debilitating post-exertional malaise (PEM), chronic unrefreshing sleep, and cognitive dysfunction.</t>
  </si>
  <si>
    <t>• Severe, debilitating fatigue lasting &gt;6 months not alleviated by rest (100%)
• Post-exertional malaise (PEM) / physical or cognitive crash (95–100%)
• Unrefreshing, non-restorative sleep (85–95%)
• Cognitive impairment / brain fog and slowed processing speed (70–85%)
• Orthostatic intolerance (60–75%)</t>
  </si>
  <si>
    <t>1.0 cases per 100 to 250</t>
  </si>
  <si>
    <t>1.0 cases per 23 to 435</t>
  </si>
  <si>
    <t>• Epstein-Barr virus (infectious mononucleosis)
• Human herpesvirus 6 (HHV-6)
• Enteroviruses, SARS-CoV-2</t>
  </si>
  <si>
    <t>• Severe acute viral/bacterial infections
• Psychological trauma / prolonged severe stress
• Environmental toxin exposure</t>
  </si>
  <si>
    <t>• Hashimoto's thyroiditis
• Fibromyalgia
• Irritable bowel syndrome
• Postural orthostatic tachycardia syndrome (POTS)</t>
  </si>
  <si>
    <t>• Worldwide (0.4-1.0% prevalence, female predominance)</t>
  </si>
  <si>
    <t>• Activity pacing / energy conservation (no graded exercise)
• Sleep management &amp; optimized hydration/nutrition
• Symptomatic pain and autonomic medications
• Low-dose naltrexone (LDN)</t>
  </si>
  <si>
    <t>Chronic inflammatory demyelinating polyradiculoneuropathy
Chronic inflammatory demyelinating polyneuritis
Chronic inflammatory demyelinating polyneuropathy
Chronic relapsing polyneuropathy
Chronic inflammatory demyelinating polyradiculoneuropathy with central nervous system demyelination</t>
  </si>
  <si>
    <t>Chronic inflammatory demyelinating polyneuropathy is a rare neurological disease that inflames the nerve roots and peripheral nerves, damaging the myelin sheath. The destruction of the myelin sheath leads to loss of strength or sensation.</t>
  </si>
  <si>
    <t>Expression of the blood–nerve barrier constituents claudin-5 and ZO-1 is altered in CIDP perhaps contributing to increased BNB permeability (Kanda et al., 2004). Within the endoneurium T cells secrete IFN-γ, IL-2, and TNF-α (Mathey et al., 1999) and probably others, contributing to inflammatory upregulation of effectors such as macrophages, continued recruitment, and direct nerve damage. Expression of downregulatory cytokines IL-4, IL-10, and TGF-β is also found, and in CIDP expression of NGF, GDNF, LIF, and their receptors may contribute to nerve regeneration (Yamamoto et al., 2002). Clear evidence of Fas deficiency gives support to an inability to halt the ongoing response as effectively as in a monophasic disease (Comi et al., 2009).</t>
  </si>
  <si>
    <t>Neurofascin-155
Contactin-1
Caspr1</t>
  </si>
  <si>
    <t>Myelinating Schwann cells (paranodal loops) (80%)
Peripheral sensory and motor axons (20%)</t>
  </si>
  <si>
    <t>• Autoreactive CD4+ Th1 / Th17 cells (myelin/paranodal-reactive)
• Autoreactive CD8+ cytotoxic T cells
• Autoreactive B cells / plasma cells (anti-NF155 / anti-CNTN1)</t>
  </si>
  <si>
    <t>1. Preceding immune perturbation primes autoreactive CD4+ Th1/Th17 cells and B cells against peripheral nerve myelin antigens (P0, P2, PMP22).
2. Effector T cells and antibodies cross a permeabilized blood-nerve barrier into spinal roots and peripheral nerves.
3. Macrophages infiltrate the endoneurium, stripping myelin sheaths from Schwann cells under antibody and complement mediation.
4. Repeated, chronic cycles of demyelination and Schwann cell proliferation lead to concentric "onion bulb" formation.
5. Progressive secondary axonal loss, conduction block, and sensorimotor impairment cause symmetric proximal and distal polyradiculoneuropathy.</t>
  </si>
  <si>
    <t>• Symmetrical progressive or relapsing proximal and distal limb weakness &gt;2 months (90–95%)
• Generalized hyporeflexia or complete areflexia (90–95%)
• Steppage gait and frequent stumbling/falls (80–90%)
• Sensory ataxia with impaired vibration and proprioception (70–85%)</t>
  </si>
  <si>
    <t>1.0 cases per 20,000 to 50,000</t>
  </si>
  <si>
    <t>1.0 cases per 20,964 to 50,761</t>
  </si>
  <si>
    <t>• Campylobacter jejuni
• Hepatitis C virus
• HIV, Cytomegalovirus</t>
  </si>
  <si>
    <t>• Preceding viral/bacterial infections
• Physical trauma / surgery
• Vaccinations (rare trigger)</t>
  </si>
  <si>
    <t>• Systemic lupus erythematosus
• Hashimoto's thyroiditis
• Type 1 diabetes
• MGUS / monoclonal gammopathy</t>
  </si>
  <si>
    <t>• Worldwide (prevalence 2-7 per 100,000)</t>
  </si>
  <si>
    <t>• Intravenous immunoglobulin (IVIG, first-line)
• Corticosteroids (oral prednisone or pulsed IV methylprednisolone)
• Therapeutic plasma exchange (PLEX)
• Maintenance immunosuppression (azathioprine, rituximab)</t>
  </si>
  <si>
    <t>Chronic interstitial cystitis
IC
PBS
Bladder pain syndrome
Painful bladder syndrome</t>
  </si>
  <si>
    <t>Interstitial cystitis is a chronic disorder that affects the urinary system. Common symptoms include frequent urination, urinary urgency, pelvic pain, and pain during or after sexual intercourse. These symptoms can flare and can cause different levels of discomfort in different people. Some symptomatic flares last only days, while others can affect a person for months. Environmental factors that may cause symptoms to intensify include menstruation, stress, sexual activity, exercise, and specific foods and drinks. These symptoms can affect a person's quality of life. For example, a person with interstitial cystitis may feel the urge to urinate up to 60 times a day, causing interruptions in daily activities, including sleep. 
Currently, the cause of interstitial cystitis is unknown. There are two main theories about its cause. The first is damage to the tissue lining of the bladder. This damage allows toxins to leak into the bladder, further damaging the organ. The second theory is inflammation to the bladder. Both theorized causes could be due to an autoimmune disorder, leading the immune system to attack the bladder. The variety of treatments that are currently available fail to prevent the worsening of the disease, but can help with symptom relief.</t>
  </si>
  <si>
    <t>The best evidence for autoimmunity in interstitial cystitis is the disease association with SLE (Fister, 1938; Shipton, 1965; Boye et al., 1979), Sjögren's syndrome, and autoimmune thyroiditis (Oravisto, 1980). In 129 cases, Peeker et al. (2003) supplemented these associations with cases of “hypersensitivity/allergic disorders,” rheumatoid arthritis, and inflammatory bowel diseases. The high population frequency of interstitial cystitis (1–2 per 1000, overall, predominantly among women, ≈90%), has led in the USA to a patient support group being founded (Interstitial Cystitis Association). Subtypes of interstitial cystitis are sometimes cited for case classification into ulcerative (typical) or non-ulcerative types, and into primary (sole disorder) or secondary (associated with SLE or other immune-mediated disease) (de la Serna and Alarcon-Segovia, 1981; Alarcon-Segovia et al., 1984). Biomarkers are needed to assess accuracy of diagnosis and efficacy of treatment, with formal criteria for diagnosis being specified by the National Institute of Diabetes and Digestive and Kidney Diseases of the NIH (USA). Serologic studies have not been helpful. Bladder-specific autoantibodies were reported by Silk (1970), but have not been confirmed. Frequencies of ANA were raised according to Oravisto et al. (1970) and Jokinen et al. (1972). However, in a more contemporary study Ochs et al. (1994) assembled 96 patients whose sera were tested for ANA by immunofluorescence on tissue sections and on HEp-2 cells, and additionally a cultured bladder epithelial cell line was used for Western blotting. Autoantibodies specific to bladder cells were not demonstrable, but there was an increased frequency, 36% versus 8% in female controls, of non-tissue-specific autoantibodies (cut-off titer 1:40); the reactivities were mostly ANA with staining patterns usually speckled or nucleolar, unlike what pertains in SLE, and tests for AMA were positive in three cases. The findings of Ochs et al. (1994) were not seen as indicative of a primary autoimmune attack on the bladder wall but rather as a consequence of an undefined chronic inflammatory process, with autoantibodies secondarily augmenting this process.</t>
  </si>
  <si>
    <t>Bladder</t>
  </si>
  <si>
    <t>Bladder urothelial umbrella cells (80%)
Suburothelial interstitial cells / mast cells (20%)</t>
  </si>
  <si>
    <t>1. Primary urothelial insult, toxic urinary solutes, or neurogenic triggers breach the protective glycosaminoglycan (GAG) apical umbrella cell layer.
2. Urinary potassium and hyperosmolar solutes penetrate the deep suburothelium, inducing chronic chemical irritation.
3. Massive recruitment and degranulation of submucosal mast cells release histamine, leukotrienes, and substance P.
4. Suburothelial neurogenic inflammation promotes C-fiber nociceptive upregulation and central sensitization.
5. Bladder wall fibrosis, Hunner's lesions, and persistent detrusor pain result in extreme frequency, urgency, and pelvic pain.</t>
  </si>
  <si>
    <t>• Chronic pelvic, perineal, or suprapubic pain relieved by voiding (95–100%)
• Extreme daytime and nighttime urinary frequency (&gt;30–60 times/day) (90–95%)
• Intense, urgent desire to urinate (80–90%)
• Dyspareunia / painful sexual intercourse (50–60%)</t>
  </si>
  <si>
    <t>1.0 cases per 300 to 1,000</t>
  </si>
  <si>
    <t>1.0 cases per 4,444 to 9,434</t>
  </si>
  <si>
    <t>• Uropathogenic E. coli
• BK polyomavirus
• Chlamydia trachomatis</t>
  </si>
  <si>
    <t>• Spicy foods, caffeine, citrus, alcohol, artificial sweeteners
• Bladder trauma / pelvic surgery
• Stress and mechanical friction</t>
  </si>
  <si>
    <t>• Fibromyalgia
• Irritable bowel syndrome
• Sjogren's syndrome
• Chronic fatigue syndrome</t>
  </si>
  <si>
    <t>• Worldwide (predominantly females, ~300 per 100,000)</t>
  </si>
  <si>
    <t>• Dietary modifications &amp; bladder training
• Oral pentosan polysulfate sodium (Elmiron)
• Intravesical instillations (dimethyl sulfoxide [DMSO], heparin, lidocaine)
• Neuromodulation (sacral nerve stimulation) / hydrodistention</t>
  </si>
  <si>
    <t>Lyme disease
Chronic Lyme disease
Erythema Migrans with Polyarthritis
Lyme Arthritis
Lyme Borreliosis</t>
  </si>
  <si>
    <t xml:space="preserve">Lyme disease (named for the town of Lyme, Connecticut where it was first identified) is a bacterial disease transmitted through the bite of an infected black-legged tick, commonly known as a deer tick. Infection is possible after 24 to 48 hours.  If the tick is not removed by then, it can transmit one of four main species of bacteria that cause Lyme disease: Borrelia burgdorferi, Borrelia mayonii, Borrelia afzelii and Borrelia garinii bacteria. The infection can be detected by a red “bulls-eye” rash or by Bell’s Palsy, a condition in which facial muscles are paralyzed. 
If the disease is detected and treated (with antibiotics) recovery is usually complete and symptoms like Bell’s disappear completely. In these cases, there is no autoimmune disease.   
However, in some people, the Lyme disease triggers symptoms similar to rheumatoid arthritis. This is called “chronic Lyme disease” and is suspected of being an autoimmune disease.  
Lyme disease (named for the town of Lyme, Connecticut where it was first identified) is a bacterial disease transmitted through the bite of an infected black-legged tick, commonly known as a deer tick. Infection is possible after 24 to 48 hours.  If the tick is not removed by then, it can transmit one of four main species of bacteria that cause Lyme disease: Borrelia burgdorferi, Borrelia mayonii, Borrelia afzelii and Borrelia garinii bacteria. The infection can be detected by a red “bulls-eye” rash or by Bell’s Palsy, a condition in which facial muscles are paralyzed. 
If the disease is detected and treated (with antibiotics) recovery is usually complete and symptoms like Bell’s disappear completely. In these cases, there is no autoimmune disease.   
However, in some people, the Lyme disease triggers symptoms similar to rheumatoid arthritis. This is called “chronic Lyme disease” and is suspected of being an autoimmune disease.  </t>
  </si>
  <si>
    <t>Post-treatment Lyme disease syndrome; persistent subjective symptoms following Borrelia burgdorferi infection without demonstrably ongoing active bacterial infection or definitive autoantibody-mediated tissue destruction. Chapter 21, pp. 295–305.</t>
  </si>
  <si>
    <t>Synovial lining cells (synoviocytes) (50%)
Vascular endothelial cells (30%)
Glial / neuronal cells (20%)</t>
  </si>
  <si>
    <t>1. Primary infection with Borrelia burgdorferi triggers widespread immune and inflammatory activation.
2. Successful antimicrobial clearance leaves persistent microbial peptidoglycans/antigens, cross-reactive autoantibodies, or persistent neuroinflammation.
3. Chronic low-grade activation of peripheral immune cells and central nervous system microglia.
4. Autonomic nervous system dysregulation, altered pain processing, and central sensitization of nociceptive pathways.
5. Sustained fatigue, generalized musculoskeletal pain, sleep disturbances, and cognitive "brain fog" despite negative bacterial cultures.</t>
  </si>
  <si>
    <t>• Severe, persistent, disabling fatigue (80–90%)
• Widespread migratory arthralgias and musculoskeletal pain (70–80%)
• Cognitive slowing and memory retrieval difficulty ('brain fog') (60–70%)
• Non-restorative sleep and insomnia (60–70%)</t>
  </si>
  <si>
    <t>1.0 cases per 5,000 to 20,000</t>
  </si>
  <si>
    <t>• Borrelia burgdorferi (persistent antigenic stimulation)
• Co-infections (Babesia, Anaplasma)</t>
  </si>
  <si>
    <t>• Tick bites (Ixodes scapularis) in endemic wooded regions
• Delayed or inadequate early antimicrobial therapy
• Physical/immune exhaustion</t>
  </si>
  <si>
    <t>• Hashimoto's thyroiditis
• Fibromyalgia
• Chronic fatigue syndrome</t>
  </si>
  <si>
    <t>• Endemic regions: Northeast/Midwest USA, Central/Eastern Europe</t>
  </si>
  <si>
    <t>• Antibiotic regimens (oral doxycycline, amoxicillin, IV ceftriaxone)
• Symptomatic management (analgesics, physical therapy)
• Cognitive behavioral therapy
• Anti-inflammatory modalities</t>
  </si>
  <si>
    <t>Chronic multifocal osteomyelitis (CRMO) occurs due to an immune system attack on the bones, which has not yet been deemed autoimmune or autoinflammatory in nature, which causes periodic episodes of inflammation of the bones. CRMO is a non bacterial type of osteomyelitis that is considered when bacterial options have been ruled out.
CRMO most commonly affects the long bones as well as the pelvis or spine. This disease can also be diagnosed along with inflammatory bowel disease or psoriasis. CRMO usually occurs in children and can cause bone deformities or slow growth in children. Although there is no cure for CRMO, treatments involved medications such as non-steroidal anti-inflammatory medications, antirheumatic drugs, biologics, and more.
Chronic non-bacterial osteomyelitis (CNO) is a rare auto-inflammatory bone disorder with a prevalence of around one in a million patients. In the more severe form, it is referred to as chronic recurrent multifocal osteomyelitis (CRMO). </t>
  </si>
  <si>
    <t>Pediatric autoinflammatory bone disorder (chronic recurrent multifocal osteomyelitis) characterized by sterile nonbacterial inflammatory osteolytic lesions, driven by dysregulated innate immunity and IL-1β hypersecretion without pathogenic autoantibodies. Chapter 35, pp. 510–522.</t>
  </si>
  <si>
    <t>Osteoclasts (50%)
Osteoblasts (30%)
Bone marrow stromal monocytes (20%)</t>
  </si>
  <si>
    <t>1. Dysregulation in IL-10 transcription combined with hyperactive innate immune signaling in osteoclasts and monocytes.
2. Excessive production of pro-inflammatory cytokines, particularly IL-1β, TNF-α, and IL-6, without infectious pathogens.
3. Hyperactivation and uncoupled recruitment of osteoclasts within metaphyses of long bones, clavicle, and spine.
4. Osteoclast-mediated lytic bone resorption followed by reactive osteoblastic bone remodeling and periostitis.
5. Recurrent sterile, painful multifocal inflammatory bone lesions and progressive skeletal deformities.</t>
  </si>
  <si>
    <t>• Insidious, recurrent multifocal bone pain and localized bone tenderness (85–95%)
• Predilection for metaphyses of long bones, clavicles, and spine (85–95%)
• Localized soft-tissue swelling and warmth over affected bones (80–90%)
• Low-grade intermittent fevers (30–40%)
• Palmoplantar pustulosis or acneiform dermatosis (20–30%)</t>
  </si>
  <si>
    <t>1.0 cases per 250,000 to 1,000,000</t>
  </si>
  <si>
    <t>Not classified</t>
  </si>
  <si>
    <t>• Unidentified microbial triggers
• Cutibacterium acnes, Mycoplasma</t>
  </si>
  <si>
    <t>• Mechanical trauma / fracture
• Physical stress / infectious prodromes
• Vitamin D deficiency</t>
  </si>
  <si>
    <t>• Palmoplantar pustulosis / psoriasis
• Inflammatory bowel disease (Crohn's)
• Ankylosing spondylitis</t>
  </si>
  <si>
    <t>• Worldwide (predominantly children and adolescents, rare)</t>
  </si>
  <si>
    <t>• NSAIDs (naproxen, celecoxib, first-line)
• Bisphosphonates (pamidronate, zoledronic acid)
• TNF inhibitors (adalimumab, etanercept)
• Methotrexate / sulfasalazine</t>
  </si>
  <si>
    <t>Chronic post-COVID-19 syndrome
COVID Long-Hauler
Long COVID
Post-acute COVID-19
Post-Acute Sequelae of COVID-19</t>
  </si>
  <si>
    <t>In as many as 50% of cases of COVID-19 infection, the syndrome known as “Long COVID”  continues to affect a person for months, even years.  Data on this syndrome is mostly anecdotal and unscientific, but some formal research has been completed (citations below).
The symptoms of Long COVID are familiar to many people suffering from autoimmune diseases, including:
Fatigue
An unpredictable flare and remission pattern of recurrence
“Brain fog”, an interruption of memory, attention, and thought processing that can inhibit or prevent a person from performing normal activities
There are additional factors that COVID-19 and Long COVID share with autoimmune disease:
Myocarditis, reported among patients with COVID-19 and, in rare cases, among those who have been vaccinated, is also an autoimmune disease.
Blood clots similar to those found in the autoimmune disease antiphospholipid syndrome have been reported in patients with COVID-19 and Long COVID (though research suggests that the antibody response in Long COVID is not the same as the response found in autoimmune diseases).
High levels of antibodies to the immune-system proteins called type I interferons (IFNs) have been associated with severe COVID-19. 
A further factor leading to the inclusion of Long COVID on the list of autoimmune diseases is that evidence shows that severely ill patients tend to have a high concentration of pro-inflammatory cytokines, such as interleukin (IL)-6, compared to those who are moderately ill. 
The Autoimmune Registry has decided to include Long COVID in its list of autoimmune diseases to support research into this emerging chronic condition.   We classify the level of evidence as “Unconfirmed”, which indicates that:
The disease follows a pattern common to autoimmune diseases;
Autoimmunity has not been ruled out; and 
More study is needed.</t>
  </si>
  <si>
    <t>No mention in Rose &amp; Mackay - Post-acute sequelae of SARS-CoV-2 infection (PASC), characterized by persistent multi-organ symptoms and immune dysregulation, emerging after the publication of primary textbook editions.</t>
  </si>
  <si>
    <t>Vascular endothelial cells (50%)
Monocytes / macrophages (30%)
Autonomic neurons (20%)</t>
  </si>
  <si>
    <t>1. Primary SARS-CoV-2 infection leads to viral antigen/RNA persistence, latent herpesvirus reactivation (EBV), or immune dysregulation.
2. Chronic systemic inflammation and emergence of functional autoantibodies (against GPCRs, interferons, or nuclear antigens).
3. Persistent endothelial dysfunction, microvascular endotheliitis, and formation of amyloid fibrin microclots impair capillary perfusion.
4. Microglial activation and neuroinflammation in the brainstem, autonomic nuclei, and vagus nerve.
5. Persistent multi-organ impairment manifesting as severe post-exertional fatigue, dysautonomia/POTS, respiratory distress, and cognitive deficits.</t>
  </si>
  <si>
    <t>• Persistent chronic fatigue and post-exertional malaise (70–85%)
• Neurocognitive deficits / 'brain fog' and attention issues (50–65%)
• Exertional dyspnea and breathing discomfort (40–60%)
• Generalized myalgias and arthralgias (40–55%)
• Postural tachycardia and palpitations (30–45%)</t>
  </si>
  <si>
    <t>1.0 cases per 20 to 50</t>
  </si>
  <si>
    <t>Based on a survey of adults</t>
  </si>
  <si>
    <t>• SARS-CoV-2 (COVID-19 infection)
• Reactivation of latent herpesviruses (EBV, HHV-6)</t>
  </si>
  <si>
    <t>• Initial SARS-CoV-2 severity
• Incomplete recovery / premature overexertion
• Pre-existing metabolic / immunological comorbidities</t>
  </si>
  <si>
    <t>• Autoimmune thyroiditis
• Mast cell activation syndrome (MCAS)
• Dysautonomia / POTS
• Antiphospholipid syndrome (seropositivity)</t>
  </si>
  <si>
    <t>• Worldwide (millions affected across all regions following pandemic)</t>
  </si>
  <si>
    <t>• Multidisciplinary supportive care and symptom-titrated pacing
• Autonomic stabilization (electrolytes, compression, beta-blockers)
• Low-dose naltrexone / antihistamines (H1/H2)
• Treatment of microclotting / targeted anti-inflammatories</t>
  </si>
  <si>
    <t>Cogan's syndrome
Diffuse interstitial keratitis</t>
  </si>
  <si>
    <t>Cogan syndrome is a rare disease characterized by inflammation of the ears and eyes.  It is characterized as a rheumatic disease because it involves inflamation.  Specifically, when blood vessels are involved, it is characterized as a form of vasculitis. Cogan syndrome can lead to vision difficulty, hearing loss and dizziness.</t>
  </si>
  <si>
    <t>Autoimmunity has been implicated because of the presence of serum antibodies to a mixture of corneal antigens and inner ear extracts (Disher et al., 1997; Helmchen et al., 1999). In a few cases, anti-neutrophil cytoplasmic autoantibodies (ANCA) have been reported. We have demonstrated that Cogan's syndrome is an autoimmune disease and that DEP1/CD148 is the pathogenetically relevant autoantigen (Lunardi et al., 2002). Using the peptide library approach (Puccetti and Lunardi, 2010), already applied to the study of systemic sclerosis (Lunardi et al., 2000), we identified a peptide recognized by the sera of all the patients.</t>
  </si>
  <si>
    <t>Inner ear spiral ligament fibrocytes (50%)
Corneal stromal keratocytes (50%)</t>
  </si>
  <si>
    <t>DEP1/CD148 is the pathogenetically relevant autoantigen</t>
  </si>
  <si>
    <t>• Autoreactive CD4+ T helper cells (corneal/inner ear-reactive)
• Autoreactive B cells / plasma cells (anti-DEP1/CD148)</t>
  </si>
  <si>
    <t>1. Preceding upper respiratory infection initiates an autoimmune response against inner ear and ocular antigens (CD148/DEP-1, cochlin).
2. Synthesis of autoantibodies directed against inner ear sensory tissue and corneal stromal components.
3. Dense lymphocytic, histiocytic, and plasma cell infiltration of the cornea and inner ear membranous labyrinth.
4. Interstitial keratitis, perilymphatic inflammation, endolymphatic hydrops, and destruction of cochlear hair cells and spiral ganglion neurons.
5. Development of bilateral non-syphilitic interstitial keratitis accompanied by acute, profound sensorineural hearing loss and vestibular dysfunction.</t>
  </si>
  <si>
    <t>• Non-syphilitic interstitial keratitis (photophobia, red painful eyes, lacrimation) (90–95%)
• Bilateral sensorineural hearing loss rapidly progressing to profound deafness (85–95%)
• Severe vestibular attacks (acute vertigo, ataxia, nausea, vomiting) (80–90%)
• Systemic necrotizing vasculitis and aortitis (10–15%)</t>
  </si>
  <si>
    <t>• Chlamydia trachomatis
• Borrelia burgdorferi
• Viral upper respiratory tract infections</t>
  </si>
  <si>
    <t>• Preceding upper respiratory tract infection
• Physical / emotional stressors
• Chemical or ocular trauma</t>
  </si>
  <si>
    <t>• Rheumatoid arthritis
• Systemic lupus erythematosus
• Takayasu arteritis
• Wegener's granulomatosis</t>
  </si>
  <si>
    <t>• Worldwide (rare, &lt;1 per million)</t>
  </si>
  <si>
    <t>• High-dose systemic glucocorticoids (first-line)
• Topical ophthalmic corticosteroid drops
• Immunosuppressive therapy (methotrexate, azathioprine, cyclosporine)
• TNF inhibitors (infliximab) / cochlear implantation for hearing loss</t>
  </si>
  <si>
    <t>CAD
Cold agglutinin disease
Anemia, hemolytic cold antibody
Cold antibody disease
Cold antibody hemolytic anemia
Cold autoimmune hemolytic anemia</t>
  </si>
  <si>
    <t>Cold agglutinin disease is a type of autoimmune hemolytic anemia in which the body's immune system attacks and destroys its own red blood cells.  Unlike warm autoimmune hemolytic anemia, the autoimmune destruction of cells occurs when a person is exposed to cold, or their body temperature is below normal. Some patients experience heart problems because the heart has to work harder to make sure the body gets enough healthy red blood cells</t>
  </si>
  <si>
    <t>In contrast, cold autoantibodies active up to 30°C are associated with cold agglutinin syndrome (CAS) (Petz, 2008), since temperatures in the peripheral circulation can fall below this level. The antibody, usually IgM, causes intravascular hemolysis if it activates complement to form membrane attack complexes (MAC) (Engelfriet et al., 1981; Petz and Garratty, 2004b), overcoming protective regulators on the RBC such as CD35 (complement receptor 1 CR1), CD55 (decay-accelerating factor), and CD59 (protectin) (Nicholson-Weller et al., 1982; Krych-Goldberg and Atkinson, 2001; Ruiz-Argüelles and Llorente, 2007).</t>
  </si>
  <si>
    <t>I/i carbohydrate erythrocyte antigens</t>
  </si>
  <si>
    <t>Mature erythrocytes (red blood cells) (100%)</t>
  </si>
  <si>
    <t>• Cold agglutinins (IgM anti-I erythrocyte autoantibodies)</t>
  </si>
  <si>
    <t>• Clonal autoreactive B cells / plasmacytoid lymphocytes (monoclonal IgM anti-I)
• Autoreactive CD4+ T helper cells</t>
  </si>
  <si>
    <t>1. Clonal expansion of B cells (typically low-grade B-cell lymphoproliferative disorder) with restricted IGHV4-34 gene usage.
2. Synthesis of monoclonal IgM autoantibodies (cold agglutinins) specific for the branched I carbohydrate antigen on red blood cells.
3. In cooler peripheral microvasculature (acral beds, &lt;37°C), IgM binds the erythrocyte I antigen and fixes complement C1q.
4. Classical complement cascade activates C3b deposition; upon warming to core body temperature, IgM detaches, leaving C3b-coated erythrocytes.
5. Hepatic Kupffer cells phagocytose C3b-opsonized erythrocytes (extravascular hemolysis) with occasional terminal C5b-9 intravascular lysis.</t>
  </si>
  <si>
    <t>• Chronic fatigue and exertional dyspnea from hemolytic anemia (80–90%)
• Cold-induced acrocyanosis of fingers, toes, earlobes, and nose (60–75%)
• Raynaud-like cold-induced pain and numbness (50–65%)
• Episodic hemoglobinuria triggered by cold exposure (30–40%)
• Scleral icterus / mild jaundice (25–35%)</t>
  </si>
  <si>
    <t>1.0 cases per 60,000 to 80,000</t>
  </si>
  <si>
    <t>1.0 cases per 61,728</t>
  </si>
  <si>
    <t>• Mycoplasma pneumoniae
• Epstein-Barr virus (EBV)
• Cytomegalovirus, Hepatitis C</t>
  </si>
  <si>
    <t>• Exposure to cold environmental temperatures
• Low core body temperatures
• Cold liquids / surgical hypothermia</t>
  </si>
  <si>
    <t>• Non-Hodgkin lymphoma / Waldenström macroglobulinemia
• Systemic lupus erythematosus
• Sjogren's syndrome</t>
  </si>
  <si>
    <t>• Cold/temperate climates (Northern Europe, Canada, Northern US)</t>
  </si>
  <si>
    <t>• Strict avoidance of cold exposure (warming measures)
• Sutimlimab (monoclonal anti-C1s inhibitor, approved first-line)
• Rituximab (with or without bendamustine)
• Blood warmers for blood transfusions (never use corticosteroids)</t>
  </si>
  <si>
    <t>Complex regional pain syndrome
Amplified musculoskeletal pain syndrome
Causalgia
Complex regional pain syndrome type 2
Complex regional pain syndrome type II
Complex regional pain syndrome type 1
Complex regional pain syndrome type I
Reflex sympathetic dystrophy</t>
  </si>
  <si>
    <t>Complex regional pain syndrome (CRPS) and amplified musculoskeletal pain syndromes (AMPS) are chronic pain conditions lasting at least 6 months. CRPS is often triggered by an injury followed by immobilization, and is marked by pain that does not diminish in a manner typical for the injury.  Patients experience unreasonably intense pain in the arms, legs, hands, or feet, both in response to painful and non-painful triggers. Pain can include burning, tingling, or squeezing sensations.  Redness and swelling are often present in the affected area.  There are two types of CRPS.  Patients with CRPS-I/Reflex Sympathetic Dystrophy do not have a confirmed nerve injury, whereas patients with CRPS-II/Causalgia do have an associated, confirmed nerve injury. CRPS usually occurs after an injury that caused damage to the nervous system. The cause is unknown but there are correlations with immune processes that result in swelling surrounding injury.  Treatments are available to manage symptoms, which help some patients, but not all.  Younger patients are more likely to recover than older patients, whose pain may persist and lead to disability.There is no known cause, and autoimmunity is suspected, but no evidence of autoimmunity has been definitively linked to CRPS.</t>
  </si>
  <si>
    <t>Chronic pain disorder with autonomic and vasomotor features following localized trauma; while post-injury neuroinflammation is recognized, autoimmune etiology remains unestablished in Rose &amp; Mackay. Chapter 60, pp. 880–890.</t>
  </si>
  <si>
    <t>α1-adrenoceptor
Muscarinic-2 acetylcholine receptor (M2R)</t>
  </si>
  <si>
    <t>Postganglionic autonomic nerve fibers (60%)
Microvascular endothelial cells (40%)</t>
  </si>
  <si>
    <t>• Anti-α1-adrenergic receptor autoantibodies
• Anti-M2 muscarinic receptor autoantibodies</t>
  </si>
  <si>
    <t>1. Minor extremity trauma, fracture, or surgery triggers exaggerated local release of pro-inflammatory neuropeptides (substance P, CGRP).
2. Autoantibodies against autonomic receptors (β2-adrenergic and M2 muscarinic) develop or amplify sympathetic reactivity.
3. Microvascular endothelial dysfunction induces persistent deep-tissue ischemia, local hypoxia, and respiratory burst.
4. Spinal cord dorsal horn sensitization and persistent microglial activation amplify central nociceptive transmission.
5. Chronic neuropathic burning pain, autonomic sudomotor/vasomotor instability, edema, and progressive trophic dystrophic tissue changes.</t>
  </si>
  <si>
    <t>• Continuous, disproportionate burning, aching, or throbbing limb pain (95–100%)
• Mechanical allodynia and thermal hyperalgesia (80–90%)
• Vasomotor asymmetry: altered skin color and temperature differences (75–85%)
• Sudomotor asymmetry: localized limb edema and hyperhidrosis (70–80%)
• Trophic changes: altered nail growth, coarse hair, thin glossy skin (40–50%)</t>
  </si>
  <si>
    <t>1.0 cases per 4,000 to 20,000</t>
  </si>
  <si>
    <t>1.0 cases per 4,861</t>
  </si>
  <si>
    <t>• Parvovirus B19
• Varicella zoster virus, CMV</t>
  </si>
  <si>
    <t>• Trauma, bone fracture, crush injury, or surgery to extremity
• Prolonged immobilization (tight casting)
• Psychological stress and stroke</t>
  </si>
  <si>
    <t>• Autoimmune thyroiditis
• Asthma / atopy
• Fibromyalgia</t>
  </si>
  <si>
    <t>• Worldwide (~26 per 100,000; 3-4x more frequent in females)</t>
  </si>
  <si>
    <t>• Physical and occupational therapy (early mobilization)
• Neuropathic medications (gabapentin, pregabalin, SNRIs)
• Sympathetic nerve blocks / spinal cord stimulation
• Corticosteroid taper / bisphosphonates in early stages</t>
  </si>
  <si>
    <t>COPA syndrome</t>
  </si>
  <si>
    <t>COPA syndrome; coatomer protein complex subunit alpha syndrome; coatomer subunit alpha syndrome; autoimmune interstitial lung disease-arthritis syndrome; autoimmune ILD-arthritis syndrome; COPA-associated autoinflammatory syndrome; autosomal dominant immune dysregulation due to COPA mutation; COPA-related disease; STING-associated COPA syndrome; COPA-associated lung-joint-kidney disease</t>
  </si>
  <si>
    <t>COPA syndrome is a monogenic autoinflammatory and autoimmune disorder caused by mutations in the COPA gene, which impairs intracellular retrograde Golgi-to-ER protein trafficking and activates the STING pathway. Manifestations include early-onset interstitial lung disease, pulmonary hemorrhage, arthritis, and glomerulonephritis. Management involves targeted immunomodulation, including JAK inhibitors and immunosuppressive agents.</t>
  </si>
  <si>
    <t>Monogenic autoimmune and autoinflammatory disorder caused by dominant mutations in the COPA gene, causing impaired intracellular retrograde Golgi-to-ER transport, STING pathway activation, pulmonary hemorrhage/ILD, and arthritis. Chapter 28, pp. 405–415.</t>
  </si>
  <si>
    <t>Alveolar epithelial cells (type II pneumocytes) (60%)
Renal tubular epithelial cells (40%)</t>
  </si>
  <si>
    <t>• Antinuclear antibodies (ANA)
• Anti-neutrophil cytoplasmic antibodies (ANCA)</t>
  </si>
  <si>
    <t>• Autoreactive CD4+ Th17 cells
• Autoreactive B cells / plasma cells (producing ANA / ANCA)
• Autoreactive CD8+ cytotoxic T cells</t>
  </si>
  <si>
    <t>1. Autosomal dominant missense mutation in the COPA gene, encoding the α-subunit of coatomer protein complex I (COP-I).
2. Defective COP-I impairs retrograde protein transport from the Golgi apparatus back to the endoplasmic reticulum (ER).
3. ER stress and accumulation of misfolded proteins activate the STING (stimulator of interferon genes) pathway.
4. Robust, constitutive transcription and systemic secretion of type I interferons (IFN-α/β) and pro-inflammatory cytokines.
5. Severe pulmonary alveolar hemorrhage/interstitial lung disease, inflammatory arthritis, and immune complex glomerulonephritis.</t>
  </si>
  <si>
    <t>• Early-onset interstitial lung disease / pulmonary hemorrhage (90–100%)
• Chronic non-erosive inflammatory polyarthritis (80–90%)
• Recurrent hemoptysis and chronic cough (50–60%)
• Immune complex-mediated glomerulonephritis (40–50%)</t>
  </si>
  <si>
    <t>• Inhaled airborne particulates / pollutants
• Cigarette smoke</t>
  </si>
  <si>
    <t>• Rheumatoid arthritis
• Systemic lupus erythematosus
• Autoimmune thyroiditis</t>
  </si>
  <si>
    <t>• Worldwide (rare monogenic disorder, autosomal dominant COPA gene)</t>
  </si>
  <si>
    <t>• High-dose glucocorticoids
• JAK inhibitors (baricitinib, tofacitinib, ruxolitinib)
• Immunosuppressants (mycophenolate mofetil, cyclophosphamide)
• Lung transplantation (end-stage pulmonary fibrosis)</t>
  </si>
  <si>
    <t>Crohn's disease
Crohn's colitis
Crohn's granulomatous
Gastroduodenal Crohn's disease
Ileocolitis
Illeitis
Jejunoileitis</t>
  </si>
  <si>
    <t>Crohn's Disease (CD) causes inflammation of the digestive tract that may lead to abdominal pain, severe diarrhea, fatigue, weight loss, and malnutrition. When that inflammation is only in the large intestine (including the colon) the disease is called ulcerative colitis (UC).
Both UC and CD are caused by an autoimmune response that reflects the involvement of the innate and adaptive immune systems. The disease mechanism is complex, but appears to start when a normal immune response to a bacterial infection does not stop properly after the infection is fought off. The resulting inflammation leads to the symptoms of both UC and CD.</t>
  </si>
  <si>
    <t>Chronic inflammatory bowel disease characterized by transmural granulomatous inflammation capable of affecting any segment of the gastrointestinal tract, driven by aberrant mucosal immune responses against enteric microbiota in genetically predisposed individuals. Chapter 45, pp. 625–640.</t>
  </si>
  <si>
    <t>Digestive system</t>
  </si>
  <si>
    <t>Outer membrane porin C (OmpC)
Flagellin (CBir1)</t>
  </si>
  <si>
    <t>Intestinal mucosal epithelial cells (enterocytes and Paneth cells) (75%)
Lamina propria macrophages / dendritic cells (25%)</t>
  </si>
  <si>
    <t>• Anti-Saccharomyces cerevisiae antibodies (ASCA)
• Anti-OmpC autoantibodies
• Anti-CBir1 flagellin autoantibodies</t>
  </si>
  <si>
    <t>• Autoreactive / microbiota-reactive CD4+ Th1 and Th17 cells
• Autoreactive CD8+ cytotoxic T cells
• Autoreactive B cells / plasma cells</t>
  </si>
  <si>
    <t>1. Genetic risk (NOD2/CARD15, ATG16L1, IL23R) combined with environmental triggers and gut dysbiosis impairs mucosal barrier function.
2. Translocation of luminal commensal microbiota into the bowel wall triggers aberrant innate and dendritic cell activation.
3. Skewed polarization of naive T cells into mucosal CD4+ Th1 (IFN-γ, TNF-α) and Th17 (IL-17, IL-22) effector subsets.
4. Transmural infiltration of lymphocytes, macrophages, and neutrophils across all layers of the intestinal wall, forming non-caseating granulomas.
5. Deep ulcerations, cobblestoning, transmural fissure formation, fistulas, and fibromuscular strictures throughout the gastrointestinal tract.</t>
  </si>
  <si>
    <t>• Chronic non-bloody or bloody diarrhea (75–85%)
• Chronic, colicky abdominal pain (predominantly right lower quadrant) (70–85%)
• Involuntary weight loss, anorexia, and malnutrition (60–70%)
• Systemic symptoms: low-grade fever, fatigue, growth failure in children (50–65%)
• Perianal fistula, fissure, or perirectal abscess (25–35%)</t>
  </si>
  <si>
    <t>1.0 cases per 130 to 167</t>
  </si>
  <si>
    <t>• Mycobacterium avium paratuberculosis (MAP)
• Adherent-invasive E. coli (AIEC)
• Measles virus, Epstein-Barr virus</t>
  </si>
  <si>
    <t>• Cigarette smoking (strong risk enhancer)
• Western diet (high saturated fat, refined sugar, emulsifiers)
• Early antibiotic use / altered gut microbiota</t>
  </si>
  <si>
    <t>• Ankylosing spondylitis
• Psoriasis / psoriatic arthritis
• Primary sclerosing cholangitis
• Erythema nodosum / pyoderma gangrenosum</t>
  </si>
  <si>
    <t>• North America, Northern/Western Europe, Oceania, urbanized East Asia</t>
  </si>
  <si>
    <t>• Biologics: Anti-TNF (infliximab, adalimumab), Anti-IL12/23 (ustekinumab), Anti-IL23 (risankizumab), Anti-integrin (vedolizumab)
• JAK inhibitors (upadacitinib)
• Corticosteroids (budesonide, prednisone) for induction
• Immunomodulators (azathioprine, methotrexate) / surgery</t>
  </si>
  <si>
    <t>Cryptogenic organizing pneumonia
Bronchiolitis obliterans with organizing pneumonia
idiopathic interstitial pneumonia
Interstitial pneumonia</t>
  </si>
  <si>
    <t>Cryptogenic organizing pneumonia is inflammation and scarring of the small airways and air sacs of the lungs. The exact cause is not understood, but an autoimmune response is suspected.</t>
  </si>
  <si>
    <t>Indirect evidence for autoimmune mechanisms in COP comes from the bronchiolitis obliterans syndrome associated with both lung and allogeneic stem cell transplants. These cases, which can be viewed as in vivo human models of bronchiolar disease, have been more extensively studied than COP or rheumatic disease-associated COP.</t>
  </si>
  <si>
    <t>Lungs</t>
  </si>
  <si>
    <t>Alveolar epithelial cells (pneumocytes) (70%)
Fibroblasts / myofibroblasts in intra-alveolar buds (30%)</t>
  </si>
  <si>
    <t>1. Unidentified alveolar epithelial injury (idiopathic, toxic, or viral trigger) damages the basement membrane.
2. Influx of plasma proteins and fibrin into the alveolar spaces with intense recruitment of inflammatory monocytes and lymphocytes.
3. Proliferation of intra-alveolar fibroblasts and myofibroblasts, forming loose connective tissue plugs (Masson bodies).
4. Deposition of immature collagen and proteoglycans within respiratory bronchioles, alveolar ducts, and adjacent alveoli.
5. Patchy air-space consolidation, restrictive ventilatory impairment, and hypoxemia without architectural architectural remodeling.</t>
  </si>
  <si>
    <t>• Persistent, subacute dry or mildly productive cough (70–85%)
• Progressive exertional dyspnea (65–80%)
• Bilateral inspiratory crackles on auscultation (60–70%)
• Flu-like constitutional prodrome: low-grade fevers, malaise, weight loss (50–60%)</t>
  </si>
  <si>
    <t>1.0 cases per 90,000 to 100,000</t>
  </si>
  <si>
    <t>1.0 cases per 90,909</t>
  </si>
  <si>
    <t>• Influenza virus, Parvovirus B19
• Chlamydia, Mycoplasma pneumoniae</t>
  </si>
  <si>
    <t>• Medications (amiodarone, nitrofurantoin, bleomycin, statins)
• Radiation therapy to thorax
• Environmental dusts / fumes</t>
  </si>
  <si>
    <t>• Rheumatoid arthritis
• Systemic sclerosis
• Dermatomyositis / polymyositis
• Sjogren's syndrome</t>
  </si>
  <si>
    <t>• Worldwide (annual incidence ~1-3 per 100,000)</t>
  </si>
  <si>
    <t>• Systemic corticosteroids (oral prednisone 0.75-1.0 mg/kg/day, prolonged taper)
• Intravenous methylprednisolone for severe respiratory failure
• Azathioprine, mycophenolate mofetil, or cyclosporine (steroid-sparing)
• Macrolide antibiotics (clarithromycin, azithromycin) for mild cases</t>
  </si>
  <si>
    <t>CTLA4 haploinsufficiency</t>
  </si>
  <si>
    <t>CTLA4 haploinsufficiency; CTLA-4 haploinsufficiency; CTLA4 deficiency; CTLA4 insufficiency; cytotoxic T-lymphocyte antigen 4 haploinsufficiency; CTLA4-related immune dysregulation; CHAI disease; CTLA4 haploinsufficiency with autoimmune infiltration; ALPS5; autoimmune lymphoproliferative syndrome type V; IDAIL; immune dysregulation, autoimmunity, and lymphoproliferation due to CTLA4 haploinsufficiency</t>
  </si>
  <si>
    <t>CTLA4 haploinsufficiency is an inherited immune dysregulation syndrome caused by heterozygous mutations in the CTLA4 gene, which diminishes regulatory T-cell suppressive capacity. This leads to widespread immune cell proliferation and multiorgan autoimmunity, including enteropathy, cytopenias, respiratory disease, and hypogammaglobulinemia. Targeted treatment with CTLA-4 fusion proteins (such as abatacept) provides substantial clinical benefit.</t>
  </si>
  <si>
    <t>Monogenic immune dysregulation syndrome caused by autosomal dominant mutations in CTLA4, leading to impaired regulatory T-cell suppressive function, lymphoproliferation, and severe multiorgan autoimmune manifestations. Chapter 29, pp. 418–426.</t>
  </si>
  <si>
    <t>Regulatory T cells (Tregs) (60%)
Activated conventional CD4+/CD8+ T lymphocytes (40%)</t>
  </si>
  <si>
    <t>• Antinuclear antibodies (ANA)
• Anti-erythrocyte autoantibodies (direct Coombs)</t>
  </si>
  <si>
    <t>• Uncontrolled autoreactive CD4+ T effector cells (due to Treg impairment)
• Autoreactive CD8+ cytotoxic T cells
• Autoreactive B cells / plasma cells</t>
  </si>
  <si>
    <t>1. Heterozygous loss-of-function mutation in the CTLA4 gene impairs cytotoxic T-lymphocyte antigen-4 expression on regulatory T cells (Tregs).
2. Failure of Tregs to trans-endocytose CD80/CD86 from antigen-presenting cells results in loss of cell-extrinsic immune checkpoint inhibition.
3. Unrestricted co-stimulation via CD28 drives hyperactivation and proliferation of self-reactive conventional CD4+ and CD8+ T cells.
4. Chronic hyperimmune activation promotes germinal center hyperplasia, polyclonal B-cell dysregulation, and tissue lymphocytic infiltration.
5. Multisystem lymphocytic infiltration (lungs, gut, CNS), progressive hypogammaglobulinemia, and recurrent autoimmune cytopenias.</t>
  </si>
  <si>
    <t>• Hypogammaglobulinemia with recurrent sinopulmonary bacterial infections (80–90%)
• Benign lymphadenopathy and splenomegaly (60–70%)
• Severe autoimmune enteropathy / lymphocytic colitis with chronic diarrhea (50–60%)
• Autoimmune cytopenias (refractory ITP, AIHA) (40–50%)
• Lymphocytic interstitial lung disease (30–40%)</t>
  </si>
  <si>
    <t>• Chronic EBV, CMV
• Human herpesviruses</t>
  </si>
  <si>
    <t>• Recurrent childhood infections
• Incomplete antigen clearance</t>
  </si>
  <si>
    <t>• Autoimmune hemolytic anemia
• Immune thrombocytopenia
• Autoimmune enteropathy
• Type 1 diabetes</t>
  </si>
  <si>
    <t>• Worldwide (rare monogenic immune dysregulation)</t>
  </si>
  <si>
    <t>• Abatacept (CTLA-4 fusion protein, disease-targeted therapy)
• Systemic corticosteroids
• Sirolimus (mTOR inhibitor)
• Hematopoietic stem cell transplantation (HSCT)</t>
  </si>
  <si>
    <t>Cutaneous lupus erythematosus
Discoid lupus
Discoid lupus erythematosus
Lupus erythematosus tumidus
Chronic discoid lupus erythematosus
Subacute cutaneous lupus erythematosus
Discoid lupus erythematosus of oral mucosa</t>
  </si>
  <si>
    <t>Discoid lupus erythematosus, also referred to as DLE, is a chronic but localized skin condition where sores (lesions) form on the scalp, face, elbow, or fingertips. In DLE, the autoimmune system attacks connective tissue. The lesions are red, inflamed patches with a scaling and crusting appearance. If present in areas with a significant amount of hair, the lesions can cause scarring and hair loss in that area. Because the symptoms are similar to other skin diseases and other types of lupus, a skin biopsy must be performed to confirm a diagnosis.  The primary difference between discoid lupus erythematosus (DLE) and systemic lupus erythematosus (SLE) is that DLE mainly affects the skin, while SLE also affects the organs, such as the heart, blood vessels, nervous system, and kidneys. Patients can have both DLE and SLE.</t>
  </si>
  <si>
    <t>Spectrum of autoimmune skin disorders encompassing discoid lupus, subacute cutaneous lupus, and acute cutaneous lupus, characterized by interface dermatitis, basal layer apoptosis, and autoantibodies targeting Ro/SSA and ribonucleoproteins. Chapter 65, pp. 960–970; Chapter 76, pp. 1112–1124.</t>
  </si>
  <si>
    <t>Ro/SSA (Ro52, Ro60)
La/SSB</t>
  </si>
  <si>
    <t>Basal epidermal keratinocytes (85%)
Dermal microvascular endothelial cells (15%)</t>
  </si>
  <si>
    <t>• Anti-Ro/SSA autoantibodies
• Antinuclear antibodies (ANA)
• Anti-La/SSB autoantibodies</t>
  </si>
  <si>
    <t>• Autoreactive CD4+ Th1 / Tfh cells
• Autoreactive CD8+ cytotoxic T cells (dermo-epidermal junction)
• Autoreactive B cells / plasma cells (anti-Ro/SSA)</t>
  </si>
  <si>
    <t>1. Genetic predisposition and ultraviolet (UV) radiation induce widespread DNA damage and apoptosis of basal keratinocytes.
2. Defective clearance of apoptotic debris exposes intracellular Ro/SSA, La/SSB, and nucleosomal autoantigens to dendritic cells.
3. Plasmacytoid dendritic cells produce high levels of type I interferons (IFN-α), upregulating CXCL9/CXCL10 chemokines.
4. Infiltration of CXCR3+ cytotoxic CD8+ T cells and plasmacytoid cells along the dermal-epidermal junction (interface dermatitis).
5. Liquefaction degeneration of the basal layer, follicular plugging, dermal edema, and scarring discoid or non-scarring subacute cutaneous lesions.</t>
  </si>
  <si>
    <t>• Photosensitive annular, polycyclic erythematous plaques (SCLE: 70–80%)
• Well-demarcated discoid scaly plaques with follicular plugging, scarring, and atrophy (DLE: 70–80%)
• Symmetrical malar erythema / butterfly rash sparing nasolabial folds (ACLE: 60–75%)</t>
  </si>
  <si>
    <t>1.0 cases per 1,200 to 2,500</t>
  </si>
  <si>
    <t>1.0 cases per 1,220 to 1,429</t>
  </si>
  <si>
    <t>• Epstein-Barr virus
• Retroviruses, Human papillomavirus</t>
  </si>
  <si>
    <t>• Ultraviolet (UV) radiation (sunlight, photosensitivity)
• Smoking (decreases antimalarial efficacy)
• Medications (antihypertensives, terbinafine, biologics)</t>
  </si>
  <si>
    <t>• Systemic lupus erythematosus (15-20% progress)
• Sjogren's syndrome
• Hashimoto's thyroiditis
• Rheumatoid arthritis</t>
  </si>
  <si>
    <t>• Worldwide (higher incidence in African and Hispanic descent)</t>
  </si>
  <si>
    <t>• Broad-spectrum photoprotection (sunscreen SPF 50+, UV avoidance)
• Topical / intralesional corticosteroids and calcineurin inhibitors
• Hydroxychloroquine (first-line systemic therapy)
• Methotrexate, mycophenolate, or thalidomide / lenalidomide</t>
  </si>
  <si>
    <t>Cutaneous mastocytosis is caused when too many mast cells accumulate in the skin. It is not an autoimmune disease, but a disease of the immune system, specifically mast cells. Mast cells transport histamine, which is involved in allergic responses.  
When mastocytosis is not limited to the skin, it is called systemic mastocytosis, and is a more severe form of the disease.</t>
  </si>
  <si>
    <t>No mention</t>
  </si>
  <si>
    <t>Dermal mast cells (100%)</t>
  </si>
  <si>
    <t>1. Somatic activating gain-of-function mutations in the KIT receptor tyrosine kinase gene (most commonly KIT D816V).
2. Constitutive, ligand-independent autophosphorylation of KIT drives unchecked clonal proliferation and survival of mast cells.
3. Clonal mast cells migrate to and selectively accumulate in high density within the papillary and reticular dermis.
4. Physical stimuli (rubbing, temperature change, pressure) trigger mechanical or IgE-independent mast cell degranulation.
5. Massive release of histamine, tryptase, and prostaglandins causes Darier's sign, pruritus, flushing, and pigmented maculopapular urticaria pigmentosa.</t>
  </si>
  <si>
    <t>• Darier's sign: wheal and flare reaction after gentle mechanical rubbing (90–95%)
• Maculopapular cutaneous mastocytosis / urticaria pigmentosa (red-brown macules) (80–90%)
• Severe episodic pruritus, flushing, and heat intolerance (70–85%)
• Bullae formation in infantile forms (30–40%)</t>
  </si>
  <si>
    <t>1.0 cases per 10,000</t>
  </si>
  <si>
    <t>Child: 0
Adult: 25</t>
  </si>
  <si>
    <t>Child: 2
Adult: 75</t>
  </si>
  <si>
    <t>Immune related</t>
  </si>
  <si>
    <t>• Rare viral triggers
• Chronic inflammatory stimuli</t>
  </si>
  <si>
    <t>• Physical stimuli (heat, friction, pressure, cold)
• Chemical histamine triggers (opioids, radiocontrast media)
• Venom stings, alcohol, emotional stress</t>
  </si>
  <si>
    <t>• Autoimmune thyroid disease
• Celiac disease
• Vitiligo</t>
  </si>
  <si>
    <t>• Worldwide (rare, predominantly pediatric onset)</t>
  </si>
  <si>
    <t>• Avoidance of physical and pharmacologic mast cell triggers
• H1 and H2 antihistamines (cetirizine, fexofenadine, famotidine)
• Topical high-potency corticosteroids
• Cromolyn sodium (oral/topical) / montelukast</t>
  </si>
  <si>
    <t>Dermatitis herpetiformis
DH
Duhring-Brocq disease
Duhring's disease
Gluten rash</t>
  </si>
  <si>
    <t>Dermatitis herpetiformis is a chronic, blistering, and intensely itchy rash, It is occurs in people who are suffering from celiac disease who consume gluten.  It is affects about 10 percent of those with celiac disease, and usually affects male adults between 30 and 40 and is more common in people of northern European descent.  DH is rarely found in those of African and Asian ancestry.</t>
  </si>
  <si>
    <t>In dermatitis herpetiformis, which could be considered as celiac disease with additional skin lesions, IgA autoantibodies are prime suspects. These patients, in addition to anti-TG2 antibodies, have antibodies that target transglutaminase 3 (TG3), and the IgA anti-TG3 antibodies are more closely associated with the disease than the IgA anti-TG2 antibodies (Sardy et al., 2002). TG3 is closely related to TG2 and is also able to modify gluten peptides, but is paradoxically not expressed in the dermal papillae where the granular IgA deposits in dermatitis herpetiformis are located.</t>
  </si>
  <si>
    <t>Epidermal transglutaminase (eTG / TG3)</t>
  </si>
  <si>
    <t>Dermal papilla tips / epidermal basal keratinocytes (100%)</t>
  </si>
  <si>
    <t>• Anti-epidermal transglutaminase (anti-eTG / TG3) IgA
• Anti-tissue transglutaminase (anti-tTG) IgA
• Anti-endomysial antibodies (EMA)</t>
  </si>
  <si>
    <t>• Autoreactive / gluten-specific CD4+ T cells
• Autoreactive B cells / plasma cells (anti-eTG / anti-tTG IgA)</t>
  </si>
  <si>
    <t>1. Dietary gluten ingestion in individuals with celiac disease (HLA-DQ2/DQ8) drives gut mucosal IgA production against tissue transglutaminase.
2. Epitope spreading and B-cell clonal maturation produce high-affinity IgA autoantibodies targeting epidermal transglutaminase (eTG / TG3).
3. Circulating IgA anti-eTG antibodies form immune complexes with epidermal transglutaminase.
4. Complexes deposit selectively in a granular pattern within the dermal papillae just beneath the basement membrane zone.
5. Granular IgA deposits activate the alternative complement pathway (C5a), recruiting neutrophils that form microabscesses and subepidermal blisters with intense pruritus.</t>
  </si>
  <si>
    <t>• Intensely pruritic, burning, grouped polymorphic vesicles and papules (95–100%)
• Symmetrical distribution on extensor surfaces: elbows, knees, buttocks, scalp (90–95%)
• Coexisting asymptomatic or mild celiac enteropathy on biopsy (90–95%)
• Excoriations, crusted erosions, and post-inflammatory pigmentation (85–95%)</t>
  </si>
  <si>
    <t>1.0 cases per 8,929 to 20,000</t>
  </si>
  <si>
    <t>1.0 cases per 8,929 to 13,333</t>
  </si>
  <si>
    <t>• Enterovirus, Rotavirus
• Hepatitis C virus</t>
  </si>
  <si>
    <t>• Ingestion of dietary gluten (wheat, barley, rye)
• High dietary iodine intake
• Gastrointestinal infections</t>
  </si>
  <si>
    <t>• Celiac disease (100% concordance on intestinal biopsy)
• Hashimoto's thyroiditis
• Type 1 diabetes
• Pernicious anemia</t>
  </si>
  <si>
    <t>• Northern Europe, Ireland, UK, Scandinavia (highest in Caucasians)</t>
  </si>
  <si>
    <t>• Strict life-long gluten-free diet (clears skin lesions over months)
• Dapsone (first-line rapid relief of pruritus and blisters)
• Sulfapyridine (alternative if dapsone intolerant)
• Topical potent corticosteroids for localized relief</t>
  </si>
  <si>
    <t>Juvenile dermatomyositis
Dermatomyositis</t>
  </si>
  <si>
    <t>Dermatomyositis is an autoimmune disease that causes symptoms in the skin and muscles.  The symptoms are variable from patient to patient.   Affected populations can be grouped into juvenile and adult dermatomyositis.  The juvenile group tends to have gastrointestinal issues as well.</t>
  </si>
  <si>
    <t>In human autoimmune diseases, expansion of circulating TFH (follicular t helper cells) cells in patients with juvenile dermatomyositis, RA, SLE, and Sjögren's syndrome has been observed to strongly correlate with increased plasmablasts and serum concentrations of anti-dsDNA and antinuclear antibodies (Morita et al., 2011; Ma et al., 2012; Zhang et al., 2013). These observations are highly suggestive of the role that aberrant TFH cells may play in the pathogenesis of autoimmunity. 
Perhaps the best evidence for associating autoantibodies to pulmonary fibrosis is in patients with polymyositis and dermatomyositis, in which antibodies (Targoff, 1993) against the aminoacyl-tRNA synthetases have been shown to be highly correlated with pulmonary fibrosis (Bernstein et al., 1984; Targoff, 1993). At least five known forms of the autoantibodies have been identified, which include anti-alanyl-tRNA synthetase (PL), anti-histidyl-tRNA synthetase (Jo-1), anti-isoleucyl-tRNA synthetase (OJ), anti-glycyl tRNA synthetase, and anti-threonyl tRNA synthetase. The strongest correlation appears to be with anti-Jo-1 antibodies, which have been reported to have a frequency of interstitial lung disease between 50% (Hochberg et al., 1984) and 100% (Yoshida et al., 1983). Patients with polymyositis or dermatomyositis can frequently present with the “antisynthetase syndrome” characterized by pulmonary fibrosis in 50–75% of patients, arthritis, Raynaud's phenomenon, and fevers.</t>
  </si>
  <si>
    <t>Mi-2
TIF1-γ
NXP2
MDA5
SAE</t>
  </si>
  <si>
    <t>Endomysial microvascular endothelial cells (55%)
Skeletal muscle myofibers (30%)
Epidermal basal keratinocytes (15%)</t>
  </si>
  <si>
    <t>• Anti-Mi-2 autoantibodies
• Anti-TIF1-γ autoantibodies
• Anti-NXP2 autoantibodies
• Anti-MDA5 autoantibodies
• Anti-SAE autoantibodies</t>
  </si>
  <si>
    <t>• Plasmacytoid dendritic cells &amp; autoreactive B cells / plasma cells (anti-Mi-2, anti-TIF1-γ)
• Autoreactive CD4+ T helper cells (perivascular)
• Autoreactive CD8+ cytotoxic T cells</t>
  </si>
  <si>
    <t>1. Genetic susceptibility (HLA-DRB1*03:01) combined with viral/environmental triggers or malignancy initiates an immune response against endothelial targets.
2. Plasmacytoid dendritic cells produce massive quantities of type I interferons (IFN-α/β), creating an intense interferon-stimulated gene signature.
3. Autoantibodies (anti-Mi-2, anti-TIF1-γ, anti-NXP2) and complement component C3 activate, forming the membrane attack complex (C5b-9).
4. Deposition of C5b-9 on endomysial microvascular capillary endothelial cells causes endothelial swelling, microthrombi, and capillary loss.
5. Perivascular inflammation, perifascicular ischemia, perifascicular muscle fiber atrophy, and characteristic cutaneous eruptions (heliotrope rash, Gottron papules).</t>
  </si>
  <si>
    <t>• Symmetrical proximal muscle weakness (shoulder and pelvic girdle) (85–95%)
• Pathognomonic Gottron's papules over MCP and IP joints (70–80%)
• Pathognomonic heliotrope rash with periorbital violaceous edema (60–70%)
• Periungual telangiectasias and cuticular overgrowth (60–70%)
• Photosensitive poikiloderma: V-neck sign and shawl sign (50–60%)</t>
  </si>
  <si>
    <t>1.0 cases per 10,000 to 20,000</t>
  </si>
  <si>
    <t>1.0 cases per 45,455
1.0 cases per 4,669</t>
  </si>
  <si>
    <t>Child: 5
Adult: 45</t>
  </si>
  <si>
    <t>Child: 15
Adult: 60</t>
  </si>
  <si>
    <t>• Coxsackievirus B
• Parvovirus B19, Retroviruses
• Toxoplasma gondii, Borrelia</t>
  </si>
  <si>
    <t>• Ultraviolet (UV) light exposure
• Inhaled silica dust / airborne pollutants
• Medications (statins, hydroxyurea, checkpoint inhibitors)</t>
  </si>
  <si>
    <t>• Systemic sclerosis
• Sjogren's syndrome
• Systemic lupus erythematosus
• Rheumatoid arthritis</t>
  </si>
  <si>
    <t>• Worldwide (prevalence ~10-20 per 100,000; higher in adult females)</t>
  </si>
  <si>
    <t>• High-dose oral prednisone or pulse IV methylprednisolone
• Methotrexate, azathioprine, or mycophenolate mofetil
• Intravenous immunoglobulin (IVIG, FDA-approved for DM)
• Rituximab, JAK inhibitors (tofacitinib) / Strict photoprotection</t>
  </si>
  <si>
    <t>Diabetes mellitus type 1
Insulin dependent Diabetes
Juvenile diabetes
Type 1 diabetes
Type 1 diabetes mellitus</t>
  </si>
  <si>
    <t>In diabetes type 1, the cells in the pancreas that make insulin, sometimes referred to as "pancreatic islet" or "pancreatic beta cells", are killed by T-Cells produced by the immune system. Without insulin, the body cannot process glucose, which builds up in the bloodstream and can cause damage to nerves and blood vessels. Unlike diabetes type 1, diabetes type 2 is caused when cells do not respond normally to insulin. Therefore, the mechanisms of the two main types of diabetes are different, and the treatments are therefore different. Type 1 is treated with insulin injections (which is why it is sometimes called "insulin dependent diabetes"). Type 2 is usually treated with drugs like metformin, since type 2 is not caused by a failure to produce insulin but rather a failure to properly use it.
It is possible for an individual with type 1 diabetes to develop type 2 diabetes, but that is relatively uncommon. However, it is more common (in the US medical system) is that doctors will inadvertently record a type 1 code in a patient with type 2 diabetes, and vice versa. (In fairness to the doctors, the ICD-9 coding system used before the introduction of ICD-10 in 2015 did not clearly differentiate between the two diseases.)</t>
  </si>
  <si>
    <t>Autoimmune destruction of insulin-secreting pancreatic beta cells mediated by autoreactive CD4+ and CD8+ T lymphocytes, preceded by circulating autoantibodies to insulin (IAA), GAD65, IA-2, and ZnT8, resulting in absolute insulin deficiency. Chapter 41, pp. 573–590.</t>
  </si>
  <si>
    <t>Glutamic acid decarboxylase 65 (GAD65)
Islet antigen 2 (IA-2)
Insulin
Zinc transporter 8 (ZnT8)</t>
  </si>
  <si>
    <t>Pancreatic islet beta cells (100%)</t>
  </si>
  <si>
    <t>• Anti-GAD65 autoantibodies
• Anti-IA-2 autoantibodies
• Anti-ZnT8 autoantibodies
• Anti-insulin autoantibodies (IAA)
• Islet cell cytoplasmic autoantibodies (ICA)</t>
  </si>
  <si>
    <t>• Autoreactive CD8+ cytotoxic T cells (islet β-cell destruction)
• Autoreactive CD4+ Th1 cells (GAD65, IA-2, insulin, ZnT8-specific)
• Autoreactive B cells / plasma cells (islet autoantibodies)</t>
  </si>
  <si>
    <t>1. Genetic susceptibility (HLA-DR3-DQ2 / HLA-DR4-DQ8) combined with environmental triggers (enterovirus, dietary factors) initiates islet inflammation.
2. Presentation of beta-cell autoantigens (proinsulin, GAD65, IA-2, ZnT8) by antigen-presenting cells to autoreactive CD4+ T helper cells.
3. Priming and clonal expansion of autoreactive CD8+ cytotoxic T lymphocytes and generation of islet autoantibodies (IAA, GAD65Ab, IA-2Ab, ZnT8Ab).
4. Infiltration of pancreatic islets of Langerhans by CD8+ T cells, CD4+ T cells, and macrophages (insulitis).
5. Perforin/granzyme- and cytokine-mediated (IFN-γ, TNF-α, IL-1β) selective destruction of insulin-producing beta cells leads to absolute insulin deficiency and ketoacidosis.</t>
  </si>
  <si>
    <t>• Polyuria: excessive, frequent urination (90–95%)
• Polydipsia: severe, relentless thirst (90–95%)
• Generalized fatigue, lethargy, and blurred vision (75–85%)
• Polyphagia accompanied by rapid involuntary weight loss (70–85%)
• Diabetic ketoacidosis at diagnosis (vomiting, Kussmaul respiration, fruity breath) (30–40%)</t>
  </si>
  <si>
    <t>1.0 cases per 294 to 385</t>
  </si>
  <si>
    <t>• Coxsackievirus B4
• Enteroviruses, Rubella virus
• Cytomegalovirus, Rotavirus</t>
  </si>
  <si>
    <t>• Early childhood viral enteritis
• Early introduction of cow's milk / gluten
• Vitamin D deficiency
• Cold climate / high latitude rearing</t>
  </si>
  <si>
    <t>• Autoimmune thyroiditis (Hashimoto's)
• Celiac disease
• Addison's disease
• Vitiligo
• Autoimmune gastritis</t>
  </si>
  <si>
    <t>• Northern Europe, Scandinavia, Finland, Sardinia (very high incidence)</t>
  </si>
  <si>
    <t>• Exogenous insulin replacement (multiple daily injections or insulin pump)
• Continuous glucose monitoring (CGM)
• Automated insulin delivery / hybrid closed-loop systems
• Teplizumab (anti-CD3 antibody, delays onset in stage 2 T1D)</t>
  </si>
  <si>
    <t>Eaton-Lambert syndrome
LEMS
Lambert-Eaton myasthenic syndrome
Lambert-Eaton syndrome</t>
  </si>
  <si>
    <t>Lambert-Eaton myasthenic syndrome is a chronic autoimmune disorder characterized by the body's immune system attacking tissue at the junction where nerves and skeletal muscles meet. The resulting inflammation and damage prevent the nerve cells from sending messages to muscle cells leading to muscle loss and weakness. LEMS has two types: one is LEMS triggered by small cell lung cancer, and the other starts spontaneously (idiopathic) without the presence of lung cancer.</t>
  </si>
  <si>
    <t xml:space="preserve">Electromyography will confirm a disorder of neurotransmission, although a significant increase in the compound muscle action potential following a period of exercise or high frequency stimulation allows electrophysiological differentiation from MG. Serological confirmation involves detection of antibodies against the P/Q type voltage-gated calcium channels which are found in approximately 90% of LEMS cases, and are invariably present in paraneoplastic SCLC cases (see below). To detect the antibodies, the P/Q type VGCCs are extracted from mammalian brain, labeled with 125I ω-conotoxin which binds specifically to these VGCCs, and used in an RIA. In addition antibodies against N type (30–40%) and L type (25%) VGCCs may be present (Johnston et al., 1994; Motomura et al., 1997). Other antibodies which have been identified include those against synaptotagmin (Takamori et al., 1995) and more recently against SOX-1 in 65% of paraneoplastic cases and around 5% of non-paraneoplastic cases (Sabater et al., 2008; Titulaer et al., 2009).
</t>
  </si>
  <si>
    <t>Systemic
Musculoskeletal</t>
  </si>
  <si>
    <t>P/Q-type voltage-gated calcium channels (VGCC)
N-type VGCC</t>
  </si>
  <si>
    <t>Presynaptic motor nerve terminal membranes (neuromuscular junction) (100%)</t>
  </si>
  <si>
    <t>• Anti-P/Q-type VGCC autoantibodies
• Anti-N-type VGCC autoantibodies
• Anti-SOX1 autoantibodies</t>
  </si>
  <si>
    <t>• Autoreactive B cells / plasma cells (anti-P/Q-type VGCC)
• Autoreactive CD4+ T helper cells</t>
  </si>
  <si>
    <t>1. Small cell lung carcinoma expressing functional voltage-gated calcium channels (paraneoplastic) or primary autoimmune dysregulation.
2. Synthesis of high-affinity IgG autoantibodies directed against P/Q-type voltage-gated calcium channels (VGCC) on presynaptic membranes.
3. Autoantibodies cross-link presynaptic P/Q-type VGCCs at the neuromuscular junction, inducing receptor internalization and reduction in channel density.
4. Action potential arrival fails to trigger sufficient presynaptic calcium influx.
5. Defective calcium-dependent exocytosis of acetylcholine into the synaptic cleft causes proximal muscle weakness, hyporeflexia, and autonomic dysfunction.</t>
  </si>
  <si>
    <t>• Proximal lower limb weakness causing difficulty climbing stairs or standing (90–95%)
• Depressed or absent deep tendon reflexes with post-exercise facilitation (80–90%)
• Autonomic dysfunction: severe dry mouth / xerostomia (75–85%)
• Erectile dysfunction in males (60–70%)
• Constipation and orthostatic dizziness (40–50%)</t>
  </si>
  <si>
    <t>1.0 cases per 300,000 to 400,000</t>
  </si>
  <si>
    <t>1.0 cases per 303,030 to 384,615</t>
  </si>
  <si>
    <t>Strong
Not classified</t>
  </si>
  <si>
    <t>• Paraneoplastic (small cell lung carcinoma)
• Rare viral triggers</t>
  </si>
  <si>
    <t>• Cigarette smoking (predisposition to small cell lung cancer)
• Occult neuroendocrine malignancies</t>
  </si>
  <si>
    <t>• Autoimmune thyroiditis
• Vitiligo
• Type 1 diabetes
• Myasthenia gravis</t>
  </si>
  <si>
    <t>• Worldwide (rare, ~1-3 per million, strong male preponderance &gt;50)</t>
  </si>
  <si>
    <t>• Treatment of underlying malignancy (chemo/radiation/resection)
• Amifampridine (3,4-diaminopyridine, potassium channel blocker, first-line)
• Pyridostigmine (acetylcholinesterase inhibitor)
• Intravenous immunoglobulin (IVIG) / plasma exchange / prednisone</t>
  </si>
  <si>
    <t>Endometriosis
Adenomyometritis
Adenomyosis
Adenomysis uteri
Endometriosis Uterina</t>
  </si>
  <si>
    <t>A disorder where the tissue that normally lines the uterus grows outside of the uterus. The tissue can grow on the ovaries, fallopian tubes, outer wall of the uterus, intestines, or other organs in the belly.</t>
  </si>
  <si>
    <t>Gynecological inflammatory condition characterized by ectopic endometrial tissue; while exhibiting immune abnormalities, altered peritoneal NK cell activity, and anti-endometrial antibodies, it is not established as a primary autoimmune disease. Chapter 68, pp. 1000–1008.</t>
  </si>
  <si>
    <t>Ectopic endometrial glandular epithelial cells (55%)
Endometrial stromal cells (45%)</t>
  </si>
  <si>
    <t>• Anti-endometrial autoantibodies</t>
  </si>
  <si>
    <t>1. Retrograde menstruation delivers viable endometrial glandular and stromal cells into the peritoneal cavity.
2. Dysfunctional peritoneal immune surveillance with defective cytotoxic T cells and impaired natural killer (NK) cell clearance.
3. Peritoneal macrophages undergo alternative activation, secreting abundant IL-1β, IL-6, TNF-α, and VEGF.
4. Ectopic endometrial tissue adheres, invades the peritoneal mesothelium, and establishes robust neoangiogenesis and neurogenesis.
5. Chronic cyclic inflammation, tissue remodeling, adhesions, and pelvic fibrosis cause chronic dysmenorrhea, pelvic pain, and infertility.</t>
  </si>
  <si>
    <t>• Severe, progressive cyclic dysmenorrhea / pelvic cramping (80–90%)
• Chronic non-menstrual pelvic pain (50–60%)
• Deep dyspareunia during sexual intercourse (40–50%)
• Subfertility or primary infertility (30–50%)
• Dyschezia: painful bowel movements during menstruation (30–40%)</t>
  </si>
  <si>
    <t>1.0 cases per 10</t>
  </si>
  <si>
    <t>1.0 cases per 91 to 95</t>
  </si>
  <si>
    <t>• Retrograde menstruation / microbial pelvic infections
• E. coli, Chlamydia trachomatis</t>
  </si>
  <si>
    <t>• Dioxin and environmental organochlorine pollutants
• Endocrine disrupting chemicals (bisphenol A, phthalates)
• Early menarche / short menstrual cycles</t>
  </si>
  <si>
    <t>• Hashimoto's thyroiditis
• Systemic lupus erythematosus
• Rheumatoid arthritis
• Sjogren's syndrome
• Celiac disease</t>
  </si>
  <si>
    <t>• Worldwide (~10% of reproductive-age women globally)</t>
  </si>
  <si>
    <t>• Hormonal suppression (combined oral contraceptives, progestins)
• GnRH agonists / antagonists (elagolix, relugolix)
• NSAIDs for pelvic pain
• Laparoscopic conservative surgical excision / ablation of lesions</t>
  </si>
  <si>
    <t>Enthesitis
Enthesitis-related arthritis
Enthesitis-related juvenile arthritis</t>
  </si>
  <si>
    <t>Enthesitis-related arthritis is diagnosed when rheumatoid arthritis affects the entheses, the connective tissue between a tendon or ligament and a bone.  Enthesitis affects about 15% of patients with juvenile arthritis.</t>
  </si>
  <si>
    <t>Inflammation occurring at the insertions of tendons, ligaments, or joint capsules into bone, representing a hallmark pathological feature of HLA-B27-associated spondyloarthropathies mediated by mechanical stress and IL-23/IL-17 signaling. Chapter 63, pp. 925–938.</t>
  </si>
  <si>
    <t>Entheseal fibrocartilage chondrocytes (70%)
Adjacent periosteal osteoblasts (30%)</t>
  </si>
  <si>
    <t>1. Biomechanical repetitive tensile stress at fibrocartilaginous tendon/ligament insertion points into bone induces microdamage.
2. Activation of tissue-resident stromal cells and innate immune cells (γδ T cells, ILC3s) in the vascularized enthesis.
3. Locally released IL-23 promotes profound autocrine and paracrine secretion of IL-17A, IL-22, and TNF-α.
4. Inflammatory cytokine cascade recruits neutrophils and osteoclasts, causing focal osteitis and subchondral bone erosions.
5. Subsequent IL-22- and BMP-driven bone remodeling leads to new periosteal bone formation, enthesophytes, and calcification.</t>
  </si>
  <si>
    <t>• Exquisite localized tenderness and swelling at tendon/ligament bone insertions (85–95%)
• Marked pain worsening with weight-bearing or joint motion (85–90%)
• Predilection for Achilles tendon and plantar fascia insertions (75–85%)
• Prominent morning stiffness at affected insertion points (70–80%)</t>
  </si>
  <si>
    <t>1.0 cases per 200 to 500</t>
  </si>
  <si>
    <t>• Klebsiella pneumoniae
• Chlamydia trachomatis
• Gastrointestinal enterobacteria</t>
  </si>
  <si>
    <t>• Mechanical strain / microtrauma at bone-tendon insertions
• High-impact sports / repetitive mechanical loading
• Gut dysbiosis</t>
  </si>
  <si>
    <t>• Ankylosing spondylitis
• Psoriatic arthritis
• Reactive arthritis
• Inflammatory bowel disease</t>
  </si>
  <si>
    <t>• Worldwide (prevalent among HLA-B27 positive populations)</t>
  </si>
  <si>
    <t>• NSAIDs (first-line)
• Physical therapy and biomechanical offloading
• TNF inhibitors (adalimumab, etanercept, golimumab)
• IL-17 inhibitors (secukinumab) / local corticosteroid injections</t>
  </si>
  <si>
    <t>Eosinophilic esophagitis, EoE, is a buildup of white blood cells (eosinophils) in the throat (esophagus). This causes chronic inflammation and leads to problems swallowing. EoE has only recently been recognized as a disease. The condition is characterized as an immune system reaction, but is more like an allergy than an autoimmune disease.  EoE appears to be more common among those who suffer from allergies and asthma as well as autoimmune conditions such as celiac disease, and mast cell disorders. Mast cells are involved in the body's allergic response system.  EoE was first described in 1993 with a report of 12 patients who had dysphagia, normal endoscopy, no acid reflux, and intraepithelial eosinophilia. The authors recognized that these patients had a distinct disease. Since then, the disease has increased in prevalence. Evidence for EoE being an autoimmune disease is limited.</t>
  </si>
  <si>
    <t>Chronic immune-mediated esophageal disease characterized by eosinophil-predominant inflammation, driven by type 2 Th2 responses to food antigens rather than primary autoantibody autoimmunity. Chapter 45, pp. 630–640.</t>
  </si>
  <si>
    <t>Esophageal stratified squamous epithelial cells (keratinocytes) (80%)
Infiltrating eosinophils / mast cells (20%)</t>
  </si>
  <si>
    <t>1. Food or aeroallergen exposure in genetically susceptible individuals (calpain-14, CAPN14, eotaxin-3 variants) compromises the esophageal mucosal barrier.
2. Esophageal epithelial cells release alarmins (TSLP, IL-33), driving an allergen-specific CD4+ Th2 immune response.
3. Th2 cells secrete large quantities of IL-4, IL-5, and IL-13, stimulating epithelial eotaxin-3 (CCL26) expression.
4. Marked recruitment, transmigration, and intraepithelial accumulation of eosinophils into esophageal squamous epithelium (&gt;15 eosinophils/HPF).
5. Eosinophil degranulation (major basic protein, eosinophil peroxidase) and TGF-β release drive basal zone hyperplasia, lamina propria fibrosis, rings, and strictures.</t>
  </si>
  <si>
    <t>• Solid-food dysphagia with retrosternal sticking (80–90% in adults)
• Feeding refusal, failure to thrive, and vomiting (60–70% in children)
• Retrosternal chest pain / heartburn unresponsive to acid suppression (50–60%)
• Recurrent acute esophageal food impaction (40–55%)</t>
  </si>
  <si>
    <t>1.0 cases per 2,000 to 3,000</t>
  </si>
  <si>
    <t>1.0 cases per 1,754 to 10,000</t>
  </si>
  <si>
    <t>• Viral respiratory or GI infections
• Microbial dysbiosis</t>
  </si>
  <si>
    <t>• Ingestion of food allergens (milk, wheat, egg, soy, nuts)
• Environmental aeroallergens (pollen, dust mites)
• Acid suppression therapy (early life)</t>
  </si>
  <si>
    <t>• Asthma
• Allergic rhinitis
• Atopic dermatitis
• Food allergies
• Celiac disease</t>
  </si>
  <si>
    <t>• North America, Western Europe, Australia (increasing prevalence ~50-100/100,000)</t>
  </si>
  <si>
    <t>• Proton pump inhibitors (high-dose PPIs, first-line)
• Topical swallowed corticosteroids (fluticasone, budesonide slurry/tablets)
• Dupilumab (anti-IL-4Rα biologic, FDA-approved for EoE)
• Dietary elimination (6-food or 4-food elimination diets)
• Esophageal dilation for fibrostenotic strictures</t>
  </si>
  <si>
    <t xml:space="preserve">Epidermolysis Bullosa </t>
  </si>
  <si>
    <t>Epidermolysis Bullosa Acquisita
Epidermolysis Bullosa, Acquired
Acquired Epidermolysis Bullosa
Acquired Form of Epidermolysis Bullosa</t>
  </si>
  <si>
    <t>In epidermolysis bullosa acquisita (EBA) the skin and mucus membranes are chronically inflamed and may form blisters in response to minor injury. Common areas of blistering include the hands, feet, knees, elbows, and buttocks. It can also affect the mouth, nose, and eyes.  Evidence suggests an association between EBA and inflammatory bowel diseases (IBD), such as ulcerative colitis and Crohn's disease. IBD is reported to be present in approximately 30% of EBA patients. There are two main types of EBA, non-inflammatory and non-inflammatory. The non-inflammatory type is more common and resembles the hereditary disease, epidermolysis bullosa. The inflammatory types resemble autoimmune bullous pemphigoid. Mucous Membrane EBA (MM-EBA) is a type of inflammatory EBA that affects mucous membranes. EBA is marked by the presence of autoantibodies (mainly IgG class) to type VII collagen (Col7). EBA may mimic other inflammatory blistering diseases, most often bullous pemphigoid and bullous systemic lupus erythematosus (which is also associated with anti-Col7 autoantibodies).</t>
  </si>
  <si>
    <t>Epidermolysis bullosa acquisita (EBA) is an acquired subepithelial blistering disease of the skin and mucous membranes mediated by IgG autoantibodies against type VII collagen (O'Toole and Woodley, 2000). Lesions occur predominantly on areas of trauma and often heal with scarring, like CP. Subepidermal blisters are formed as a result of detachment of the epidermis at the level of the sublamina densa area as demonstrated by ultrastructural studies (Figure 65.1). EBA is associated with HLA-DR2 (Gammon et al., 1988). The target antigen of EBA is type VII collagen (C-VII), which is confined to anchoring fibrils of the sublamina densa region of the skin. EBA autoantibodies react with four major epitopes within the amino-terminal non-collagenous NC1 domain of C-VII. It is hypothesized that binding of these autoantibodies may interfere with dimer formation of the C-VII molecule or may impair the association of C-VII with its ligands, laminin 5 and fibronectin. It has also been suggested that complement activation by the autoantibodies induces inflammation and blistering. Rabbit anti-human type VII collagen NC1 domain IgG induced EBA-like lesions in adult hairless mice and nude mice bearing human skin grafts (Chen et al., (2004)). Furthermore, rabbit antibodies specific to a murine portion of type VII collagen induced subepidermal blistering when passively transferred into adult mice, thereby reproducing the clinical, histological, and immunopathological features of human disease in a complement-dependent fashion (Sitaru et al., 2005).  Chapter 65. Page 965.</t>
  </si>
  <si>
    <t>Dermal anchoring fibrils (sub-basal lamina anchoring fibroblasts / keratinocytes) (100%)</t>
  </si>
  <si>
    <t>Type VII Colagen</t>
  </si>
  <si>
    <t>• Autoreactive CD4+ T helper cells (type VII collagen-specific)
• Autoreactive B cells / plasma cells (anti-type VII collagen)</t>
  </si>
  <si>
    <t>1. Breakdown of immunological self-tolerance in individuals with HLA-DRB1*15:03 against the NC1 domain of type VII collagen.
2. Clonal B cells produce pathogenic IgG autoantibodies (mostly IgG1 and IgG4) targeting type VII collagen within anchoring fibrils.
3. Anti-type VII collagen autoantibodies bind the sub-lamina densa of the dermal-epidermal junction.
4. Fc receptor-mediated recruitment and activation of neutrophils release elastase and matrix metalloproteinases.
5. Enzymatic destruction of anchoring fibrils leads to dermal-epidermal separation, skin fragility, trauma-induced tense blisters, and scarring with milia.</t>
  </si>
  <si>
    <t>• Tense subepidermal mechanobullous blisters over trauma-prone extensor surfaces (80–90%)
• Marked cutaneous fragility, prominent scarring, and milia formation (75–85%)
• Dystrophic or absent fingernails and toenails (50–60%)
• Painful mucosal erosions (oral, esophageal, conjunctival) (40–50%)</t>
  </si>
  <si>
    <t>1.0 cases per 2,000,000 to 12,500,000</t>
  </si>
  <si>
    <t>• Streptococcus, Staphylococcus (secondary colonizers)</t>
  </si>
  <si>
    <t>• Mechanical friction, shear trauma, and pressure to fragile skin
• Heat and high humidity
• Exposure to coarse clothing / adhesives</t>
  </si>
  <si>
    <t>• Autoimmune thyroiditis
• Alopecia areata</t>
  </si>
  <si>
    <t>• Worldwide (rare genetic mutations in COL7A1, KRT5/14, LAMB3)</t>
  </si>
  <si>
    <t>• Protective wound dressings (non-adherent silicone foam)
• Infection control and topical antimicrobials
• Nutritional supplementation and aggressive pain control
• Gene therapy (beremagene geperpavec [B-VEC] topical gel for DEB)</t>
  </si>
  <si>
    <t>Epilepsy is the repeated occurrence of seizures, which are short periods of abnormally excessive or synchronous brain activity in the brain marked by uncontrolled shaking and loss of consciousness. Seizures usually last less than two minutes but it takes time to return to normal. Since a number of autoimmune diseases that affect the brain can lead to seizures, epilepsy has been listed in some lists as an autoimmune disease. However, unless the cause of the seizure is an underlying autoimmune disease, epilepsy itself is not an autoimmune disease.</t>
  </si>
  <si>
    <t>Autoimmune epilepsy encompasses seizure disorders driven by neural autoantibodies directed against synaptic receptors or ion channels, frequently refractory to antiepileptic medications but responsive to immunomodulatory therapy. Chapter 58, pp. 845–855.</t>
  </si>
  <si>
    <t>Cortical and hippocampal projection neurons (85%)
Inhibitory interneurons (15%)</t>
  </si>
  <si>
    <t>• Anti-LGI1 autoantibodies
• Anti-NMDA receptor autoantibodies
• Anti-GAD65 autoantibodies
• Anti-CASPR2 autoantibodies</t>
  </si>
  <si>
    <t>• Autoreactive B cells / plasma cells (anti-NMDAR, anti-LGI1, anti-GAD65)
• Autoreactive CD4+ T helper cells
• Autoreactive CD8+ cytotoxic T cells</t>
  </si>
  <si>
    <t>1. Neural autoantigen expression in systemic tumors, post-viral encephalitis, or idiopathic autoimmunity activates B and T cells.
2. Pathogenic autoantibodies (anti-LGI1, anti-NMDAR, anti-GABA_B, anti-GAD65) and/or cytotoxic CD8+ T cells cross the blood-brain barrier.
3. Binding of cell-surface ion channels/receptors downregulates inhibitory GABAergic pathways or hyperactivates glutamatergic transmission.
4. Neuronal hyperexcitability, synchronized paroxysmal depolarizations, and microglial inflammation in neocortical and hippocampal networks.
5. Intractable epileptic seizures, status epilepticus, and progressive neurocognitive decline refractory to standard anti-seizure medications.</t>
  </si>
  <si>
    <t>• Frequent, refractory focal seizures with or without secondary generalization (85–95%)
• Rapid onset of seizures in adults without previous history (80–90%)
• Markedly resistant to conventional anti-seizure medications (80–90%)
• Cognitive regression, amnesia, and behavioral changes (50–65%)</t>
  </si>
  <si>
    <t>Many cases of epilepsy are not autoimmune</t>
  </si>
  <si>
    <t>Child: 0
Adult: 60</t>
  </si>
  <si>
    <t>Child: 10
Adult: 100</t>
  </si>
  <si>
    <t>• Herpes simplex virus (HSV)
• Human herpesvirus 6 (HHV-6)
• Cytomegalovirus, EBV</t>
  </si>
  <si>
    <t>• Febrile illness / systemic infections
• Sleep deprivation and emotional stress
• Flashing lights / photosensitivity
• Head trauma</t>
  </si>
  <si>
    <t>• Hashimoto's thyroiditis
• Systemic lupus erythematosus
• Autoimmune encephalitis
• Celiac disease</t>
  </si>
  <si>
    <t>• Worldwide (~0.5-1% of the global population)</t>
  </si>
  <si>
    <t>• Antiseizure medications (levetiracetam, lamotrigine, valproate, carbamazepine)
• High-dose corticosteroids / IVIG (if autoimmune etiology confirmed)
• Ketogenic diet therapy
• Vagus nerve stimulation (VNS) / surgical resection for focal lesions</t>
  </si>
  <si>
    <t>Episcleritis is an inflammation of the white tissue, the sclera, that surrounds most of the eye. Though scleritis is a symptom of a number of autoimmune diseases, it is suspected of being an autoimmune disease itself.</t>
  </si>
  <si>
    <t>Episcleritis is an inflammatory disease involving the tissue that lies superficial to the sclera. Scleritis is a painful and potentially sight-threatening inflammatory disease involving the sclera. Episcleritis is typically more acute and less severe than scleritis and it is often idiopathic; however, many of the diseases associated with scleritis have also been associated with episcleritis. Clinical examination evaluates for the presence of erythema and edema of the episclera or sclera as well as injection of the deep episcleral vessels (Figure 55.2). The inflamed sclera is usually characterized by a violaceous hue which can be graded in a standardized fashion (Sen et al., 2011). Many inflammatory systemic disorders are associated with scleritis, the most common being rheumatoid arthritis. Others include juvenile idiopathic arthritis (JIA), Reiter syndrome, Crohn's disease, ankylosing spondylitis, ulcerative colitis, polymyositis, polyarteritis nodosa, systemic lupus erythematosus (SLE), Wegener's granulomatosis, sarcoidosis, Lyme disease, and Cogan syndrome. In up to 40% of cases no associated disease can be identified (Sainz de la Maza et al., 2012).</t>
  </si>
  <si>
    <t>Episcleral vascular endothelial cells (60%)
Episcleral fibroblasts (40%)</t>
  </si>
  <si>
    <t>• Antinuclear antibodies (ANA)
• Rheumatoid factor (RF)</t>
  </si>
  <si>
    <t>1. Idiopathic localized immune activation or association with underlying systemic autoimmune disorders (rheumatoid arthritis, IBD, relapsing polychondritis).
2. Deposition of circulating immune complexes or local activation of perivascular dendritic cells in the superficial episcleral plexus.
3. Recruitment of T lymphocytes, monocytes, and neutrophils with release of histamine and inflammatory cytokines.
4. Vasodilation and increased permeability of the superficial episcleral capillary network with localized perivascular edema.
5. Sectoral or diffuse episcleral hypervascular injection, mild discomfort, and chemosis without scleral thinning or vision loss.</t>
  </si>
  <si>
    <t>• Preservation of normal visual acuity and normal pupil reactivity (95–100%)
• Acute onset of bright red sectoral or diffuse episcleral vascular injection (90–100%)
• Blanching of congested episcleral vessels upon topical phenylephrine (90–100%)
• Mild ocular tenderness, gritty sensation, or irritation without severe pain (75–85%)</t>
  </si>
  <si>
    <t>1.0 cases per 1,000 to 2,500</t>
  </si>
  <si>
    <t>1.0 cases per 1,901</t>
  </si>
  <si>
    <t>• Herpes simplex virus, Varicella zoster
• Chlamydia pneumoniae
• Borrelia burgdorferi</t>
  </si>
  <si>
    <t>• Systemic inflammatory flares
• Minor ocular trauma / dust irritation
• Contact lens wear
• Emotional and physical stress</t>
  </si>
  <si>
    <t>• Rheumatoid arthritis
• Inflammatory bowel disease (Crohn's, UC)
• Relapsing polychondritis
• Ankylosing spondylitis
• Systemic lupus erythematosus</t>
  </si>
  <si>
    <t>• Worldwide (frequent in young to middle-aged adults, females &gt; males)</t>
  </si>
  <si>
    <t>• Topical artificial tears and cold compresses (mild)
• Topical NSAID drops or mild topical corticosteroids
• Oral NSAIDs (ibuprofen, flurbiprofen) for recurrent/severe
• Treatment of underlying systemic autoimmune condition</t>
  </si>
  <si>
    <t>EN
Erythema nodosum
Erythema nodosum of unknown etiology
Idiopathic erythema nodosum</t>
  </si>
  <si>
    <t>Erythema nodosum is a condition that causes the fat layer just beneath the skin to become inflamed, forming swollen bumps 1 to 5 cm across.  These bumps most frequently occur on the shins, and sometimes the thighs and forearms as well.  The degree of inflammation may vary by day over a period of 3 to 6 weeks, after which time the bumps finally fade.  The affected area may appear bruised for a period of up to a few months afterward, but most patients experience a full recovery with no scars.  The cause is uncertain but is correlated with an over-reactive immune response following infection, medication, pregnancy, inflammatory conditions, vaccines, and autoimmune or other medical conditions.  Treatments are available to relieve discomfort.</t>
  </si>
  <si>
    <t>Reactive septal panniculitis characterized by tender erythematous subcutaneous nodules on lower extremities, triggered by infections, sarcoidosis, or inflammatory bowel disease rather than primary autoantibodies. Chapter 65, pp. 965–975; Chapter 72.</t>
  </si>
  <si>
    <t>Subcutaneous adipose septal vascular endothelial cells (65%)
Septal fibroblasts (35%)</t>
  </si>
  <si>
    <t>1. Exposure to infectious antigens (Streptococcus, tuberculosis), medications (sulfonamides, oral contraceptives), or sarcoidosis.
2. Type IV delayed-type hypersensitivity reaction with immune complex deposition in the septal venules of subcutaneous fat.
3. Recruitment of CD4+ Th1 lymphocytes and neutrophils releasing TNF-α, IL-6, and reactive oxygen species.
4. Acute inflammation of the interlobular septa of subcutaneous adipose tissue (septal panniculitis) without true vasculitis.
5. Extravasation of red blood cells, histiocytic granulomatous inflammation (Miescher radial granulomas), and tender, erythematous subcutaneous nodules.</t>
  </si>
  <si>
    <t>• Painful, tender, warm, bright-red non-ulcerating subcutaneous nodules (90–100%)
• Bruise-like discoloration (erythema contusiforme) upon lesion resolution (85–95%)
• Symmetrical pretibial localization on lower legs (80–90%)
• Accompanying ankle/knee arthralgias and low-grade fever (50–60%)</t>
  </si>
  <si>
    <t>1.0 cases per 20,000 to 100,000</t>
  </si>
  <si>
    <t>• Streptococcus pyogenes (most common infectious trigger)
• Mycobacterium tuberculosis
• Yersinia, Chlamydia, Histoplasma</t>
  </si>
  <si>
    <t>• Medications (oral contraceptives, sulfonamides, penicillins)
• Pregnancy (estrogen changes)
• Upper respiratory bacterial infections</t>
  </si>
  <si>
    <t>• Sarcoidosis (Löfgren syndrome)
• Inflammatory bowel disease (Crohn's, UC)
• Behçet's disease</t>
  </si>
  <si>
    <t>• Worldwide (commonest form of panniculitis, female preponderance)</t>
  </si>
  <si>
    <t>• Bed rest, leg elevation, and compression stockings
• Oral NSAIDs (indomethacin, naproxen, first-line)
• Potassium iodide (SSKI drops)
• Systemic corticosteroids (if infection ruled out)
• Treatment of underlying etiology (antibiotics, anti-TB)</t>
  </si>
  <si>
    <t>Essential mixed cryoglobulinemia
Autoimmune cryoglobulinemia
Cryoglobulinemic Vasculitis</t>
  </si>
  <si>
    <t>Essential mixed cryoglobulinemia is marked by the presence of abnormal antibodies (cryoglobulins) that clump together and become solid or gel-like at temperatures below normal body temperature (98.6 F).  The exact temperature at which this occurs may vary from one person to another. When these proteins clump together in the bloodstream, they block the flow of blood to joints, muscles, and organs. Eventually, damage or inflammation of affected blood vessels (vasculitis) and surrounding tissue can develop. Cryoglobulinemia is classified as follows: Type I cryoglobulinemia (simple cryoglobulinemia), involves monoclonal immunoglobulin, usually immunoglobulin M (IgM) or, less frequently, immunoglobulin G (IgG), immunoglobulin A (IgA), or light chains. Types II and III cryoglobulinemia (mixed cryoglobulinemia) include rheumatoid factors (RFs) that are usually IgM and rarely IgG or IgA.  Type II involves monoclonal rheumatoid factors; type III involves polyclonal rheumatoid factors. Types II and III cryoglobulinemia represent 80% of all cryoglobulinemias.</t>
  </si>
  <si>
    <t>Immune complex-mediated systemic small-vessel vasculitis caused by cold-precipitable cryoglobulins (monoclonal or polyclonal IgM rheumatoid factor bound to polyclonal IgG), strongly linked to chronic hepatitis C infection, presenting with purpura, arthralgias, and glomerulonephritis. Chapter 72, pp. 1045–1058.</t>
  </si>
  <si>
    <t>IgG Fc region
Hepatitis C virus core protein</t>
  </si>
  <si>
    <t>Small-vessel endothelial cells (75%)
Circulating B lymphocytes / plasma cells (25%)</t>
  </si>
  <si>
    <t>• Cryoglobulins (monoclonal IgM with RF activity + polyclonal IgG)
• Rheumatoid factor (RF)</t>
  </si>
  <si>
    <t>• Clonal autoreactive B cells / plasma cells (rheumatoid factor IgM cryoglobulins)
• Autoreactive CD4+ T helper cells</t>
  </si>
  <si>
    <t>1. Chronic stimulation of B-cell clones (predominantly driven by chronic Hepatitis C virus infection or idiopathic clonal expansion).
2. Production of monoclonal IgM rheumatoid factors that bind the Fc portion of polyclonal IgG to form cryoprecipitable immune complexes.
3. Cold temperature promotes reversible precipitation of IgM-IgG cryoglobulins in cooler peripheral and visceral microvasculature.
4. Cryoglobulin complexes deposit in small vessel walls, binding endothelial cells and fixing classical complement (C1q, C3a, C5a).
5. Leukocytoclastic vasculitis, microvascular thrombosis, and ischemic necrosis cause palpable purpura, arthralgias, peripheral neuropathy, and membranoproliferative glomerulonephritis.</t>
  </si>
  <si>
    <t>• Meltzer's classic triad: palpable dependent purpura (90–95%), arthralgias (70–80%), and severe asthenia (70–80%)
• Distal sensory-motor peripheral polyneuropathy (50–60%)
• Raynaud's phenomenon and cold intolerance (30–45%)
• Membranoproliferative glomerulonephritis (proteinuria, hematuria) (30–40%)</t>
  </si>
  <si>
    <t>• Hepatitis C virus (HCV, &gt;80-90% of cases)
• Hepatitis B virus
• Epstein-Barr virus, HIV</t>
  </si>
  <si>
    <t>• Chronic viral hepatitis C infection
• Cold environmental temperatures (precipitates cryoglobulins)
• Alcohol consumption / liver cirrhosis</t>
  </si>
  <si>
    <t>• Sjogren's syndrome
• Systemic lupus erythematosus
• Rheumatoid arthritis</t>
  </si>
  <si>
    <t>• Southern Europe, Mediterranean basin (Southern Italy), East Asia</t>
  </si>
  <si>
    <t>• Direct-acting antivirals (DAAs) for HCV eradication
• Rituximab (anti-CD20, first-line for severe vasculitis)
• Systemic corticosteroids (pulse methylprednisolone)
• Plasmapheresis (for hyperviscosity / acute cryoglobulinemic flare)</t>
  </si>
  <si>
    <t xml:space="preserve">A rare autoimmune disorder that is a combination of two or more immune hematological disorders in which the immune system destroys the body's red blood cells, white blood cells and/or platelets. 
The disorder resembles a combination of autoimmune hemolytic anemia, thrombocytopenia (too few platelets), and/or neutropenia (too few neutrophils).
</t>
  </si>
  <si>
    <t>Although we can find a positive direct antiglobulin test (DAT), without hemolytic anemia, in approximately 20% of patients with ITP (Aledort et al., 2004), its clinical significance is unknown. Evans syndrome (ES) is an autoimmune disorder defined by the simultaneous or sequential development of ITP and autoimmune hemolytic anemia (AIHA) with a positive DAT and/or immune neutropenia in the absence of known underlying etiology (Evans et al., 1951). The development of the second cytopenia may occur months to years after the first immune cytopenia and may delay diagnosis of Evans syndrome (Mathew et al., 1997).</t>
  </si>
  <si>
    <t>Red blood cell membrane antigens
Platelet glycoproteins (GPIIb/IIIa, GPIb/IX)</t>
  </si>
  <si>
    <t>Mature erythrocytes (red blood cells) (50%)
Platelets / megakaryocytes (50%)</t>
  </si>
  <si>
    <t>• Anti-erythrocyte autoantibodies (warm IgG / direct Coombs)
• Anti-platelet autoantibodies (anti-GPIIb/IIIa)</t>
  </si>
  <si>
    <t>• Autoreactive B cells / plasma cells (anti-RBC and anti-platelet)
• Autoreactive CD4+ T helper cells
• Autoreactive CD8+ cytotoxic T cells</t>
  </si>
  <si>
    <t>1. Simultaneous or sequential breakdown of immune tolerance against both erythroid and megakaryocyte/platelet lineage autoantigens.
2. Clonal B cells produce warm IgG autoantibodies against red blood cells (Rh complex) and platelets (GPIIb/IIIa).
3. Concurrent opsonization of circulating erythrocytes and platelets with IgG and complement fragments.
4. Fcγ receptor-mediated phagocytosis and destruction by splenic and hepatic reticuloendothelial macrophages.
5. Severe, life-threatening combination of autoimmune hemolytic anemia (AIHA) and immune thrombocytopenia (ITP).</t>
  </si>
  <si>
    <t>• Concomitant or sequential autoimmune hemolytic anemia: pallor, jaundice, fatigue (95–100%)
• Immune thrombocytopenia: petechiae, ecchymoses, mucosal bleeding (95–100%)
• Splenomegaly on physical examination (40–50%)
• Autoimmune neutropenia (15–25%)</t>
  </si>
  <si>
    <t>1.0 cases per 300,000 to 500,000</t>
  </si>
  <si>
    <t>1.0 cases per 3,876 to 5,747</t>
  </si>
  <si>
    <t>• Cytomegalovirus, EBV
• Parvovirus B19, Hepatitis viruses
• Helicobacter pylori</t>
  </si>
  <si>
    <t>• Viral or bacterial infections
• Immunizations
• Medications (antibiotics)</t>
  </si>
  <si>
    <t>• Systemic lupus erythematosus
• Autoimmune lymphoproliferative syndrome (ALPS)
• Hashimoto's thyroiditis
• Sjogren's syndrome</t>
  </si>
  <si>
    <t>• Worldwide (rare, ~1-3 per million, higher in pediatric cohorts)</t>
  </si>
  <si>
    <t>• High-dose corticosteroids (prednisone 1-2 mg/kg/day)
• Intravenous immunoglobulin (IVIG)
• Rituximab (anti-CD20)
• Splenectomy or thrombopoietin receptor agonists (eltrombopag/romiplostim)
• Mycophenolate mofetil or cyclosporine</t>
  </si>
  <si>
    <t>Fasciitis with eosinophilia syndrome
Eosinophilic fasciitis
Pansclerotic morphea with deep fascial involvement
Shulman syndrome
Shulman's syndrome</t>
  </si>
  <si>
    <t>Eosinophilic fasciitis is a rare, scleroderma-like, autoimmune rheumatic disorder in which the skin and tissue (the fascia, fibrous tissue that separates different layers of tissues under the skin) that lies beneath the skin become painfully inflamed and swollen and gradually hardens. It affects the forearms, the upper arms, the lower legs, the thighs, and the trunk (in order of decreasing frequency). The disease is considered by some to be a deep variant of the skin condition morphea, and is also known as pansclerotic morphea with deep fascial involvement. Patients usually present suddenly with painful, tender, swollen and red extremities. Within weeks to months, patients develop stiffness and affected skin becomes hardened, creating a characteristic orange-peel appearance over the surfaces of the extremities. In severely affected areas, the skin and the subcutaneous tissue are bound tightly to the underlying muscle. This creates a woody-type appearance. The presentation of eosinophilic fasciitis is similar to scleroderma or systemic sclerosis. However unlike scleroderma it affects the fascia, not the skin (dermis). Unlike scleroderma and systemic sclerosis, effects such as Raynaud's phenomenon, which affects prominent small blood vessels in the extremities (telangiectasia), and visceral changes, such as swallowing problems, are absent. It was first characterized in 1974 and it is not yet known whether it is actually a distinct condition or just a different presentation of morphea.</t>
  </si>
  <si>
    <t>Eosinophilic fasciitis (Shulman disease); rare fibrosing disorder characterized by symmetrical painful induration and thickening of the skin and fascia with peripheral eosinophilia, related to localized scleroderma variants. Chapter 71, pp. 1025–1035.</t>
  </si>
  <si>
    <t>Deep fascial fibroblasts (80%)
Perifascial microvascular endothelial cells (20%)</t>
  </si>
  <si>
    <t>1. Strenuous physical exertion, microtrauma, or toxic/antigenic exposure triggers deep fascial immune hyperactivation.
2. Marked upregulation of IL-5, TGF-β, and eotaxin drives systemic and tissue eosinophilia alongside CD4+ T-cell activation.
3. Infiltration of the deep fascia, subcutis, and perimysium by eosinophils, lymphocytes, and histiocytes.
4. Eosinophil degranulation releases toxic cationic proteins, stimulating intense fibroblast collagen production.
5. Massive fibrotic thickening and sclerosis of the deep fascia cause characteristic symmetrical skin induration, "groove sign," and joint contractures.</t>
  </si>
  <si>
    <t>• Symmetrical painful swelling, induration, and 'woody' skin thickening of forearms/legs (90–100%)
• Strict sparing of hands, feet, and face (90–95%)
• 'Peau d'orange' skin appearance (60–70%)
• Pathognomonic 'groove sign' (depression along superficial veins on limb elevation) (50–65%)
• Flexion contractures of affected joints (elbows, knees, fingers) (50–60%)</t>
  </si>
  <si>
    <t>1.0 cases per 47,619 to 100,000</t>
  </si>
  <si>
    <t>• Borrelia burgdorferi (controversial link)
• Mycoplasma species</t>
  </si>
  <si>
    <t>• Strenuous physical exertion / intense athletic workouts
• Exposure to toxic chemicals (L-tryptophan contaminant historically)
• Trauma or orthopedic surgery
• Medications (statins, checkpoint inhibitors)</t>
  </si>
  <si>
    <t>• Hashimoto's thyroiditis
• Systemic sclerosis
• Sjogren's syndrome</t>
  </si>
  <si>
    <t>• Worldwide (rare, &lt;1,000 cases documented in literature)</t>
  </si>
  <si>
    <t>• High-dose oral systemic corticosteroids (prednisone 1 mg/kg/day, slow taper)
• Pulse IV methylprednisolone (for severe induration)
• Methotrexate (first-line steroid-sparing agent)
• Mycophenolate mofetil, cyclosporine, or rituximab</t>
  </si>
  <si>
    <t>Felty syndrome
FS
Felty's syndrome
Super rheumatoid disease</t>
  </si>
  <si>
    <t>Felty syndrome is a rare, potentially serious disorder which is characterized by the presence of three symptoms: rheumatoid arthritis, splenomegaly (enlarged spleen) and neutropenia (a decreased white cell count) which can lead to repeated infections.  It also associated with rheumatoid factor (RF) positive rheumatoid arthritis.</t>
  </si>
  <si>
    <t>Severe extra-articular manifestation of chronic rheumatoid arthritis characterized by the clinical triad of seropositive rheumatoid arthritis, splenomegaly, and severe neutropenia, mediated by antineutrophil antibodies and peripheral sequestration. Chapter 49, pp. 688–696; Chapter 60, pp. 880–892.</t>
  </si>
  <si>
    <t>Neutrophil antigens
Glucose-6-phosphate isomerase</t>
  </si>
  <si>
    <t>Mature peripheral neutrophils (80%)
Splenic reticuloendothelial macrophages (20%)</t>
  </si>
  <si>
    <t>• Rheumatoid factor (RF)
• Anti-CCP autoantibodies
• Anti-neutrophil cytoplasmic antibodies (ANCA)</t>
  </si>
  <si>
    <t>• Autoreactive CD4+ T helper cells
• Clonal large granular lymphocytes (CD8+ / LGL expansion)
• Autoreactive B cells / plasma cells (anti-CCP, RF, anti-neutrophil)</t>
  </si>
  <si>
    <t>1. Longstanding, severe seropositive rheumatoid arthritis with high titers of rheumatoid factor (RF) and anti-CCP antibodies.
2. Clonal proliferation of large granular lymphocytes (CD3+/CD8+ or CD57+ T-LGLs) and production of antineutrophil antibodies.
3. Deposition of immune complexes and autoantibody opsonization of peripheral neutrophils.
4. Accelerated splenic sequestration and destruction of neutrophils combined with bone marrow granulopoiesis suppression via excess IFN-γ and Fas/FasL signaling.
5. Triad of deforming rheumatoid arthritis, marked splenomegaly, and severe neutropenia leading to serious recurrent bacterial infections.</t>
  </si>
  <si>
    <t>• Severe, long-standing, deforming, seropositive rheumatoid arthritis (100%)
• Absolute profound neutropenia (ANC &lt;2,000/μL) (95–100%)
• Persistent splenomegaly (80–90%)
• Recurrent, severe bacterial infections (pulmonary, skin, systemic) (50–65%)
• Lower extremity hyperpigmentation and chronic leg ulcers (30–40%)</t>
  </si>
  <si>
    <t>• Epstein-Barr virus (EBV)
• Retroviruses, Parvovirus B19</t>
  </si>
  <si>
    <t>• Long-standing active erosive rheumatoid arthritis
• HLA-DR4 genotype
• Smoking</t>
  </si>
  <si>
    <t>• Rheumatoid arthritis (obligatory component)
• Sjogren's syndrome
• Autoimmune thyroiditis</t>
  </si>
  <si>
    <t>• Worldwide (&lt;1% of patients with long-standing rheumatoid arthritis)</t>
  </si>
  <si>
    <t>• Disease-modifying antirheumatic drugs: Methotrexate (first-line)
• Biologics: Rituximab (anti-CD20, highly effective for neutropenia)
• Granulocyte colony-stimulating factor (G-CSF) for severe neutropenia/sepsis
• Splenectomy (for refractory severe neutropenia)
• Systemic corticosteroids (for acute flares)</t>
  </si>
  <si>
    <t>Infertility due to antisperm antibodies
Female infertility due to antisperm antibodies</t>
  </si>
  <si>
    <t xml:space="preserve">Anti-sperm antibodies (ASA) is a lab measurement, not a disease, but a high level of ASA may point to an autoimmune condition.
In women, ASA is an allergic response that can be an immunologic cause of infertility. 
ASA is not a concern except for people trying to conceive. </t>
  </si>
  <si>
    <t>Immune-mediated reproductive impairment in females caused by circulating or local antisperm antibodies in cervical mucus or oviductal fluid that agglutinate, immobilize, or impair the fertilizing capacity of spermatozoa. Chapter 68, pp. 995–1005.</t>
  </si>
  <si>
    <t>Sperm surface antigens (SP-10, YLP-12, Izumo1)</t>
  </si>
  <si>
    <t>Spermatozoa (sperm cells) (100%)</t>
  </si>
  <si>
    <t>• Antisperm antibodies (ASA)</t>
  </si>
  <si>
    <t>• Antisperm-reactive B cells / plasma cells
• Antisperm-reactive CD4+ T helper cells</t>
  </si>
  <si>
    <t>1. Disruption of mucosal immune tolerance in the female reproductive tract following trauma, infection, or semen exposure.
2. Local mucosal and systemic B cells produce antisperm antibodies (ASAs) of IgG and IgA classes targeting sperm surface antigens (SP-10, Izumo1).
3. Secretion of ASAs into cervical mucus, uterine lumen, and follicular/fallopian fluid.
4. ASAs bind to motile spermatozoa, agglutinating them, immobilizing them, or activating complement-mediated sperm lysis.
5. Impaired sperm cervical mucus penetration, blocked capacitation, and prevention of sperm-oocyte membrane fusion cause fertilization failure.</t>
  </si>
  <si>
    <t>• Unexplained primary or secondary infertility despite regular intercourse (95–100%)
• Severely abnormal post-coital test (poor sperm motility and survival in cervical mucus) (75–85%)
• Impaired sperm-egg binding and fertilization failure during IVF (60–75%)</t>
  </si>
  <si>
    <t>1.0 cases per 100 to 500</t>
  </si>
  <si>
    <t>• Chlamydia trachomatis
• Neisseria gonorrhoeae
• Ureaplasma urealyticum, Mycoplasma</t>
  </si>
  <si>
    <t>• Mucosal injury / pelvic inflammatory disease
• Ingestion/contact during intercourse without barrier
• Surgical intervention to reproductive tract</t>
  </si>
  <si>
    <t>• Hashimoto's thyroiditis
• Systemic lupus erythematosus
• Antiphospholipid syndrome</t>
  </si>
  <si>
    <t>• Worldwide (found in ~5-15% of couples with unexplained infertility)</t>
  </si>
  <si>
    <t>• Intrauterine insemination (IUI) with sperm washing
• In vitro fertilization (IVF) with intracytoplasmic sperm injection (ICSI)
• Short-course oral corticosteroids (prednisone, controversial efficacy)
• Antioxidants (vitamin C, vitamin E)</t>
  </si>
  <si>
    <t>Fibromyalgia
Fibromyalgia Syndrome</t>
  </si>
  <si>
    <t>Fibromyalgia is a disorder that is characterized by chronic pain and fatigue. The cause of fibromyalgia is unknown. Fibromyalgia may be accompanied by headaches, migraines, digestive problems, sensitivity to light or noise, sleep disturbances, temporomandibular joint (TMJ) dysfunction, anxiety, and depression. While fibromyalgia is mainly characterized by widespread chronic pain it does not mean that everyone who has chronic pain has fibromyalgia. There is no biomarker for fibromyalgia however lab tests or x-rays can help rule out other conditions. Fibromyalgia follows a pattern seen in many suspected (and in some cases, later confirmed) autoimmune diseases - it mostly affects women, is marked by flares, and has no other known cause. A study of mice recently reported the transference of fibromyalgia symptoms to mice using antibodies, which increases the probability that the disease is autoimmune.  If this research is validated (reproduced) it could establish fibromyalgia as an autoimmune disease.</t>
  </si>
  <si>
    <t>Chronic non-inflammatory pain syndrome characterized by widespread musculoskeletal pain, fatigue, and cognitive disturbance, classified as a central pain sensitization disorder without diagnostic autoantibodies or autoimmune tissue pathology. Chapter 60, pp. 880–890.</t>
  </si>
  <si>
    <t>Peripheral unmyelinated C-fibers (60%)
Central dorsal horn sensory interneurons (40%)
(Unspecified quantitative percentage in literature)</t>
  </si>
  <si>
    <t>1. Genetic susceptibility (serotonergic/catecholaminergic gene polymorphisms) and environmental stressors, trauma, or infections.
2. Aberrant central pain processing characterized by dorsal horn wind-up, reduced descending inhibitory pathways, and central sensitization.
3. Low-grade systemic and neurogenic inflammation with elevated CSF substance P, nerve growth factor, and microglial activation.
4. Peripheral small-fiber pathology, reducing intraepidermal nerve fiber density in a subset of patients.
5. Widespread chronic musculoskeletal allodynia, hyperalgesia, profound fatigue, cognitive dysfunction, and non-restorative sleep.</t>
  </si>
  <si>
    <t>• Chronic, generalized widespread musculoskeletal pain &gt;3 months (95–100%)
• Multiple specific anatomically defined tender points on palpation (80–90%)
• Persistent non-restorative sleep with morning stiffness (80–90%)
• Severe fatigue and cognitive dysfunction / 'fibro fog' (70–85%)
• Somatosensory amplification and headache/IBS symptoms (50–65%)</t>
  </si>
  <si>
    <t>1.0 cases per 25 to 50</t>
  </si>
  <si>
    <t>1.0 cases per 48 to 70</t>
  </si>
  <si>
    <t>• Epstein-Barr virus
• Parvovirus B19, Enteroviruses
• Hepatitis C virus, Borrelia burgdorferi</t>
  </si>
  <si>
    <t>• Physical or psychological trauma / major surgery
• Chronic sleep deprivation and emotional stress
• Repetitive strain / viral illness prodromes</t>
  </si>
  <si>
    <t>• Rheumatoid arthritis
• Systemic lupus erythematosus
• Hashimoto's thyroiditis
• Sjogren's syndrome
• Irritable bowel syndrome</t>
  </si>
  <si>
    <t>• Worldwide (2-4% of general population, 80-90% female)</t>
  </si>
  <si>
    <t>• FDA-approved pharmacotherapies: Duloxetine, Milnacipran (SNRIs), Pregabalin
• Low-impact aerobic exercise (walking, swimming, aquatic therapy)
• Cognitive behavioral therapy (CBT) and sleep hygiene
• Cyclobenzaprine / amitriptyline (for nocturnal pain/sleep)</t>
  </si>
  <si>
    <t>Thyrotoxicosis
Thyrotoxicosis due to Graves' disease
Graves' disease
Autoimmune hyperthyroidism
Basedow disease
Exophthalmic goiter
Graves' hyperthyroidism
Parry disease
Toxic diffuse goiter</t>
  </si>
  <si>
    <t>Graves' disease is an autoimmune thyroid disorder that affects the thyroid gland.  The thyroid is responsible for producing hormones that regulate processes involved with energy storage and consumption (metabolism), including maintenance of weight, breathing, heart rate, and temperature. In Graves' disease, antibodies cause the thyroid to enlarge and to produce hormones, even when the body doesn't need them.  Excessive thyroid hormone production disrupts the regulation of metabolism.  The heart, skin, muscles, eyes, and other organs can be affected.  Patients often experience loss of weight, tiredness, and heat sensitivity.  Some patients develop Graves' ophthalmopathy, a subtype of Graves' disease characterized by protruding eyes. The cause of the disease is uncertain, but risk may increase with excessive stress, certain genes, infection, pregnancy, other autoimmune disorders, and smoking.  Graves' disease is more common in females than in males.  Graves' disease is a chronic condition with no cure, but symptoms are manageable through medication and surgery.</t>
  </si>
  <si>
    <t>Organ-specific autoimmune hyperthyroidism caused by stimulating autoantibodies directed against the thyroid-stimulating hormone receptor (TSHR), leading to continuous thyroid hormone overproduction, diffuse goiter, and extrathyroidal manifestations. Chapter 40, pp. 555–568.</t>
  </si>
  <si>
    <r>
      <rPr>
        <rFont val="Calibri"/>
        <color rgb="FF0000FF"/>
        <sz val="69.0"/>
      </rPr>
      <t>Glands - Thyroid Cells (Folicular cell/Tyrocites), Fibroblastic Cells (Fibrocytes CD34+ and Fibroblasts CD34+ only present in Thyroid, Periorbital)</t>
    </r>
    <r>
      <rPr>
        <rFont val="Calibri"/>
        <color theme="1"/>
        <sz val="69.0"/>
      </rPr>
      <t xml:space="preserve">
</t>
    </r>
    <r>
      <rPr>
        <rFont val="Calibri"/>
        <color rgb="FF9900FF"/>
        <sz val="69.0"/>
      </rPr>
      <t xml:space="preserve"> Early phase: First Year</t>
    </r>
    <r>
      <rPr>
        <rFont val="Calibri"/>
        <color theme="1"/>
        <sz val="69.0"/>
      </rPr>
      <t xml:space="preserve"> anti-TSHR antibodies -&gt; thyroid [</t>
    </r>
    <r>
      <rPr>
        <rFont val="Calibri"/>
        <color rgb="FFFF0000"/>
        <sz val="69.0"/>
      </rPr>
      <t>100%</t>
    </r>
    <r>
      <rPr>
        <rFont val="Calibri"/>
        <color theme="1"/>
        <sz val="69.0"/>
      </rPr>
      <t>]</t>
    </r>
    <r>
      <rPr>
        <rFont val="Calibri"/>
        <color rgb="FF274E13"/>
        <sz val="69.0"/>
      </rPr>
      <t xml:space="preserve"> </t>
    </r>
    <r>
      <rPr>
        <rFont val="Calibri"/>
        <color rgb="FF38761D"/>
        <sz val="69.0"/>
      </rPr>
      <t>{T3/T4 production}</t>
    </r>
    <r>
      <rPr>
        <rFont val="Calibri"/>
        <color theme="1"/>
        <sz val="69.0"/>
      </rPr>
      <t xml:space="preserve"> + periorbital tissues (oribtal fat and extraorbital muscles) </t>
    </r>
    <r>
      <rPr>
        <rFont val="Calibri"/>
        <color rgb="FF38761D"/>
        <sz val="69.0"/>
      </rPr>
      <t>{Hyaluronan production by fibroblasts/IGF1 receptor activation}</t>
    </r>
    <r>
      <rPr>
        <rFont val="Calibri"/>
        <color theme="1"/>
        <sz val="69.0"/>
      </rPr>
      <t xml:space="preserve">  [</t>
    </r>
    <r>
      <rPr>
        <rFont val="Calibri"/>
        <color rgb="FFFF0000"/>
        <sz val="69.0"/>
      </rPr>
      <t>37%</t>
    </r>
    <r>
      <rPr>
        <rFont val="Calibri"/>
        <color theme="1"/>
        <sz val="69.0"/>
      </rPr>
      <t xml:space="preserve">] →  
</t>
    </r>
    <r>
      <rPr>
        <rFont val="Calibri"/>
        <color rgb="FF9900FF"/>
        <sz val="69.0"/>
      </rPr>
      <t>Late phase: After First Year</t>
    </r>
    <r>
      <rPr>
        <rFont val="Calibri"/>
        <color theme="1"/>
        <sz val="69.0"/>
      </rPr>
      <t xml:space="preserve"> anti-TSHR antibodies -&gt;dermis fibroblasts [</t>
    </r>
    <r>
      <rPr>
        <rFont val="Calibri"/>
        <color rgb="FFFF0000"/>
        <sz val="69.0"/>
      </rPr>
      <t>2% - associated with very high antibody titers</t>
    </r>
    <r>
      <rPr>
        <rFont val="Calibri"/>
        <color theme="1"/>
        <sz val="69.0"/>
      </rPr>
      <t>] (dermopathy/myxedema mainly pretibial ) 
 acropachy [</t>
    </r>
    <r>
      <rPr>
        <rFont val="Calibri"/>
        <color rgb="FFFF0000"/>
        <sz val="69.0"/>
      </rPr>
      <t>0.3% associated with very high antibody titers</t>
    </r>
    <r>
      <rPr>
        <rFont val="Calibri"/>
        <color theme="1"/>
        <sz val="69.0"/>
      </rPr>
      <t xml:space="preserve">] (periosteum fibroblasts in fingers &amp; toes - reason for localization on extremities unknown ) 
</t>
    </r>
    <r>
      <rPr>
        <rFont val="Calibri"/>
        <color rgb="FFFF9900"/>
        <sz val="69.0"/>
      </rPr>
      <t>*When TSH (or stimulating antibodies) activates TSHR, it upregulates hyaluronan synthase (HAS1 and HAS2) genes
TSHR activation also promotes PI3K/AKT/mTOR pathway → promotes adipogenesis (fibroblasts turning into fat cells) and cell survival which further expands tissue volume.
MAPK/ERK pathway → increases production of inflammatory cytokines and hyaluronic acid (hyaluronan).
*There is some debate about whether true anti-IGF-1R autoantibodies also exist, but complex formation between both receptors through a mechanism via TSH receptor stimulation is the accepted mechanism</t>
    </r>
  </si>
  <si>
    <t>Thyrotropin receptor (TSHR)</t>
  </si>
  <si>
    <t>Thyroid follicular epithelial cells (thyrocytes) (85%)
Orbital retro-ocular fibroblasts / adipocytes (15%)</t>
  </si>
  <si>
    <t>• Autoreactive CD4+ Th2 / Th1 cells (TSHR-specific)
• Autoreactive B cells / plasma cells (producing TRAb / TSI)
• Autoreactive CD8+ cytotoxic T cells</t>
  </si>
  <si>
    <t>1. Genetic risk (HLA-DR3, CTLA4, PTPN22) and environmental factors (iodine, stress, smoking) break tolerance against the thyroid-stimulating hormone receptor (TSHR).
2. Autoreactive CD4+ T cells stimulate B cells to produce thyroid-stimulating immunoglobulin (TSI / TRAb) autoantibodies.
3. TSI binds the TSHR on thyroid follicular cells, mimicking TSH and constitutively activating the Gsα-adenylyl cyclase-cAMP signaling pathway.
4. Unchecked stimulation induces follicular cell hypertrophy, hyperplasia, vascular proliferation, and excessive secretion of T3 and T4 hormones.
5. Hyperthyroidism, diffuse goiter, pretibial myxedema, and TSHR-mediated orbital fibroblast activation produce Graves' ophthalmopathy.</t>
  </si>
  <si>
    <t xml:space="preserve">Professional APCs (mainly DCs and B cells) take up TSHR protein (or shed A-subunit), process it into peptides, and present them on MHC class II to autoreactive CD4+ T helper cells (especially Th2 and Tfh cells).
Activated T cells then provide help to B cells → production of stimulating TRAb.
Thyrocytes abnormally express MHC class II (HLA-DR) on their surface, induced by local cytokines (especially IFN-γ).
This allows them to directly present TSHR peptides (and other thyroid antigens like TPO or Tg) to CD4+ T cells, acting like APCs and perpetuating the autoimmune response (the so-called "Bottazzo hypothesis").
In extrathyroidal tissues (orbit, skin), fibroblasts may indirectly interact with APCs via local inflammation, but the primary antigen presentation for TRAb production occurs in the thyroid or lymphoid tis
Intrathyroidal dendritic cells are present in the thyroid infiltrate and adhere closely to thyrocytes. They efficiently process and present TSHR peptides (especially the A-subunit) on MHC class II molecules to naïve CD4+ T cells.
Injecting TSHR-loaded or adenovirus-infected dendritic cells into mice reliably induces Graves'-like hyperthyroidism and TSHR antibodies.
They process TSHR and present peptides to CD4+ helper T cells via MHC class II, which in turn helps B cells differentiate into plasma cells that produce stimulating TSHR antibodies (TRAb/TSI).
B cells are abundant in the thyroid infiltrate of some GD patients and contribute to local antigen presentation and antibody production
Some studies show TSHR expression on macrophages themselves (especially in the thymus), which may influence central tolerance
</t>
  </si>
  <si>
    <t>• Symptoms of hyperthyroidism: heat intolerance, palpitations, weight loss, tremor (85–95%)
• Smooth, diffusely enlarged goiter with systolic thrill or bruit (70–80%)
• Graves' orbitopathy: proptosis, lid retraction, periorbital edema (40–50%)
• Pretibial myxedema / thyroid dermopathy (3–5%)
• Thyroid acropachy / digital clubbing (&lt;1%)</t>
  </si>
  <si>
    <t>1.0 cases per 159</t>
  </si>
  <si>
    <t>• Yersinia enterocolitica (thyrotropin receptor mimicry)
• Helicobacter pylori
• Hepatitis C virus, EBV</t>
  </si>
  <si>
    <t>• High dietary iodine intake
• Psychological stress / major life events
• Cigarette smoking (strongly promotes Graves' orbitopathy)
• Postpartum period</t>
  </si>
  <si>
    <t>• Hashimoto's thyroiditis
• Type 1 diabetes
• Vitiligo
• Celiac disease
• Pernicious anemia
• Myasthenia gravis</t>
  </si>
  <si>
    <t>• Worldwide (0.5-2% of population, high in iodine-sufficient countries)</t>
  </si>
  <si>
    <t>• Antithyroid drugs (Methimazole, Propylthiouracil)
• Radioactive iodine (I-131) ablation
• Total thyroidectomy
• Beta-blockers (propranolol, atenolol for adrenergic symptoms)
• Teprotumumab (anti-IGF-1R) for thyroid eye disease</t>
  </si>
  <si>
    <t>MFS
Fisher syndrome
Miller-Fisher syndrome
Miller Fisher syndrome
Guillain-Barré syndrome
Guillain-Barre Syndrome
GBS
Acute motor axonal neuropathy
Axonal Guillain-Barré syndrome
Progressive inflammatory neuropathy</t>
  </si>
  <si>
    <t>Guillain–Barré syndrome (GBS) is a rare autoimmune disorder in which  the immune system attacks and damages the protective covering (myelin) of the nerves in the peripheral nervous system.  Damage to the myelin hinders communication between the brain and the body, leading to muscle weakness or tingling sensations in the arms and legs. The cause of GBS is unknown but may be associated with a viral or bacterial infection, injury, or surgery.  There are 6 types of GBS:
Acute inflammatory demyelinating polyneuropathy is the most prevalently diagnosed form of GBS in the US and is often associated with a prior infection.  This type leads to damage to the nerve myelin, but prognosis is good and full recovery is expected.
Acute motor axonal neuropathy is associated with a prior infection causing diarrhea and is most common in children.  This type primarily leads to weakness, which impairs movement and breathing and may lead to respiratory failure if untreated.  Patients receiving medical attention are expected to recover.
Acute motor-sensory axonal neuropathy is associated with prior infection causing diarrhea and has a sudden, intense onset.  This type is most prevalent in adults.  In addition to severe muscle weakness, patients also experience impairments in the senses.  Prognosis is poor.
Miller-Fisher syndrome is rare and results in difficulties with coordination, loss of reflexes, and paralysis around the eyes, along with impairments in the senses.  Recovery is expected in 1 to 3 months.
Acute panautonomic neuropathy is very rare and impairs both voluntary and involuntary body functions, including drops in blood pressure when standing, incontinence, lack of sweating, dry eyes and mouth, and impaired pupil function.  Many patients experience heart problems, which can be fatal.  Patients may improve, but slowly and incompletely.
Pure sensory GBS causes the sudden appearance of impairments in the senses and loss of reflexes caused by damage to the myelin.  Recovery is expected.
Acute motor axonal neuropathy (AMAN) is an acute, rare, and variant form of Guillain–Barré syndrome. Guillain–Barré syndrome (GBS) can be divided into demyelinating and axonal subtypes. The axonal subtype is referred to as AMAN. AMAN is characterized pathologically by motor nerve fiber degeneration of variable severity and by sparing of sensory fibers. Therefore, it is a rapid onset of muscle weakness and loss of reflexes. There is little demyelination or lymphocytic inflammation involved. Potential pathophysiological reasons for this paradox may involve axonal conduction failure triggered by antibody assault without actual axonal loss, and axonal abnormalities restricted to the nerve terminal area.</t>
  </si>
  <si>
    <t>Antibodies to ganglioside species are found in the serum of patients with GBS (both AMAN and AIDP). They are polyclonal, predominantly IgG, and generally complement-fixing IgG1 and IgG3 (Willison and Veitch, 1994; Ogino et al., 1995; Yuki et al., 1995; Ho et al., 1999). This implies class-switching usually with T cell help, both atypical of human anti-carbohydrate responses (see below). Antibodies to single gangliosides GM1, GM1(NeuGc), GM1b, GalNAc-GM1b, GD1a, GalNAc-GD1a, GD1b, 9-0-acetyl GD1b, GD3, GT1b, GQ1b, GQ1bα, LM1, galactocerebroside, and SGPG have been reported in more than 200 papers on inflammatory neuropathies (Willison and Yuki, 2002). Clinico-serological correlations between GBS subtypes and serum antibodies to putative ganglioside antigens have been drawn (Ho et al., 1999; Ogawara et al., 2000; Rees et al., 1995a). Antibodies to gangliosides GM1 and GD1a, implicated as the major target antigens in AMAN (Hadden et al., 1998; Ho et al., 1999), can be detected in 50–60% of AMAN patients in the Far East (Ho et al., 1999; Ogawara et al., 2000). Antibodies to GalNAc-GD1a and GM1b are found in motor predominant GBS in about 10–15% of cases (Ang et al., 1999; Yuki et al., 2000). Anti-GQ1b antibodies, frequently cross-reactive with structurally related gangliosides, are present in 80–90% of patients with FS (Willison et al., 1993; Yuki et al., 1993; Carpo et al., 1998). This correlation provides the strongest association between antibodies to a specific ganglioside and a clinical phenotype.
AMAN and FS fulfill some of the Koch–Witebsky postulates supporting autoantibody as pathogenic (Witebsky et al., 1957; Rose and Bona, 1993).</t>
  </si>
  <si>
    <t>GM1
GD1a
GQ1b gangliosides</t>
  </si>
  <si>
    <t>Peripheral nerve myelinating Schwann cells (70%)
Peripheral motor and sensory axolemma (30%)</t>
  </si>
  <si>
    <t>Anti MOG</t>
  </si>
  <si>
    <t>• Autoreactive CD4+ Th1 / Th17 cells
• Autoreactive B cells / plasma cells (anti-ganglioside: GM1, GD1a, GQ1b)
• Autoreactive CD8+ cytotoxic T cells</t>
  </si>
  <si>
    <t>1. Preceding gastrointestinal or respiratory infection (Campylobacter jejuni, CMV, EBV) with microbial antigens displaying ganglioside-like epitopes.
2. Molecular mimicry drives synthesis of high-affinity IgG autoantibodies against peripheral nerve gangliosides (GM1, GD1a, GQ1b).
3. Autoantibodies penetrate the permeable blood-nerve barrier at nerve roots and distal terminals.
4. Complement activation (C3b, C5b-9) and macrophage recruitment promote complement-mediated lysis or macrophage invasion of Schwann cells and axolemma.
5. Acute demyelination or axonal degeneration produces rapidly ascending flaccid paralysis, areflexia, and respiratory failure.</t>
  </si>
  <si>
    <t>• Acute, progressive, symmetrical ascending flaccid motor weakness (90–95%)
• Generalized hypo- or areflexia in affected extremities (90–95%)
• Distal sensory paresthesias, numbness, or pain (70–80%)
• Bilateral facial palsy / cranial nerve involvement (50–60%)
• Autonomic cardiovascular instability (40–50%)
• Neuromuscular respiratory failure requiring mechanical ventilation (20–30%)</t>
  </si>
  <si>
    <t>1.0 cases per 37,594 to 161,290
1.0 cases per 249,377 to 1,075,269</t>
  </si>
  <si>
    <t>• Campylobacter jejuni (GM1/GD1a ganglioside mimicry)
• Cytomegalovirus, EBV, Zika virus
• SARS-CoV-2, Haemophilus influenzae</t>
  </si>
  <si>
    <t>• Preceding acute diarrheal or upper respiratory illness (1-3 weeks prior)
• Vaccinations (extremely low excess risk)
• Surgical procedures / trauma</t>
  </si>
  <si>
    <t>• Hashimoto's thyroiditis
• Systemic lupus erythematosus
• Sjogren's syndrome</t>
  </si>
  <si>
    <t>• Worldwide (1-2 cases per 100,000 annually; slightly higher in males)</t>
  </si>
  <si>
    <t>• Intravenous immunoglobulin (IVIG, 2 g/kg total over 5 days)
• Plasma exchange (PLEX, 5 sessions over 10-14 days)
• Intensive supportive care / mechanical ventilation for respiratory failure
• Physical and occupational rehabilitation (steroids are NOT effective)</t>
  </si>
  <si>
    <t>Herpes gestationis
PG
Gestational pemphigoid
Pemphigoid gestationis</t>
  </si>
  <si>
    <t>This disease is a rare autoimmune disease that affects the skin of pregnant women. Patients experience a rash accompanied by blisters and extreme itching on the abdomen or limbs, which may spread elsewhere. Onset is sudden, often occurring during the second and third trimester.  It is common for the condition to go into remission at the end of pregnancy and then to relapse during birth. Most patients experience full recovery within 6 months of giving birth, though some have reported that symptoms may last for years. The condition is uncomfortable but does not put the patient at risk.  Treatments are available to manage symptoms as needed.</t>
  </si>
  <si>
    <t>The HG factor was found to be a complement fixing autoantibody against the BP180 antigen (Jordon et al., 1976; Katz et al., 1976; Morrison et al., 1988; Giudice et al., 1993). This autoantibody is predominantly IgG1 and recognizes the same epitope (within the BP180 NC16A domain) as do BP autoantibodies. BP180-specific T cells also recognize the BP180 NC16A and express a CD4+ Th1 memory phenotype (Lin et al., 1999). Like BP, HG is also associated with DQB1*0301. The mechanism of autoimmunity in HG and the role of pregnancy are not fully understood.</t>
  </si>
  <si>
    <t>BP180 (type XVII collagen, NC16A domain)</t>
  </si>
  <si>
    <t>Epidermal basal keratinocytes (80%)
Amniotic epithelial cells (20%)</t>
  </si>
  <si>
    <t>• Anti-BP180 (type XVII collagen, NC16A) IgG autoantibodies</t>
  </si>
  <si>
    <t>• Autoreactive CD4+ Th2 cells (BP180 NC16A-specific)
• Autoreactive B cells / plasma cells (anti-BP180)</t>
  </si>
  <si>
    <t>1. Paternal MHC Class II antigen expression on the placenta during pregnancy triggers maternal alloimmune/autoimmune cross-reactivity.
2. Synthesis of high-affinity maternal IgG1 autoantibodies ("HG factor") specifically targeting the NC16A domain of BP180 (collagen XVII).
3. Cross-reactive autoantibodies bind BP180 in the basement membrane zone of maternal skin and chorionic epithelium.
4. Classical complement pathway activation (avid C3 fixation) recruits and degranulates dermal eosinophils.
5. Proteolytic cleavage of hemidesmosomes causes dermo-epidermal separation, producing intensely pruritic periumbilical urticarial papules and tense blisters.</t>
  </si>
  <si>
    <t>• Severe, unremitting pruritus erupting during 2nd/3rd trimester or postpartum (95–100%)
• Urticarial papules and plaques originating in the periumbilical region (85–95%)
• Sparing of the mucous membranes (80–90%)
• Progression to tense vesicles and bullae with annular configuration (75–85%)</t>
  </si>
  <si>
    <t>1.0 cases per 50,000</t>
  </si>
  <si>
    <t>Rare</t>
  </si>
  <si>
    <t>• Paternal HLA antigens (alloimmune trigger)
• Rare viral triggers</t>
  </si>
  <si>
    <t>• Pregnancy (typically 2nd-3rd trimester)
• Immediate postpartum period
• Oral contraceptive use or trophoblastic tumors</t>
  </si>
  <si>
    <t>• Graves' disease
• Hashimoto's thyroiditis
• Vitiligo
• Alopecia areata</t>
  </si>
  <si>
    <t>• Worldwide (rare, ~1 in 50,000 pregnancies)</t>
  </si>
  <si>
    <t>• High-potency topical corticosteroids (triamcinolone, clobetasol)
• Oral systemic corticosteroids (prednisone 0.5-1 mg/kg/day, tapered post-delivery)
• Oral antihistamines (cetirizine, diphenhydramine) for pruritus
• IVIG or plasmapheresis for severe, refractory presentations</t>
  </si>
  <si>
    <t>Hidradenitis suppurativa
Acne inversa
Suppurative hidradenitis</t>
  </si>
  <si>
    <t>Hidradenitis suppurativa (HS) is a chronic condition featuring painful boil-like lumps (called abscesses) that develop under the skin when hair follicles become blocked and inflamed. The lumps can break open and leak pus and blood. They can leave thick scars and tunnels (called sinus tracts) under the skin. The lumps are usually found in the armpit or groin areas, but they can occur any place where hair grows or where skin rubs together (such as between the thighs or under the breasts). Some people only have mild or moderate cases of hidradenitis suppurativa. For others, the symptoms can be severe, affecting multiple areas of their bodies and leading to scarring and pain that can make it difficult to move. There are indications that HS is an autoimmune disease, but to date, no conclusive evidence has been published.</t>
  </si>
  <si>
    <t>No mention - Several autoimmune conditions have been shown to be associated with HS including inflammatory bowel disease and spondyloarthropathies.  Ben David 2018 - https://www.ncbi.nlm.nih.gov/pmc/articles/PMC5895357/</t>
  </si>
  <si>
    <t>Follicular infundibular and apocrine gland keratinocytes (80%)
Sebaceous duct epithelial cells (20%)</t>
  </si>
  <si>
    <t>1. Genetic variants (γ-secretase pathway: NCSTN, PSENEN) and environmental factors (friction, smoking, obesity) induce follicular infundibular hyperkeratosis.
2. Occlusion of the terminal hair follicle in intertriginous apocrine gland-rich body regions.
3. Bacterial colonization and trapped debris trigger follicular rupture, releasing keratin and DAMPs into the surrounding dermis.
4. Massive innate immune activation with recruitment of neutrophils, macrophages, and Th17 cells releasing IL-1β, TNF-α, and IL-17.
5. Chronic recurrent abscesses, painful inflammatory nodules, dermal sinus tracts, and extensive scarring.</t>
  </si>
  <si>
    <t>• Painful, deep inflammatory nodules, abscesses, and draining sinus tracts (95–100%)
• Intertriginous anatomical distribution: axillae, inguinal folds, perineum, submammary (90–95%)
• 'Tombstone' open double-ended comedones and hypertrophic rope-like scars (70–85%)
• Chronic, foul-smelling purulent or serosanguinous drainage (70–80%)</t>
  </si>
  <si>
    <t>1.0 cases per 119 to 189</t>
  </si>
  <si>
    <t>• Staphylococcus aureus
• Cutibacterium acnes, Coagulase-negative Staph</t>
  </si>
  <si>
    <t>• Cigarette smoking (major contributor)
• Obesity and mechanical friction / shear
• Hormonal fluctuations (post-pubertal)</t>
  </si>
  <si>
    <t>• Crohn's disease / Ulcerative colitis
• Spondylarthritis
• Pyoderma gangrenosum
• Down syndrome</t>
  </si>
  <si>
    <t>• Worldwide (prevalence ~1%, higher in females and African descent)</t>
  </si>
  <si>
    <t>• Topical / oral antibiotics (clindamycin, rifampin, doxycycline)
• Anti-TNF biologics (adalimumab, secukinumab)
• Hormonal antiandrogens (spironolactone)
• Surgical de-roofing or wide local excision</t>
  </si>
  <si>
    <t>Hypersensitivity angiitis
LCV
Cutaneous Leukocytoclastic vasculitis
Hypersensitivity Vasculitis
Leucocytoclastic vasculitis</t>
  </si>
  <si>
    <t>Hypersensitivity angiitis, also known as leukocytoclastic vasculitis, is an inflammation of the small blood vessels in your skin. This occurs when neutrophils (a type of immune cell) enter the walls of small blood vessels where they disintegrate, leaving behind fragments. It may be triggered by a variety of different factors; however, approximately half of the cases are idiopathic (i.e. have unknown cause). Some triggers include infections, certain drugs, collagen vascular disease, autoimmune disease, or neoplastic disease.  Drugs and infections are the most common triggers. Symptoms of the skin usually develop about a week after the triggering event. Approximately 90% of patients will have spontaneous healing of skin lesions within weeks to months, and about 10% will have chronic or recurrent disease. Henoch-Schonlein purpura is a subtype of leukoclastic vasculitis that affects children and is usually triggered by an upper respiratory infection.</t>
  </si>
  <si>
    <t>Historically classified small-vessel leukocytoclastic vasculitis primarily affecting post-capillary venules in the skin and viscera, driven by immune complex deposition following exposure to foreign drugs, proteins, or pathogens. Chapter 72, pp. 1045–1052.</t>
  </si>
  <si>
    <t>Postcapillary venular endothelial cells (85%)
Perivascular dermal pericytes (15%)</t>
  </si>
  <si>
    <t>1. Exposure to an inciting antigen (drugs, infections, chemicals) induces synthesis of circulating IgG or IgM antibodies.
2. Antigen-antibody interaction forms soluble immune complexes that deposit within postcapillary venule walls in dependent areas.
3. Immune complexes bind Fc receptors and fix complement, generating potent chemoattractants C3a and C5a.
4. Influx and activation of polymorphonuclear neutrophils, which degranulate and release reactive oxygen species and lysosomal proteases.
5. Neutrophil nuclear fragmentation (leukocytoclasia), fibrinoid necrosis of postcapillary venules, and red blood cell extravasation cause palpable purpura.</t>
  </si>
  <si>
    <t>• Sudden eruption of palpable, non-blanching purpura on dependent lower limbs (85–95%)
• Temporal association with offending medication, infection, or allergen (80–90%)
• Accompanying low-grade fever, arthralgias, and myalgias (40–55%)
• Polymorphic lesions: petechiae, urticaria, hemorrhagic bullae, ulcers (40–50%)</t>
  </si>
  <si>
    <t>1.0 cases per 30,000 to 100,000</t>
  </si>
  <si>
    <t>• Hepatitis B, Hepatitis C
• Streptococcus, Staphylococcus
• HIV, Cytomegalovirus</t>
  </si>
  <si>
    <t>• Medications (antibiotics, NSAIDs, allopurinol, thiazides)
• Foreign proteins / serums
• Chemical food dyes and environmental toxins</t>
  </si>
  <si>
    <t>• Worldwide (~10-30 per million annually)</t>
  </si>
  <si>
    <t>• Discontinuation of the offending drug / causal antigen
• Short-course oral corticosteroids (prednisone)
• Antihistamines for pruritus
• Cyclophosphamide / azathioprine (for visceral involvement)</t>
  </si>
  <si>
    <t>Idiopathic pulmonary fibrosis
Interstitial pulmonary fibrosis</t>
  </si>
  <si>
    <t>Idiopathic pulmonary fibrosis is a scarring of the lungs. It is suspected that the scarring is due to an autoinflammatory or autoimmune response.  However, there are other causes, and only a fraction of patients with IPF suffer from an autoimmune form of the disease.</t>
  </si>
  <si>
    <t>Initial studies in IPF relevant to autoimmunity focused on identifying autoantibodies that target the pulmonary parenchyma. Turner-Warwick demonstrated that 40% of patients with IPF had circulating, non-specific autoantibodies such as anti-nuclear antibodies (ANA) and rheumatoid factor (Turner-Warwick and Doniach, 1965). Increases in circulating ANA and rheumatoid factor were observed in 30% of our patients (Crystal et al., 1976). Similar studies which evaluated the presence of autoantibodies to nuclear antigens, DNA topoisomerase, and cytokeratin detected the antibodies in some patients (Table 74.1). More recent studies have focused on antibodies that are specific to lung proteins, although these studies have also shown variable expression of autoantibodies (Wallace et al., 1994; Robinson et al., 2001). These results raise the possibility that autoantibodies are a secondary consequence of the ongoing immune activation in the setting of inflammation and tissue damage, rather</t>
  </si>
  <si>
    <t>Alveolar epithelial type II cells (pneumocytes) (65%)
Lung myofibroblasts (35%)</t>
  </si>
  <si>
    <t>1. Genetic susceptibility (MUC5B, TERT) and recurrent microinjuries from cigarette smoke or environmental toxins damage alveolar epithelial cells.
2. Chronic repetitive injury drives premature senescence and apoptosis of type II alveolar epithelial cells (AECs).
3. Aberrant epithelial-mesenchymal crosstalk releases abundant pro-fibrotic mediators, predominantly TGF-β1, PDGF, and FGF.
4. Excessive proliferation and activation of resident fibroblasts into α-SMA-positive myofibroblasts forming "fibroblastic foci."
5. Unchecked extracellular matrix and collagen deposition destroys alveolar architecture, resulting in honeycomb remodeling and restrictive lung failure.</t>
  </si>
  <si>
    <t>• Insidious, progressive exertional dyspnea (90–95%)
• Bilateral, bibasilar end-inspiratory 'Velcro-like' crackles (85–95%)
• Chronic, dry, hacking, non-productive cough (75–85%)
• Reduced exercise capacity and cyanosis in late stages (40–55%)
• Digital clubbing (30–50%)</t>
  </si>
  <si>
    <t>1.0 cases per 3,000 to 10,000</t>
  </si>
  <si>
    <t>1.0 cases per 202 to 495</t>
  </si>
  <si>
    <t>• Viral infections (EBV, CMV, HHV-8)
• Helicobacter pylori / gastroesophageal reflux</t>
  </si>
  <si>
    <t>• Cigarette smoking (&gt;20 pack-years)
• Metal and wood dust inhalation
• Agricultural silica / stone cutting
• Chronic microaspiration (GERD)</t>
  </si>
  <si>
    <t>• Rheumatoid arthritis
• Systemic sclerosis
• Sjogren's syndrome</t>
  </si>
  <si>
    <t>• North America and Europe (increases markedly with age &gt;65, males &gt; females)</t>
  </si>
  <si>
    <t>• Antifibrotic therapy (Pirfenidone, Nintedanib)
• Supplemental oxygen and pulmonary rehabilitation
• Treatment of gastroesophageal reflux disease (GERD)
• Lung transplantation (definitive for progressive end-stage)</t>
  </si>
  <si>
    <t>IgA nephropathy
Berger's Disease</t>
  </si>
  <si>
    <t>A kidney disease that occurs when the antibody immunoglobulin A lodges in the kidneys.  In IgA nephropathy, the antibodies do not attack tissue directly, but they do cause inflammation that can inhibit the kidneys' ability to filter wastes from the blood over time.  ARI classifies IgA nephropathy as immune-related, not autoimmune.</t>
  </si>
  <si>
    <t>Davin et al. (1987) detected IgA anti-α-galactosyl antibodies in the serum of children with active IgA vasculitis nephritis and IgA nephropathy. This finding is intriguing because of the known association between IgA vasculitis and infection with pathogens that have α-galactosyl residues on their surfaces, but the relevance of these antibodies to the pathogenesis of IgA vasculitis is uncertain. More recently, incriminating evidence for a role for antibodies directed against abnormally glycosylated IgA1 has emerged in the pathogenesis of IgA nephropathy and IgA vasculitis (Mestecky et al., 2013).
Also: IgA nephropathy will not be included, although it is now considered to be immune mediated, as the diseases listed above provide ample support for the point of discussion in this chapter.</t>
  </si>
  <si>
    <t>Galactose-deficient IgA1 (Gd-IgA1)</t>
  </si>
  <si>
    <t>Glomerular mesangial cells (85%)
Podocytes (15%)</t>
  </si>
  <si>
    <t>• Galactose-deficient IgA1 autoantibodies (IgG/IgA anti-Gd-IgA1)</t>
  </si>
  <si>
    <t>• Clonal / autoreactive B cells / plasma cells (producing Gd-IgA1 and anti-Gd-IgA1)
• Autoreactive CD4+ T helper cells</t>
  </si>
  <si>
    <t>1. Multi-hit pathogenesis: Aberrant mucosal B-cell response produces elevated circulating galactose-deficient IgA1 (Gd-IgA1) (Hit 1).
2. Production of circulating IgG or IgA autoantibodies directed against the exposed hinge-region O-glycans of Gd-IgA1 (Hit 2).
3. Formation of pathogenic polymeric Gd-IgA1-IgG immune complexes in the systemic circulation (Hit 3).
4. Deposition of large immune complexes within the glomerular mesangium, stimulating mesangial cell proliferation and alternative complement pathway activation (Hit 4).
5. Mesangial matrix expansion, podocyte injury, and glomerulosclerosis manifest as recurrent hematuria and progressive renal failure.</t>
  </si>
  <si>
    <t>• Asymptomatic persistent microscopic hematuria with mild-to-moderate proteinuria (70–80%)
• Episodic macroscopic hematuria concurrent with upper respiratory tract infection (40–50%)
• Hypertension and progressive renal insufficiency (30–40%)
• Mild flank or loin pain during gross hematuria episodes (20–30%)</t>
  </si>
  <si>
    <t>1.0 cases per 40,000 to 50,000</t>
  </si>
  <si>
    <t>1.0 cases per 22,222 to 32,258</t>
  </si>
  <si>
    <t>• Respiratory pathogens (Haemophilus influenzae)
• Gastrointestinal enteroviruses
• Streptococcus species</t>
  </si>
  <si>
    <t>• Upper respiratory or gastrointestinal infections
• Dietary antigens (gluten, bovine serum albumin)
• Mucosal barrier disruption</t>
  </si>
  <si>
    <t>• Celiac disease
• Henoch-Schönlein purpura (IgA vasculitis)
• Ankylosing spondylitis
• Psoriasis</t>
  </si>
  <si>
    <t>• East Asia (highest incidence in Japan, China, Korea), Southern Europe</t>
  </si>
  <si>
    <t>• ACE inhibitors or Angiotensin Receptor Blockers (ARBs)
• SGLT2 inhibitors (dapagliflozin/empagliflozin)
• Targeted-release budesonide (Tarpeyo/Kinpeygo)
• Sparsentan (dual endothelin/angiotensin receptor antagonist)
• Corticosteroids / cyclophosphamide for rapidly progressive crescentic disease</t>
  </si>
  <si>
    <t>IgG4-related ophthalmic disease</t>
  </si>
  <si>
    <t>IgG4-related ophthalmic disorder; IgG4-related eye disease; IgG4-ROD; IgG4-related orbital disease; IgG4-related dacryoadenitis; IgG4-related orbital inflammation; IgG4-related ophthalmopathy; orbital IgG4-related disease; IgG4-related sclerosing dacryoadenitis; Mikulicz disease with ocular/orbital involvement</t>
  </si>
  <si>
    <t>IgG4-related ophthalmic disease is a fibro-inflammatory condition affecting orbital tissues, most frequently the lacrimal glands, extraocular muscles, and orbital fat, within the IgG4-related disease spectrum. Patients present with painless orbital swelling, proptosis, or double vision, accompanied by dense IgG4-positive plasma cell infiltration and tissue fibrosis. Corticosteroids and B-cell depletion therapy are highly effective therapies.</t>
  </si>
  <si>
    <t>Tumefactive fibro-inflammatory ocular condition within the spectrum of IgG4-related systemic disease, characterized by dacryoadenitis, orbital soft tissue infiltration, abundant IgG4-positive plasma cells, and elevated serum IgG4. Chapter 55, pp. 782–790; Chapter 71, pp. 1030–1042.</t>
  </si>
  <si>
    <t>Lacrimal gland ductal / acinar epithelial cells (60%)
Orbital fibroblasts / adipocytes (40%)</t>
  </si>
  <si>
    <t>• Elevated serum IgG4
• Anti-galectin-3 autoantibodies
• Anti-annexin A11 autoantibodies</t>
  </si>
  <si>
    <t>• Autoreactive CD4+ cytotoxic T cells (CD4+ CTLs)
• Autoreactive IgG4+ plasmablasts / plasma cells
• T follicular helper (Tfh) cells</t>
  </si>
  <si>
    <t>1. Immune triggers stimulate CD4+ cytotoxic T lymphocytes and T follicular helper (Tfh) cells in orbital connective tissue.
2. Robust secretion of IL-4, IL-10, and IL-13 drives massive class-switching to IgG4 in expanding plasmablasts and plasma cells.
3. Infiltration of lacrimal glands, extraocular muscles, and orbital fat by IgG4+ plasma cells and eosinophils.
4. Release of TGF-β by infiltrating macrophages and regulatory cells initiates characteristic storiform interstitial fibrosis.
5. Progressive painless orbital pseudo-tumor mass, proptosis, dacryoadenitis, compressive optic neuropathy, and diplopia.</t>
  </si>
  <si>
    <t>• Bilateral or unilateral painless lacrimal gland enlargement / dacryoadenitis (70–85%)
• Upper eyelid fullness, edema, and ptosis (60–70%)
• Painless proptosis and orbital pseudotumor mass (40–55%)
• Diplopia due to extraocular muscle enlargement (25–35%)</t>
  </si>
  <si>
    <t>• Helicobacter pylori
• Dental / oral microbial chronic infections</t>
  </si>
  <si>
    <t>• Occupational dust / solvent exposures
• Chronic allergic rhinitis or sinusitis
• Smoking</t>
  </si>
  <si>
    <t>• Autoimmune pancreatitis (Type 1 AIP)
• Riedel's thyroiditis
• Retroperitoneal fibrosis
• Sjogren's syndrome (mimicker)</t>
  </si>
  <si>
    <t>• East Asia (Japan, China, Korea) and Europe/North America (older males)</t>
  </si>
  <si>
    <t>• Systemic glucocorticoids (prednisone 0.6 mg/kg/day, rapid response)
• Rituximab (anti-CD20, highly effective for relapse/induction)
• Steroid-sparing agents (azathioprine, mycophenolate mofetil)
• Surgical debulking / orbital decompression if optic nerve threatened</t>
  </si>
  <si>
    <t>Immune checkpoint inhibitor-induced autoimmunity</t>
  </si>
  <si>
    <t>Checkpoint inhibitor-induced autoimmunity; ICI-induced autoimmunity; immune-related adverse events; irAEs; immune checkpoint inhibitor-induced immune-related adverse events; immune checkpoint blockade-associated autoimmunity; checkpoint inhibitor-related autoimmune disease; ICI-related autoimmune toxicity; ICI-induced autoimmune syndrome; immune checkpoint inhibitor-associated immune toxicity</t>
  </si>
  <si>
    <t>Immune checkpoint inhibitor-induced autoimmunity encompasses a diverse range of autoimmune and inflammatory toxicities triggered by cancer immunotherapies targeting CTLA-4, PD-1, or PD-L1. Removing these inhibitory immune checkpoints unleashes autoreactive T cells, resulting in colitis, hepatitis, pneumonitis, endocrinopathies, or dermatitis. Treatment involves pausing immunotherapy and administering systemic corticosteroids or immunosuppressive drugs.</t>
  </si>
  <si>
    <t>Iatrogenic autoimmune syndrome triggered by therapeutic blockade of CTLA-4, PD-1, or PD-L1 immune checkpoints, leading to unrestrained autoreactive T-cell activation and inflammatory tissue damage across various organs. Chapter 24, pp. 340–355.</t>
  </si>
  <si>
    <t>Endocrine epithelial cells (hypophysis, thyroid, adrenal) (40%)
Colonic mucosal enterocytes (30%)
Hepatocytes / myocytes (30%)</t>
  </si>
  <si>
    <t>• Organ-specific autoantibodies (e.g. anti-TPO, anti-GAD65, anti-myositis)</t>
  </si>
  <si>
    <t>• Disinhibited autoreactive CD8+ cytotoxic T cells
• Disinhibited autoreactive CD4+ T effector cells
• Autoreactive B cells / plasma cells</t>
  </si>
  <si>
    <t>1. Pharmacological administration of ICI antibodies (anti-PD-1, anti-PD-L1, anti-CTLA-4) blocks key negative regulatory immune checkpoints.
2. Disinhibition and proliferation of previously quiescent, self-reactive CD4+ and CD8+ cytotoxic T lymphocytes.
3. Loss of Treg-mediated peripheral tolerance and downregulation of peripheral tissue protective mechanisms.
4. Infiltration of self-tissues (colon, liver, endocrine organs, myocardium, nerves) by unrestrained cytotoxic T cells releasing IFN-γ and TNF-α.
5. Rapid immune-mediated cell lysis causes severe immune-related adverse events (irAEs: colitis, hepatitis, hypophysitis, myocarditis).</t>
  </si>
  <si>
    <t>• Immune-related maculopapular dermatitis and vitiligo-like depigmentation (40–50%)
• Immune-mediated colitis with severe watery diarrhea and abdominal cramps (30–40%)
• Autoimmune thyroid dysfunction: thyrotoxicosis followed by hypothyroidism (15–25%)
• Autoimmune hypophysitis with severe headache and fatigue (5–10%)
• Autoimmune hepatitis with marked transaminitis (5–10%)</t>
  </si>
  <si>
    <t>1.0 cases per 2 to 5</t>
  </si>
  <si>
    <t>1.0 cases per 2 to 5 treated patients</t>
  </si>
  <si>
    <t>• Prior viral or bacterial immune exposures</t>
  </si>
  <si>
    <t>• Cancer immunotherapy (anti-PD-1, anti-PD-L1, anti-CTLA-4 antibodies)
• Combination checkpoint inhibitor regimens
• Immune priming / baseline microflora status</t>
  </si>
  <si>
    <t>• Hashimoto's thyroiditis
• Type 1 diabetes
• Rheumatoid arthritis
• Autoimmune colitis / hypophysitis</t>
  </si>
  <si>
    <t>• Worldwide (increasing rapidly with checkpoint inhibitor cancer therapies)</t>
  </si>
  <si>
    <t>• Temporary or permanent discontinuation of ICI therapy
• High-dose glucocorticoids (prednisone 1-2 mg/kg/day, methylprednisolone)
• Biologics for steroid-refractory colitis/hepatitis (infliximab, vedolizumab)
• Endocrine replacement (levothyroxine, hydrocortisone, insulin)</t>
  </si>
  <si>
    <t>Immune dysregulation, polyendocrinopathy, enteropathy, X-linked</t>
  </si>
  <si>
    <t>IPEX
Diarrhea, Polyendocrinopathy, Fatal Infection Syndrome, X-Linked
X-Linked Autoimmunity-Allergic Dysregulation Syndrome
Polyendocrinopathy, Immune Dysfunction, and Diarrhea, X-Linked
Enteropathy, Autoimmune, with Hemolytic Anemia and Polyendocrinopathy
IDDM-Secretory Diarrhea Syndrome
Diabetes Mellitus, Congenital Insulin-Dependent, with Fatal Secretory Diarrhea
Immunodysregulation, Polyendocrinopathy, and Enteropathy, X-Linked
Autoimmunity-Immunodeficiency Syndrome, X-Linked
Ipex Syndrome</t>
  </si>
  <si>
    <t>IPEX syndrome (immune dysregulation, polyendocrinopathy, enteropathy, X-linked) is a rare genetic autoimmune disorder caused by mutations in the FOXP3 gene, the master regulator of regulatory T cells. Lacking functional Tregs, infants develop severe intractable secretory diarrhea, early-onset type 1 diabetes, eczema, and widespread autoimmune destruction. Definitive treatment requires hematopoietic stem cell transplantation.</t>
  </si>
  <si>
    <t>Importantly, FoxP3 mutations were also identified in patients with the severe and potentially fatal inflammatory disorder Immune dysregulation, Polyendocrinopathy, Enteropathy, X-linked (IPEX) syndrome (Chatila et al., 2000; Bennett et al., 2001; Wildin et al., 2001). Subsequently, FoxP31 thymus-derived Tregs, referred to as natural Tregs (nTregs), have been shown to suppress autoimmunity, allergy, and inflammation (Fontenot et al., 2003; Hori et al., 2003; Allan et al., 2005).
There are two additional genetic defects that present with clinical findings that include significant phenotypic overlap with IPEX. The first involves an autosomal recessive defect in the gene encoding the CD25 protein, a component of the IL-2 receptor heterotrimer (IL-2 receptor alpha chain). The second overlap syndrome is an autosomal recessive disorder that involves mutations in the gene encoding STAT5B. These patients typically present with additional distinct clinical findings including a prominent forehead, a saddle nose, and a high pitched voice. 
Chapter 29, pp 414 - 416</t>
  </si>
  <si>
    <r>
      <rPr>
        <rFont val="Calibri"/>
        <color theme="1"/>
        <sz val="69.0"/>
      </rPr>
      <t xml:space="preserve">
</t>
    </r>
    <r>
      <rPr>
        <rFont val="Calibri"/>
        <b/>
        <color theme="1"/>
        <sz val="69.0"/>
      </rPr>
      <t>Associated with Autoimmune Enteropathy:</t>
    </r>
    <r>
      <rPr>
        <rFont val="Calibri"/>
        <color theme="1"/>
        <sz val="69.0"/>
      </rPr>
      <t xml:space="preserve">
It has been proposed that specific autoantigens elicit an immune response that alters intestinal permeability, contributing to disease pathology
Increased CD4+ T cells in the lamina propria (helper T cells, often Th1/Th17 skewed, producing pro-inflammatory cytokines like IFN-γ).
Increased CD8+ T cells, including intraepithelial lymphocytes (IELs), which can act as cytotoxic effectors causing direct epithelial cell apoptosis and villous atrophy.</t>
    </r>
    <r>
      <rPr>
        <rFont val="Calibri"/>
        <b/>
        <color theme="1"/>
        <sz val="69.0"/>
      </rPr>
      <t xml:space="preserve">
Associated with IPEX:
</t>
    </r>
    <r>
      <rPr>
        <rFont val="Calibri"/>
        <color theme="1"/>
        <sz val="69.0"/>
      </rPr>
      <t>Treg disfunction --&gt; Th2 + ILC2 excessive activation --&gt; eosinofilia + hyper IgE 
The lack of Treg-mediated suppression results in aggressive, early-onset autoimmunity that can target multiple organs, classically manifesting as:Endocrinopathies (most commonly early-onset type 1 diabetes mellitus, and autoimmune thyroiditis).
Dermatitis (severe eczematous skin involvement).
Other autoimmune phenomena such as cytopenias (e.g., hemolytic anemia, thrombocytopenia), hepatitis, nephropathy, or lymphadenopathy/organomegaly.
The disease is highly variable depending on the specific FOXP3 mutation (over 70 described), ranging from severe neonatal presentations to milder or later-onset forms. 
Without intervention, it is often fatal in early childhood due to overwhelming autoimmunity, infections (secondary to immune dysregulation or treatment), or metabolic complications.</t>
    </r>
  </si>
  <si>
    <r>
      <rPr>
        <rFont val="Calibri"/>
        <color theme="1"/>
        <sz val="38.0"/>
      </rPr>
      <t xml:space="preserve">
</t>
    </r>
    <r>
      <rPr>
        <rFont val="Calibri"/>
        <b/>
        <color theme="1"/>
        <sz val="38.0"/>
      </rPr>
      <t>Associated with Autoimmune Enteropathy:</t>
    </r>
    <r>
      <rPr>
        <rFont val="Calibri"/>
        <color theme="1"/>
        <sz val="38.0"/>
      </rPr>
      <t xml:space="preserve">
AE75 (Harmonin) - expressed broadly in intestinal epithelial cells (brush border microvilli) than in retina and inner ear
 Mucins such as MUC2 - present in Goblet Cells
Villin - key brush-border antigen in enterocytes (localized to microvilli of the small intestine and proximal renal tubules). 
</t>
    </r>
    <r>
      <rPr>
        <rFont val="Calibri"/>
        <b/>
        <color theme="1"/>
        <sz val="38.0"/>
      </rPr>
      <t xml:space="preserve">
IPEX specific antigens:
ANKS4B</t>
    </r>
    <r>
      <rPr>
        <rFont val="Calibri"/>
        <color theme="1"/>
        <sz val="38.0"/>
      </rPr>
      <t xml:space="preserve"> (Ankyrin Repeat And Sterile Alpha Motif Domain Containing 4B) interacts with harmonin in intestinal microvilli
</t>
    </r>
    <r>
      <rPr>
        <rFont val="Calibri"/>
        <b/>
        <color theme="1"/>
        <sz val="38.0"/>
      </rPr>
      <t xml:space="preserve">ACSL5 </t>
    </r>
    <r>
      <rPr>
        <rFont val="Calibri"/>
        <color theme="1"/>
        <sz val="38.0"/>
      </rPr>
      <t xml:space="preserve">(Acyl-CoA Synthetase Long Chain Family Member 5) Regulates enterocyte proliferation
</t>
    </r>
    <r>
      <rPr>
        <rFont val="Calibri"/>
        <b/>
        <color theme="1"/>
        <sz val="38.0"/>
      </rPr>
      <t>HNF4</t>
    </r>
    <r>
      <rPr>
        <rFont val="Calibri"/>
        <color theme="1"/>
        <sz val="38.0"/>
      </rPr>
      <t xml:space="preserve"> (Hepatic Nuclear Factor 4 Alpha) Regulates  intestinal and renal epithelium differentiation</t>
    </r>
  </si>
  <si>
    <t>Intestinal enterocytes (45%)
Pancreatic beta cells (30%)
Thyroid follicular cells (25%)</t>
  </si>
  <si>
    <t>Associated with Autoimmune Enteropathy:
anti-enterocyte (AE)   85-93%
anti-AE75 90-92%
anti-goblet cell (AG)  20-50%
anti-villin 40-50%
Associated with Endocrinopathy:
Anti-GAD65  25-80%
Anti-ICA 15-65%
Antibody combinations (more than one subtype are extremly common in this disease)
May appear more as a downstream consequence rather than causative (epiphenomenon)
IPEX specific antibodies:
Anti-ANKS4B (Ankyrin Repeat And Sterile Alpha Motif Domain Containing 4)  50-70%
Anti-ACSL5 (Acyl-CoA Synthetase Long Chain Family Member 5)  &lt;50%
Anti-HNF4A (Hepatic Nuclear Factor 4 Alpha)  &lt;50%</t>
  </si>
  <si>
    <t>• Uncontrolled autoreactive CD4+ T effector cells (due to FOXP3/Treg loss)
• Uncontrolled autoreactive CD8+ cytotoxic T cells
• Autoreactive B cells / plasma cells (anti-harmonin, anti-villin, anti-islet)</t>
  </si>
  <si>
    <t>1. Hemizygous loss-of-function germline mutations in the FOXP3 gene on the X chromosome.
2. Failure of normal development and regulatory function in CD4+ CD25+ FOXP3+ regulatory T cells (Tregs).
3. Complete absence of Treg-mediated peripheral suppression permits unrestrained activation of autoreactive CD4+ and CD8+ effector T cells.
4. Infiltration of multiple organs and hyperactivation of B cells producing multi-organ autoantibodies (anti-enterocyte, anti-islet, anti-thyroid).
5. Severe multi-organ autoimmune triad in male infants: intractable secretory enteropathy, type 1 diabetes mellitus, and eczematous dermatitis.</t>
  </si>
  <si>
    <t>• Severe, intractable, watery secretory diarrhea beginning in early infancy (95–100%)
• Severe failure to thrive and cachexia (85–95%)
• Extensive eczematous or psoriasiform dermatitis (70–80%)
• Early-onset type 1 diabetes mellitus in male infants (60–70%)
• Autoimmune thyroid disease (hypo- or hyperthyroidism) (30–40%)</t>
  </si>
  <si>
    <t>• Gastrointestinal viral / bacterial infections</t>
  </si>
  <si>
    <t>• Early infancy environmental antigens
• Altered intestinal commensal microbiota
• Monogenic FOXP3 mutation</t>
  </si>
  <si>
    <t>• Type 1 diabetes (neonatal onset)
• Autoimmune enteropathy
• Autoimmune thyroiditis
• Autoimmune hemolytic anemia / ITP</t>
  </si>
  <si>
    <t>• Worldwide (rare X-linked recessive disorder, hemizygous males)</t>
  </si>
  <si>
    <t>• Allogeneic hematopoietic stem cell transplantation (HSCT, curative)
• Calcineurin inhibitors (tacrolimus, cyclosporine)
• Sirolimus (mTOR inhibitor, preferred maintenance)
• Systemic glucocorticoids / nutritional support (TPN)</t>
  </si>
  <si>
    <t>Immune thrombocytopenia
Autoimmune thrombocytopenic purpura
ATP
Chronic idiopathic thrombocytopenic purpura
ITP
Idiopathic thrombocytopenic purpura
Primary immune thrombocytopenia
Secondary autoimmune thrombocytopenia
Autoimmune neonatal thrombocytopenia
Autoimmune thrombotic thrombocytopenic purpura</t>
  </si>
  <si>
    <t xml:space="preserve">Immune thrombocytopenia is a pair of autoimmune blood disorders that involves destruction of the normal blood clotting process. "Thrombocytopenia" simply means "low platelet count" and could be caused by many things. One symptom of these conditions is easy or excessive bruising and bleeding, so some names include the term "purpura", which means purple or red discolorations on the skin. The bleeding results from blood pooling under the skin because clotting is impaired.  Until scientists identified the autoimmune cause of the disease, it was called "idiopathic thrombocytopenia" because the cause was unknown, and until a cause of an individual's disease is known, that label might be used. 
In immune thrombocytopenia, the platlets are destroyed by the antibodies produced by the immune system. However, the tests for these antibodies are not precise, so other methods are used to confirm a diagnosis, including determining if other autoimmune diseases are present. Secondary autoimmune thrombocytopenia simply refers to immune thrombocytopenia triggered by another autoimmune disease or by a non-autoimmune disease (such as COVID-19). The treatments for secondary immune thrombocytopenia are usually determined by the underlying condition.
IIn autoimmune thrombotic thrombocytopenic purpura, sometimes called autoimmune TTP, autoantibodies attack ADAMTS13, an enzyme essential to regulating clot formation. The enzyme normally breaks down a protein called "ultra-large von Willebrand factor" (UL-vWF), and when that protein accumulates, platelets stick together, leading to blood clots. With the platelets stuck together, there are not enough platelets circulating in the bloodstream, which can lead to purpura (red or purple blotches on the skin). Although the symptoms of autoimmune TTP and immune thrombocytopenia are similar, the disease mechanism is very different.
Note that thrombotic thromocytopenic purpura, TTP, is a &lt;i&gt;&lt;b&gt;genetic&lt;/i&gt;&lt;/b&gt; disease that is caused by inherited genetic mutations in the ADAMTS13 gene that lead to the same symptoms as autoimmune TTP.  TTP is not autoimmune, and a genetic test to look for mutations in the gene that produces ADAMTS13 can be performed to rule out a genetic cause and lend support to a diagnosis of the autoimmune form of the disease. </t>
  </si>
  <si>
    <t xml:space="preserve">In the early 1950s, Harrington et al. provided first evidence that ITP is caused by a plasma antiplatelet factor by demonstrating that infusion of plasma from ITP patients induced severe thrombocytopenia that persisted several days in non-ITP controls (Harrington et al., 1953). Subsequently, the immunoglobulin (Ig)G rich serum fraction was found to be responsible for the antiplatelet activity by Fcγ-mediated platelet destruction in the reticuloendothelial system (Shulman et al., 1965). After several studies in the 1970s reporting nonspecific elevated platelet-associated IgG in around 90% of ITP (Dixon and Rosse, 1975; McMillan, 1981), antigen-specific assays have been developed to measure autoantibodies that recognize one or more platelet surface glycoproteins (GP). The first antigen identified was the GP IIb/IIIa complex (van Leeuwen et al., 1982). Antibodies that react with GP Ib/IX or GP Ia/IIa, among others, have since been identified, and the presence of antibodies against multiple antigens is not only possible but, in patients with chronic disease, seems relatively common (Kunicki and Newman, 1992; He et al., 1994).
</t>
  </si>
  <si>
    <t>Platelet glycoprotein IIb/IIIa (GPIIb/IIIa)
Glycoprotein Ib/IX (GPIb/IX)</t>
  </si>
  <si>
    <t>Circulating blood platelets (80%)
Bone marrow megakaryocytes (20%)</t>
  </si>
  <si>
    <t>Glycoprotein IIb/IIIa</t>
  </si>
  <si>
    <t>• Autoreactive B cells / plasma cells (anti-GPIIb/IIIa, anti-GPIb/IX)
• Autoreactive CD4+ T helper cells (platelet glycoprotein-specific)
• Autoreactive CD8+ cytotoxic T cells (direct platelet destruction)</t>
  </si>
  <si>
    <t>1. Breakdown of self-tolerance leads to production of IgG autoantibodies against platelet surface glycoproteins (GPIIb/IIIa, GPIb/IX).
2. Autoantibodies bind to circulating platelets, exposing Fc domains to reticuloendothelial phagocytes.
3. Splenic macrophages recognize opsonized platelets via Fcγ receptors, leading to accelerated receptor-mediated platelet phagocytosis.
4. Concurrently, autoantibodies and autoreactive CD8+ cytotoxic T cells infiltrate bone marrow, attacking megakaryocytes and suppressing thrombopoiesis.
5. Profound peripheral thrombocytopenia impairs primary hemostasis, manifesting as petechiae, purpura, mucosal bleeding, and hemorrhage.</t>
  </si>
  <si>
    <t>• Isolated profound thrombocytopenia with absence of systemic toxic illness (90–95%)
• Petechiae, purpura, and ecchymoses on skin and dependent areas (80–90%)
• Epistaxis, gingival bleeding, and wet purpura of oral mucosa (40–50%)
• Menorrhagia / prolonged heavy menstrual bleeding (30–45%)</t>
  </si>
  <si>
    <t>1.0 cases per 10,526 to 22,222</t>
  </si>
  <si>
    <t>Child: 3
Adult: 35</t>
  </si>
  <si>
    <t>• Helicobacter pylori
• Hepatitis C virus, HIV
• Cytomegalovirus, Varicella zoster
• SARS-CoV-2 / MMR vaccines (rare)</t>
  </si>
  <si>
    <t>• Preceding viral illnesses (especially in children)
• Medications (quinidine, sulfa drugs, heparin)
• Physical / emotional stressors</t>
  </si>
  <si>
    <t>• Autoimmune hemolytic anemia (Evans syndrome)
• Systemic lupus erythematosus
• Hashimoto's thyroiditis
• Antiphospholipid syndrome</t>
  </si>
  <si>
    <t>• Worldwide (incidence 2-5 per 100,000/year; bimodal: children and &gt;60)</t>
  </si>
  <si>
    <t>• First-line: Corticosteroids (dexamethasone or prednisone), IVIG, anti-D
• Second-line: Thrombopoietin receptor agonists (eltrombopag, romiplostim, avatrombopag)
• Rituximab (anti-CD20)
• Spleen tyrosine kinase inhibitor (fostamatinib) / Splenectomy</t>
  </si>
  <si>
    <t>Immune-mediated necrotizing myopathy (IMNM)</t>
  </si>
  <si>
    <t>IMNM; necrotizing autoimmune myopathy; NAM; autoimmune necrotizing myopathy; necrotizing myositis; immune-mediated necrotizing myositis; anti-SRP myopathy; anti-HMGCR myopathy; statin-associated autoimmune myopathy; statin-triggered autoimmune necrotizing myopathy; anti-3-hydroxy-3-methylglutaryl-coenzyme A reductase myopathy</t>
  </si>
  <si>
    <t>Immune-mediated necrotizing myopathy is a severe subtype of autoimmune myopathy marked by extensive muscle fiber necrosis with minimal lymphocytic inflammation. It is strongly linked to autoantibodies targeting signal recognition particle (anti-SRP) or HMG-CoA reductase (anti-HMGCR), the latter often triggered by statin exposure. Patients develop rapid proximal limb weakness and elevated creatine kinase, requiring aggressive immunosuppression.</t>
  </si>
  <si>
    <t>Subtype of idiopathic inflammatory myopathy characterized by prominent myofiber necrosis with minimal inflammatory infiltration, strongly associated with autoantibodies against signal recognition particle (SRP) or HMG-CoA reductase (HMGCR). Chapter 61, pp. 895–905.</t>
  </si>
  <si>
    <t>Signal recognition particle (SRP)
3-hydroxy-3-methylglutaryl-coenzyme A reductase (HMGCR)</t>
  </si>
  <si>
    <t>Skeletal muscle myofibers (sarcolemma) (100%)</t>
  </si>
  <si>
    <t>• Anti-SRP autoantibodies
• Anti-HMGCR autoantibodies</t>
  </si>
  <si>
    <t>• Autoreactive B cells / plasma cells (anti-SRP / anti-HMGCR)
• Autoreactive CD4+ T helper cells</t>
  </si>
  <si>
    <t>1. Exposure to statins, malignancy, or viral triggers in genetically predisposed individuals (HLA-DRB1*11:01).
2. Generation of high-titer pathogenic autoantibodies directed against 3-hydroxy-3-methylglutaryl-coenzyme A reductase (HMGCR) or signal recognition particle (SRP).
3. Autoantibodies bind targets on skeletal muscle myofibers, fixing complement and depositing terminal C5b-9 complexes on the sarcolemma.
4. Complement-mediated myofiber membrane damage triggers massive myofiber necrosis without significant lymphocytic inflammatory infiltrates.
5. Severe, rapidly progressive symmetric proximal muscle weakness, profound creatine kinase elevations, and extensive myofiber degeneration and myophagocytosis.</t>
  </si>
  <si>
    <t>• Extreme elevation of serum creatine kinase (&gt;10–50× ULN) (95–100%)
• Rapidly progressive, symmetric, severe proximal limb weakness (90–95%)
• Absence of extramuscular systemic manifestations (75–85%)
• Severe neck flexor weakness and prominent dysphagia (50–65%)
• Pronounced muscle atrophy and myalgias (40–50%)</t>
  </si>
  <si>
    <t>1.0 cases per 100,000 to 300,000</t>
  </si>
  <si>
    <t>• Retroviruses, Enteroviruses</t>
  </si>
  <si>
    <t>• Statin exposure (atorvastatin, simvastatin, anti-HMGCR)
• Malignancy (paraneoplastic, anti-SRP)
• Environmental toxins</t>
  </si>
  <si>
    <t>• Systemic sclerosis
• Systemic lupus erythematosus
• Sjogren's syndrome</t>
  </si>
  <si>
    <t>• Worldwide (~2-3 cases per million, older adults)</t>
  </si>
  <si>
    <t>• Discontinuation of statins (for anti-HMGCR myopathy)
• High-dose oral prednisone + IV methylprednisolone
• Methotrexate, azathioprine, or mycophenolate mofetil
• Intravenous immunoglobulin (IVIG) / Rituximab (highly effective)</t>
  </si>
  <si>
    <t>Immune-mediated thrombotic thrombocytopenic purpura (iTTP)</t>
  </si>
  <si>
    <t>iTTP; immune TTP; acquired TTP; aTTP; acquired thrombotic thrombocytopenic purpura; autoimmune thrombotic thrombocytopenic purpura; anti-ADAMTS13 antibody-mediated TTP; ADAMTS13 inhibitor-associated TTP; acquired severe ADAMTS13 deficiency; immune-mediated TTP</t>
  </si>
  <si>
    <t>Immune-mediated thrombotic thrombocytopenic purpura is a life-threatening hematologic emergency caused by autoantibodies inhibiting the ADAMTS13 enzyme. Without functional ADAMTS13, ultra-large von Willebrand factor multimers accumulate and induce widespread microvascular blood clots, hemolytic anemia, and thrombocytopenia. Immediate treatment involves therapeutic plasma exchange, immunosuppressive therapy, and anti-vWF nanobodies.</t>
  </si>
  <si>
    <t>Life-threatening thrombotic microangiopathy caused by acquired inhibitory autoantibodies targeting the von Willebrand factor-cleaving protease ADAMTS13, leading to ultra-large vWF multimers and disseminated microvascular thrombosis. Chapter 47, pp. 665–675; Chapter 51, pp. 718–726.</t>
  </si>
  <si>
    <t>ADAMTS13</t>
  </si>
  <si>
    <t>Microvascular endothelial cells (high-shear beds) (60%)
ADAMTS13-producing hepatic stellate / endothelial cells (40%)</t>
  </si>
  <si>
    <t>• Anti-ADAMTS13 neutralizing IgG autoantibodies</t>
  </si>
  <si>
    <t>• Autoreactive B cells / plasma cells (anti-ADAMTS13 IgG)
• Autoreactive CD4+ T helper cells (ADAMTS13-specific)</t>
  </si>
  <si>
    <t>1. Genetic susceptibility (HLA-DRB1*11) and environmental triggers provoke loss of tolerance to the metalloprotease ADAMTS13.
2. Clonal B cells synthesize neutralizing IgG autoantibodies (mainly IgG4) directed against the spacer domain of ADAMTS13.
3. Circulating autoantibodies bind and severely deplete ADAMTS13 activity to &lt;10% of normal.
4. Loss of ADAMTS13-mediated cleavage allows ultra-large von Willebrand factor (ULVWF) multimers to accumulate on endothelial surfaces.
5. High-shear microvascular platelet aggregation forms systemic microthrombi, causing microangiopathic hemolytic anemia, severe thrombocytopenia, and organ ischemia.</t>
  </si>
  <si>
    <t>• Microangiopathic hemolytic anemia with schistocytes on blood smear (95–100%)
• Profound consumptive thrombocytopenia with purpura and bleeding (95–100%)
• Fluctuating neurological symptoms (confusion, transient focal deficits, seizure, coma) (60–70%)
• Renal dysfunction (azotemia, proteinuria, hematuria) (40–50%)
• Low-grade fever (25–35%)</t>
  </si>
  <si>
    <t>• Influenza, Coxsackievirus
• Dengue virus, HIV, COVID-19</t>
  </si>
  <si>
    <t>• Pregnancy / postpartum period
• Medications (ticlopidine, clopidogrel, cyclosporine)
• Acute viral or bacterial infections</t>
  </si>
  <si>
    <t>• Systemic lupus erythematosus
• Sjogren's syndrome
• Antiphospholipid syndrome
• Hashimoto's thyroiditis</t>
  </si>
  <si>
    <t>• Worldwide (annual incidence 2-4 per million, female preponderance 3:1)</t>
  </si>
  <si>
    <t>• Therapeutic plasma exchange (TPE, daily until platelet recovery)
• Caplacizumab (anti-vWF nanobody, prevents microthrombi)
• High-dose systemic glucocorticoids
• Rituximab (anti-CD20, depletes anti-ADAMTS13 antibodies)</t>
  </si>
  <si>
    <t>Immunoglobulin A vasculitis
Henoch-Schönlein purpura
Anaphylactoid purpura
Henoch-Schonlein purpura
IgA vasculitis
Purpura rheumatica</t>
  </si>
  <si>
    <t xml:space="preserve">Immunoglobulin A vasculitis, also known as purpura rheumatica, is a temporary, childhood form of vasculitis due to inflammation of small blood vessels (capillaries) caused by an attack by the immune system. Purpura rheumatica is marked by inflammation in capillaries, the smallest blood vessels. Symptoms can be broad but must include raised, rash-like papules on the skin that do not turn white when pressed. Additional symptoms may include abdominal discomfort and joint pain. A clinician may also find deposits of an immune system protein (antibody or immunoglobulin) called IgA in the kidneys or small amounts of protein/hemoglobin present in urine samples. 
This condition is usually temporary (4-6 weeks) with a full recovery for most patients. Very rarely, Purpura rheumatica can lead to complications with kidney or lung function. </t>
  </si>
  <si>
    <t xml:space="preserve">Davin et al. (1987) detected IgA anti-α-galactosyl antibodies in the serum of children with active IgA vasculitis nephritis and IgA nephropathy. This finding is intriguing because of the known association between IgA vasculitis and infection with pathogens that have α-galactosyl residues on their surfaces, but the relevance of these antibodies to the pathogenesis of IgA vasculitis is uncertain. More recently, incriminating evidence for a role for antibodies directed against abnormally glycosylated IgA1 has emerged in the pathogenesis of IgA nephropathy and IgA vasculitis (Mestecky et al., 2013).
</t>
  </si>
  <si>
    <t>Glomerular mesangial cells (45%)
Dermal postcapillary endothelial cells (40%)
Intestinal microvascular endothelial cells (15%)</t>
  </si>
  <si>
    <t>• IgA anti-endothelial cell antibodies
• Galactose-deficient IgA1 immune complexes</t>
  </si>
  <si>
    <t>• Autoreactive / mucosal B cells and plasma cells (producing Gd-IgA1 complexes)
• Autoreactive CD4+ T helper cells</t>
  </si>
  <si>
    <t>1. Mucosal antigen exposure (upper respiratory or gastrointestinal infection) induces aberrant synthesis of galactose-deficient IgA1 (Gd-IgA1).
2. Production of circulating autoantibodies (IgG or IgA) directed against galactose-deficient IgA1 hinge-region O-glycans.
3. Pathogenic polymeric IgA1 immune complexes form in the circulation.
4. Immune complexes deposit in small blood vessels of the skin, gastrointestinal tract, and renal mesangium.
5. Complement activation (C3, lectin/alternative pathway) recruits neutrophils, producing leukocytoclastic vasculitis, palpable purpura, abdominal pain, and glomerulonephritis.</t>
  </si>
  <si>
    <t>• Symmetrical palpable non-thrombocytopenic purpura on legs and buttocks (95–100%)
• Arthralgias and acute non-deforming arthritis (knees, ankles) (65–75%)
• Colicky abdominal pain and gastrointestinal hemorrhage / intussusception (50–65%)
• Renal involvement: microscopic hematuria and proteinuria (40–50%)</t>
  </si>
  <si>
    <t>1.0 cases per 5,000 to 10,000 children; 1.0 cases per 50,000 to 100,000 adults</t>
  </si>
  <si>
    <t>1.0 cases per 3,745 to 33,333 children, 1.0 cases per 55,556 to 125,000 adults</t>
  </si>
  <si>
    <t>• Group A Streptococcus (strep pharyngitis)
• Parvovirus B19, Adenovirus
• Helicobacter pylori, Mycoplasma</t>
  </si>
  <si>
    <t>• Upper respiratory tract infections (common in children)
• Vaccinations, cold weather
• Medication exposures (penicillins, ACE inhibitors)</t>
  </si>
  <si>
    <t>• IgA nephropathy (closely related spectrum)
• Crohn's disease / Ulcerative colitis</t>
  </si>
  <si>
    <t>• Worldwide (commonest childhood vasculitis, higher in East Asia)</t>
  </si>
  <si>
    <t>• Supportive care, analgesics, hydration, and elevation
• Systemic corticosteroids (prednisone for severe abdominal/joint pain)
• Immunosuppression (cyclophosphamide, azathioprine, mycophenolate) for nephritis
• Renoprotection (ACE inhibitors/ARBs for persistent proteinuria)</t>
  </si>
  <si>
    <t>IgG4 deficiency
IgG4-related sclerosing cholangitis
Eosinophilic angiocentric fibrosis
Hyper-IgG4 disease
Idiopathic hypocomplementemic tubulointerstitial nephritis
Idiopathic retroperitoneal Fibrosis
IgG4-related diseases
IgG4-related retroperitoneal fibrosis
IgG4-related systemic disease
Immunoglobulin G4 related disease
Inflammatory aortic aneurysm
Inflammatory pseudotumor
Küttner's tumor
Mediastinal fibrosis
Mikulicz's syndrome
Multifocal fibrosclerosis
Ormond's disease
Periaortitis
Periarteritis
Retroperitoneal fibrosis
Riedel's thyroiditis</t>
  </si>
  <si>
    <t xml:space="preserve">Immunoglobulin G4 is a type of antibody normally found in humans. However, in some persons, the level of this antibody is elevated and it plays a role in the development of several autoimmune diseases, including myasthenia gravis, pemphigus, autoimmune thrombocytopenic purpura and autoimmune pancreatitis. IgG4-related diseases (IgG4-RD) are complex fibro-inflammatory disorder that can affect any organ. Medical practitioners assign a diagnosis based on symptoms and the organ affected.  The primary clinical feature in IgG4-RD entails a tumor-like presentation coupled with tissue-destructive lesions.For more information, see the pages on specific diseases. 
At this time, not all IgG4 diseases are documented, and many are very rare. However, as this disease profile shows, IgG4-related disease has 19 synonyms and subtypes, so it may be more common as a class than thought. </t>
  </si>
  <si>
    <t>Positive rates for antinuclear antibody were 40%, and those of other antibodies were 10–30%. We found no patients with positive test for SS-A/Ro or SS-B/La antibodies, or anti-mitochondrial antibodies that represent disease-specific antibodies for the diagnosis of Sjögren's syndrome or primary biliary cirrhosis (PBC), respectively. These findings suggest that the autoantibodies found in this disease are not pathogenic, and that patients have a tendency to produce various autoantibodies that are neither disease specific nor of primary relevance. However, the occasional coexistence of pancreatitis with salivary gland lesions and cholangitis suggests shared target antigens. Carbonic anhydrase II (CA II) and lactoferrin are distributed in the cells of several exocrine organs, including the pancreas, salivary glands, and biliary duct. In this context, CA II or lactoferrin have been proposed as a candidate target antigen, but the presence of autoantibodies for these antigens is not sufficiently specific or sensitive (Kino-Ohsaki et al., 1996). Protein electrophoresis of patients' sera showed a polyclonal band in the rapidly migrating fraction of γ-globulins. Later, immunoelectrophoresis confirmed that this polyclonal band was caused by a high serum concentration of IgG4. We confirmed that serum IgG4 elevation could be found in 90% of patients with autoimmune pancreatitis, but in very few patients with other conditions including pancreatic cancer, chronic pancreatitis, and Sjögren's syndrome, suggesting that IgG4 is a sensitive and specific marker for this disease. In addition, levels of IgG4 correlate well with disease activity</t>
  </si>
  <si>
    <t>Galectin-3
Annexin A11
Laminin-511-E8</t>
  </si>
  <si>
    <t>Glandular ductal / acinar epithelial cells (pancreas, salivary, bile ducts) (70%)
Fibroblasts / myofibroblasts (30%)</t>
  </si>
  <si>
    <t>• Elevated serum IgG4
• Anti-galectin-3 autoantibodies
• Anti-laminin-511-E8 autoantibodies
• Anti-annexin A11 autoantibodies</t>
  </si>
  <si>
    <t>• Autoreactive CD4+ cytotoxic T lymphocytes (CD4+ CTLs)
• Autoreactive IgG4+ plasmablasts / plasma cells
• T follicular helper (Tfh) cells</t>
  </si>
  <si>
    <t>1. Antigen presentation (galectin-3, annexin A11, laminin-511-E8) triggers clonal expansion of CD4+ cytotoxic T lymphocytes (CD4+ CTLs) and Tfh cells.
2. Interleukin secretion (IL-4, IL-10, IL-13) drives somatic hypermutation and massive class-switching to IgG4 in plasmablasts.
3. Infiltration of affected organs by dense IgG4+ plasma cells and CD4+ CTLs.
4. Secretion of profibrotic cytokines (TGF-β, IL-1β) by infiltrating cells and macrophages activates resident myofibroblasts.
5. Storiform fibrosis, obliterative phlebitis, and dense lymphoplasmacytic infiltrates cause tumefactive tissue swelling and organ dysfunction.</t>
  </si>
  <si>
    <t>• Tumefactive fibroinflammatory mass lesions in pancreas, bile ducts, orbits, or glands (85–95%)
• Elevated serum IgG4 concentrations (70–80%)
• Painless enlargement of submandibular and lacrimal glands (40–50%)
• Obstructive jaundice secondary to sclerosing cholangitis/pancreatitis (30–40%)
• Retroperitoneal fibrosis with dull back/flank pain (20–30%)</t>
  </si>
  <si>
    <t>1.0 cases per 125,000</t>
  </si>
  <si>
    <t>• Helicobacter pylori
• Viral / bacterial antigens driving plasma cells</t>
  </si>
  <si>
    <t>• Blue-collar occupations (metal, wood, dust, silica exposure)
• Smoking / tobacco use
• Chronic allergen exposures</t>
  </si>
  <si>
    <t>• Hashimoto's thyroiditis
• Sjogren's syndrome
• Inflammatory bowel disease</t>
  </si>
  <si>
    <t>• East Asia (Japan, China, Korea) and North America/Europe (males &gt;50)</t>
  </si>
  <si>
    <t>• Induction: Systemic glucocorticoids (prednisone 0.6 mg/kg/day, 3-4 week response)
• Maintenance: B-cell depletion with Rituximab (anti-CD20, standard first-line)
• Conventional DMARDs (azathioprine, mycophenolate mofetil, methotrexate)
• Surgical stenting for obstructive lesions (biliary, ureteral)</t>
  </si>
  <si>
    <t>IBM
sIBM
Sporadic Inclusion Body Myositis</t>
  </si>
  <si>
    <t>Inclusion body myositis is a progressive, chronic inflammatory muscle disorder affecting older adults, marked by asymmetric weakness of the finger flexors and quadriceps. Muscle biopsies reveal rimmed vacuoles, protein aggregates, and cytotoxic T-cell invasion, with autoantibodies targeting cytosolic 5'-nucleotidase 1A often present. Because it is largely refractory to standard immunosuppression, management centers on physical and occupational therapy.</t>
  </si>
  <si>
    <t>Acquired muscle disease of older adults characterized by insidious asymmetric finger flexor and quadriceps weakness, muscle fiber rimmed vacuoles, and cytotoxic T-cell infiltrates, with autoantibodies targeting cytosolic 5'-nucleotidase 1A (cN1A). Chapter 61, pp. 894–904.</t>
  </si>
  <si>
    <t>Cytosolic 5'-nucleotidase 1A (cN-1A / NT5C1A)</t>
  </si>
  <si>
    <t>Skeletal muscle fibers (myofibers) (100%)</t>
  </si>
  <si>
    <t>• Anti-cN-1A (cytosolic 5'-nucleotidase 1A) autoantibodies</t>
  </si>
  <si>
    <t>• Autoreactive CD8+ cytotoxic T cells (clonally expanded, endomysial invasion)
• Autoreactive CD4+ T cells
• Autoreactive B cells / plasma cells (anti-cN-1A)</t>
  </si>
  <si>
    <t>1. Genetic risk (HLA-DRB1*03:01) coupled with cellular aging leads to dual autoimmune and degenerative processes in skeletal muscle.
2. Clonal expansion and endomysial infiltration of antigen-driven CD8+ cytotoxic T cells and CD28-null effector T cells.
3. CD8+ T cells surround and invade non-necrotic muscle fibers expressing MHC Class I (HLA-ABC) on their sarcolemma.
4. Cytotoxic granule release (perforin, granzyme B) induces myofiber injury, while impaired protein degradation pathways lead to accumulation of phosphorylated tau, amyloid-β, and TDP-43 aggregates.
5. Progressive myofiber loss, rimmed vacuole formation, and endomysial fibrosis produce asymmetric proximal and distal muscle atrophy and dysphagia.</t>
  </si>
  <si>
    <t>• Chronic, insidious progression over years (95–100%)
• Quadriceps femoris weakness and atrophy causing knee buckling and falls (85–95%)
• Asymmetric weakness and wasting of deep finger flexors (forearm flexors) (80–90%)
• Progressive dysphagia / choking on solid food (40–60%)
• Foot drop and asymmetric ankle dorsiflexor weakness (30–40%)</t>
  </si>
  <si>
    <t>• Retroviruses (HTLV-1, HIV)
• Hepatitis C virus, EBV</t>
  </si>
  <si>
    <t>• Cellular aging / protein misfolding stress
• Environmental toxin exposure
• Physical muscle overuse</t>
  </si>
  <si>
    <t>• Sjogren's syndrome
• Hashimoto's thyroiditis
• Systemic lupus erythematosus
• Celiac disease</t>
  </si>
  <si>
    <t>• Worldwide (most common myopathy in patients &gt;50 years, males &gt; females)</t>
  </si>
  <si>
    <t>• Physical and occupational therapy (resistance exercise training)
• Assistive mobility devices / fall prevention strategies
• Swallowing evaluations / cricopharyngeal myotomy or dilation for dysphagia
• Intravenous immunoglobulin (IVIG) (modest benefit in selected dysphagia)</t>
  </si>
  <si>
    <t>Inclusion Body Myositis (IBM) is a chronic inflammatory muscle disease that causes painless weakening of the muscle. It is a chronic, slowly progressive condition that can lead to disability over the years. Studies show that IBM is more common in men than in women. Most people need assistance with basic daily activities within 15 years, and some people will need to use a wheelchair. The illness can be difficult to diagnose and is often first mistaken as polymyositis. It is not directly genetic, but predispositions may be present. Lifespan is thought to be normal, but severe complications include aspiration pneumonia that can lead to loss of life. There is currently no cure and standard course of treatment for IBM. Management options include physical therapy, exercise, speech therapy, and fall prevention.</t>
  </si>
  <si>
    <t>joints. Although inclusion body myositis (IBM) has features which might reflect autoimmunity (including recently described autoantibodies), the pathology of this entity and the poor response to the types of immunosuppressive therapies which characteristically are highly effective in PM and DM suggest that this entity is distinct, and we have not considered it further in this chapter.</t>
  </si>
  <si>
    <t>1. Aging muscle tissue combined with HLA-DRB1*03:01 drives antigen presentation and escape of self-reactive cytotoxic T lymphocytes.
2. Autoreactive CD8+ cytotoxic T cells clonally expand and invade non-necrotic myofibers displaying aberrant MHC Class I.
3. Plasmablasts synthesize autoantibodies targeting cytosolic 5'-nucleotidase 1A (cN-1A / NT5C1A).
4. Endoplasmic reticulum stress, defective autophagy, and proteasomal overload cause accumulation of ubiquitinated protein aggregates and rimmed vacuoles.
5. Structural myofiber degradation, chronic myophagocytosis, and replacement by fatty-fibrous tissue lead to progressive quadriceps and deep finger flexor weakness.</t>
  </si>
  <si>
    <t>Infertility associated with Antisperm Antibodies</t>
  </si>
  <si>
    <t>Autoimmunity against spermatozoa
Immunological infertility 
Immunoinfertility</t>
  </si>
  <si>
    <t>Infertility associated with antisperm antibodies occurs when the immune system generates autoantibodies that target sperm antigens in either men or women. These antibodies coat sperm cells, impairing motility, causing agglutination, or blocking sperm-egg binding and fertilization. Treatment involves assisted reproductive technologies, such as intrauterine insemination or in vitro fertilization with intracytoplasmic sperm injection.</t>
  </si>
  <si>
    <t>Autoimmune reproductive disorder wherein antisperm autoantibodies in serum or genital secretions bind to sperm membrane antigens, causing agglutination, immobilization, or impaired ovum penetration. Chapter 68, pp. 995–1005.</t>
  </si>
  <si>
    <t>Sperm surface antigens (FA-1, SP-10, Izumo1)</t>
  </si>
  <si>
    <t>1. Breaching of the blood-testis barrier (in males via trauma, infection, or vasectomy) or altered female genital tract immune tolerance.
2. Antigen-presenting cells process sperm membrane proteins (SP-10, FA-1, Izumo1) and stimulate autoreactive B and T cells.
3. Synthesis of sperm-immobilizing and agglutinating antibodies (ASAs) of IgG, IgA, and IgM isotypes.
4. ASAs bind motile spermatozoa in seminal plasma, cervical mucus, or oviduct fluid.
5. Agglutination, reduced progressive sperm motility, blocked acrosome reaction, and inhibition of zona pellucida penetration prevent conception.</t>
  </si>
  <si>
    <t>• Inability to conceive after ≥1 year of unprotected intercourse with normal evaluations (95–100%)
• Failure of cervical mucus penetration on postcoital testing (70–85%)
• Spontaneous macroscopic or microscopic sperm agglutination in ejaculate (70–80%)
• Markedly decreased progressive sperm forward motility (65–75%)</t>
  </si>
  <si>
    <t>• Chlamydia trachomatis, Ureaplasma
• E. coli, Mycoplasma genitalium</t>
  </si>
  <si>
    <t>• Genital tract trauma / surgical vasectomy / reversal
• Testicular torsion or cryptorchidism
• Infection of prostate or epididymis</t>
  </si>
  <si>
    <t>• Autoimmune thyroiditis
• Type 1 diabetes
• Systemic lupus erythematosus</t>
  </si>
  <si>
    <t>• Worldwide (found in 10-15% of men with unexplained infertility)</t>
  </si>
  <si>
    <t>• Assisted reproductive technology (ICSI / IVF with sperm retrieval)
• Sperm washing procedures
• Antioxidants (carnitine, vitamin E, zinc)
• Short-course corticosteroids (limited efficacy and side effect risks)</t>
  </si>
  <si>
    <t>Crohn's disease
Inflammatory Bowel Disease
Microscopic colitis
Ulcerative colitis</t>
  </si>
  <si>
    <t>Inflammatory bowel diseases is a group of autoimmune diseases that includes Crohn's disease, ulcerative colitis, and microscopic colitis.
Inflammatory bowel diseases is a group of autoimmune diseases that includes Crohn's disease, ulcerative colitis, and microscopic colitis.
Inflammatory bowel diseases is a group of autoimmune diseases that includes Crohn's disease, ulcerative colitis, and microscopic colitis.
Inflammatory bowel diseases is a group of autoimmune diseases that includes Crohn's disease, ulcerative colitis, and microscopic colitis.</t>
  </si>
  <si>
    <t>Chronic relapsing inflammatory disorders of the gastrointestinal tract, comprising Crohn's disease and ulcerative colitis, resulting from dysregulated mucosal immune responses to enteric microbiota in genetically susceptible hosts. Chapter 45, pp. 625–642.</t>
  </si>
  <si>
    <t>Colonic and small intestinal mucosal enterocytes (75%)
Goblet and Paneth cells (25%)</t>
  </si>
  <si>
    <t>• Perinuclear antineutrophil cytoplasmic antibodies (pANCA)
• Anti-Saccharomyces cerevisiae antibodies (ASCA)</t>
  </si>
  <si>
    <t>1. Breakdown of intestinal epithelial tight junctions in genetically susceptible hosts allows excessive penetration of luminal gut microbiota.
2. Innate pattern recognition receptors (TLRs, NOD2) activate mucosal dendritic cells and macrophages.
3. Pathological differentiation of naive CD4+ T cells into mucosal Th1, Th2-like, and Th17 inflammatory subsets.
4. Massive secretion of pro-inflammatory cytokines (TNF-α, IL-1β, IL-6, IL-12/23, IL-17) recruits circulating neutrophils and monocytes.
5. Severe mucosal and transmural tissue destruction, ulceration, architectural distortion, and impaired water and nutrient absorption.</t>
  </si>
  <si>
    <t>• Chronic, recurrent diarrhea with or without visible blood/mucus (80–90%)
• Cramping abdominal pain and lower abdominal tenderness (70–85%)
• Rectal urgency, tenesmus, and fecal incontinence (50–65%)
• Involuntary weight loss, malabsorption, and chronic fatigue (50–60%)
• Extraintestinal manifestations (peripheral arthritis, uveitis, aphthae) (25–35%)</t>
  </si>
  <si>
    <t>1.0 cases per 250 to 500</t>
  </si>
  <si>
    <t>1.0 cases per 139</t>
  </si>
  <si>
    <t>• Mycobacterium avium paratuberculosis
• Adherent-invasive E. coli
• Microbial gut flora dysbiosis</t>
  </si>
  <si>
    <t>• High saturated fat / refined sugar Western diet
• Cigarette smoking (protective in UC, risk factor in Crohn's)
• Industrial air pollution and early antibiotic use</t>
  </si>
  <si>
    <t>• Ankylosing spondylitis
• Primary sclerosing cholangitis
• Psoriasis / psoriatic arthritis
• Pyoderma gangrenosum / erythema nodosum</t>
  </si>
  <si>
    <t>• North America, Western/Northern Europe, Scandinavia, Australasia</t>
  </si>
  <si>
    <t>• 5-Aminosalicylates (mesalamine, sulfasalazine) for UC
• Biologics: Anti-TNF (infliximab, adalimumab), Anti-IL12/23 (ustekinumab), Anti-integrin (vedolizumab)
• JAK inhibitors (tofacitinib, upadacitinib) / S1P modulators (ozanimod)
• Corticosteroids for acute induction / Surgical resection or colectomy</t>
  </si>
  <si>
    <t>Insulin autoimmune syndrome (Hirata syndrome)</t>
  </si>
  <si>
    <t>IAS; Hirata disease; Hirata syndrome; insulin autoantibody syndrome; spontaneous hypoglycemia with insulin autoantibodies; autoimmune hypoglycemia due to insulin autoantibodies; insulin antibody-mediated hypoglycemia; anti-insulin antibody hypoglycemia; insulin autoimmune hypoglycemia</t>
  </si>
  <si>
    <t>Insulin autoimmune syndrome, or Hirata disease, is a rare autoimmune disorder characterized by spontaneous, severe hypoglycemia caused by high levels of polyclonal autoantibodies directed against endogenous insulin. The antibodies bind insulin post-prandially and later release it unpredictably into the bloodstream, triggering severe drops in blood sugar. It is strongly linked to specific HLA alleles and sulfhydryl-containing medications.</t>
  </si>
  <si>
    <t>Rare autoimmune disorder causing severe hyperinsulinemic hypoglycemia, characterized by polyclonal autoantibodies against endogenous insulin in patients never exposed to exogenous insulin, strongly associated with HLA-DRB1*0406. Chapter 41, pp. 580–592.</t>
  </si>
  <si>
    <t>Native human insulin</t>
  </si>
  <si>
    <t>Skeletal muscle myocytes (50%)
Hepatocytes (30%)
Adipocytes (20%)</t>
  </si>
  <si>
    <t>• Anti-insulin autoantibodies (IAA, high-titer polyclonal IgG)</t>
  </si>
  <si>
    <t>• Autoreactive B cells / plasma cells (anti-insulin autoantibodies)
• Autoreactive CD4+ T helper cells (HLA-DRB1*04:06-restricted)</t>
  </si>
  <si>
    <t>1. Exposure to sulfhydryl-containing medications or viral illness in individuals possessing the high-risk HLA-DRB1*04:06 allele.
2. Loss of immunological tolerance against native, endogenous human insulin without prior exogenous insulin therapy.
3. Clonal expansion of B cells produces high titers of polyclonal IgG autoantibodies directed against native insulin.
4. In the postprandial state, secreted insulin binds avidly to circulating autoantibodies, delaying initial glucose disposal and causing early hyperglycemia.
5. Subsequent unpredictable, spontaneous dissociation of vast amounts of free insulin from autoantibody complexes triggers profound, life-threatening reactive hypoglycemia.</t>
  </si>
  <si>
    <t>• Recurrent, severe spontaneous neuroglycopenic hypoglycemia (confusion, coma, seizures) (95–100%)
• Sympathetic adrenergic symptoms (sweating, palpitations, tremors) (85–95%)
• Hypoglycemia occurring primarily postprandially (2–4 hours after meal) or post-exercise (70–80%)
• Spontaneous clinical remission within 3–6 months (70–80%)</t>
  </si>
  <si>
    <t>• Unidentified viral triggers</t>
  </si>
  <si>
    <t>• Medications containing sulfhydryl groups (methimazole, captopril, glutathione)
• Alpha-lipoic acid supplements
• Dietary sulfur compounds</t>
  </si>
  <si>
    <t>• Graves' disease
• Hashimoto's thyroiditis
• Systemic lupus erythematosus</t>
  </si>
  <si>
    <t>• East Asia (Japan, South Korea, China; strongly linked to HLA-DRB1*04:06)</t>
  </si>
  <si>
    <t>• Immediate discontinuation of sulfhydryl-containing drugs/supplements
• Frequent small, low-carbohydrate meals (to avoid postprandial surges)
• Oral alpha-glucosidase inhibitors (acarbose)
• Systemic glucocorticoids (for persistent severe hypoglycemic episodes)
• Plasmapheresis or rituximab in refractory cases</t>
  </si>
  <si>
    <t>Pars planitis
Intermediate uveitis
IU
Chronic cyclitis
Cyclochorioretinitis
Peripheral Uveitis
Peripheral uveoretinitis
Vitritis</t>
  </si>
  <si>
    <t>Intermediate uveitis is a disorder that causes inflammation in the vitreous humour, the gel that fills the eye. In this condition, cells from the blood may penetrate the eye's interior and be found suspended in the vitreous humour. Normally, both eyes are affected. Patients with the pars planitis subtype of intermediate uveitis also have additional inflammation in the pars plana (the layer of the eye between the iris and the vitreous humour). This occurs when cells from the vitreous humour leak into the pars plana. This subtype is more common in children, while non-pars planitis intermediate uveitis is more common in adults. The non-pars planitis subtype is especially common in those with systemic conditions, such as sarcoidosis and multiple sclerosis, or in those who have certain infections. Some cases without infection may be caused by autoimmune activity. Patients of both pars planitis and non-pars planitis subtypes often experience floaters and blurry vision. Without medical attention, vision loss and blindness may occur in severe cases; however, treatments are available to prevent this.
There are other forms of &lt;a href="/Disease_Profile/uveitis.aspx"&gt;uveitis&lt;/a&gt; that can be autoimmune.</t>
  </si>
  <si>
    <t>Immunity in the eye is deviant and atypical. The eye's ability to regulate local immune responses has been attributed to several factors. First, there are several immunosuppressive substances in the aqueous humor of the eye, such as α-melanocyte-stimulating hormone (α-MSH), vasoactive intestinal peptide (VIP), transforming-growth factor-beta (TGF-β), and macrophage-migration-inhibitory factor (MIF), which act to modulate ocular immune responses. Second, there are bone marrow-derived cells in the vascularized tissues of the eye that may capture antigens and present them to immune cells. Third, surface markers, such as CD95 ligand (Griffith et al., 1996; Ferguson and Griffith, 1997), CD46 (Bora et al., 1993), and CD59 are expressed in ocular parenchymal tissues; they directly inhibit effector T cell components of complement, thus saving the eye from tissue damage. Also, inside the eye, both the retina and anterior chamber have a well-structured vascular network with blood-ocular barriers that protect the eye from intruding macromolecules. The ability to discriminate between self and non-self is used for elimination of autoreactive cells. Because the eye is considered to be an immunologically privileged organ, it is believed that expression of ocular autoantigens occurs exclusively within the intraocular environment (Gery and Streilein, 1994). A classic example of organ-specific autoimmune disease caused by autoantigens is sympathetic ophthalmia, a rare form of intraocular inflammation in which the fellow eye develops inflammation after penetrating injury of the opposite eye. The inflammation may develop as early as several days after the penetrating insult to decades later. Typically, it occurs in the first several weeks (4–12 weeks). It is speculated that the injury causes primary immunization to self-antigens.</t>
  </si>
  <si>
    <t>Retinal S-antigen
Interphotoreceptor retinoid-binding protein (IRBP)</t>
  </si>
  <si>
    <t>Vitreous cortex hyalocytes and retinal glial / Müller cells (60%)
Ciliary body pars plana non-pigmented epithelial cells (40%)</t>
  </si>
  <si>
    <t>• Anti-retinal autoantibodies
• Anti-S-antigen autoantibodies</t>
  </si>
  <si>
    <t>• Autoreactive CD4+ Th1 / Th17 cells (retinal/uveal antigen-specific)
• Autoreactive CD8+ cytotoxic T cells
• Autoreactive B cells / plasma cells</t>
  </si>
  <si>
    <t>1. Loss of ocular immune tolerance triggered by systemic disease (multiple sclerosis, sarcoidosis) or idiopathic autoantigen presentation (retinal S-antigen, IRBP).
2. Primed CD4+ Th1 and Th17 cells cross the blood-ocular barrier into the vitreous base and ciliary body.
3. Chronic perivascular infiltration around peripheral retinal venules (periphlebitis).
4. Vitreous condensation, cellular aggregation ("snowballs"), and fibrovascular exudation over the pars plana and inferior ora serrata ("snowbanks").
5. Vitreous opacification, cystoid macular edema (CME), and tractional retinal detachment cause painless floaters and progressive visual impairment.</t>
  </si>
  <si>
    <t>• Painless vitreous floaters, specks, and webs in visual field (85–95%)
• Absence of prominent ocular pain or external redness (85–95%)
• Fundoscopic vitreous 'snowballs' and pars plana 'snowbanking' (80–90%)
• Blurred vision / progressive decrease in visual acuity (70–80%)
• Cystoid macular edema causing central visual loss (40–50%)</t>
  </si>
  <si>
    <t>1.0 cases per 50,000 to 71,429</t>
  </si>
  <si>
    <t>Child: 6
Adult: 30</t>
  </si>
  <si>
    <t>• Borrelia burgdorferi, EBV
• Bartonella henselae, Toxoplasma</t>
  </si>
  <si>
    <t>• Environmental immune activation
• Cigarette smoking
• Ocular trauma</t>
  </si>
  <si>
    <t>• Multiple sclerosis
• Sarcoidosis
• Inflammatory bowel disease</t>
  </si>
  <si>
    <t>• Worldwide (accounts for 8-15% of uveitis cases, bimodal age distribution)</t>
  </si>
  <si>
    <t>• Periocular (sub-Tenon / intravitreal) corticosteroid injections
• Systemic oral corticosteroids (prednisone taper)
• Immunosuppressants (methotrexate, mycophenolate, cyclosporine)
• Biologics (adalimumab) / pars plana vitrectomy for vitreous debris</t>
  </si>
  <si>
    <t>Cryptogenic organizing pneumonia
Idiopathic pulmonary fibrosis
Interstitial lung disease</t>
  </si>
  <si>
    <t xml:space="preserve">Interstitial lung disease is a small group of diseases that feature inflammation and the development of fibrous tissue that affects the small airways and the small sacks in the lungs (alveoli) where oxygen is exchanged for carbon dioxide. The two most common diseases in this group are idiopathic pulmonary fibrosis and cryptogenic organizing pneumonia, both of which can occur as “idiopathic” conditions (where the cause is unknown) or in association with several autoimmune diseases. Although both are classified as “lung disorders of unknown etiology,” there are clues that autoimmune mechanisms play a role in the development of both disorders. 
Interstitial lung disease is a small group of diseases that feature inflammation and the development of fibrous tissue that affects the small airways and the small sacks in the lungs (alveoli) where oxygen is exchanged for carbon dioxide. The two most common diseases in this group are idiopathic pulmonary fibrosis and cryptogenic organizing pneumonia, both of which can occur as “idiopathic” conditions (where the cause is unknown) or in association with several autoimmune diseases. Although both are classified as “lung disorders of unknown etiology,” there are clues that autoimmune mechanisms play a role in the development of both disorders. 
Interstitial lung disease is a small group of diseases that feature inflammation and the development of fibrous tissue that affects the small airways and the small sacks in the lungs (alveoli) where oxygen is exchanged for carbon dioxide. The two most common diseases in this group are idiopathic pulmonary fibrosis and cryptogenic organizing pneumonia, both of which can occur as “idiopathic” conditions (where the cause is unknown) or in association with several autoimmune diseases. Although both are classified as “lung disorders of unknown etiology,” there are clues that autoimmune mechanisms play a role in the development of both disorders. </t>
  </si>
  <si>
    <t>Heterogeneous spectrum of inflammatory and fibrotic pulmonary disorders characterized by alveolar wall infiltration and progressive fibrosis, frequently manifesting as a complication of autoimmune connective tissue diseases. Chapter 74, pp. 1080–1095.</t>
  </si>
  <si>
    <t>Type II alveolar pneumocytes (60%)
Lung interstitial fibroblasts (40%)</t>
  </si>
  <si>
    <t>• Myositis-specific antibodies (anti-Jo-1, anti-MDA5)
• Anti-Scl-70 autoantibodies</t>
  </si>
  <si>
    <t>• Autoreactive CD4+ T helper cells
• Autoreactive B cells / plasma cells (myositis/systemic autoantibodies)
• Autoreactive CD8+ cytotoxic T cells</t>
  </si>
  <si>
    <t>1. Genetic risk and environmental/autoimmune insults injure alveolar capillary endothelial and epithelial cells.
2. Persistent activation of autoreactive CD4+ T cells and B cells (associated with myositis antibodies, Scl-70, or ANA).
3. Mononuclear cell infiltration into the alveolar septa and sustained release of pro-fibrotic cytokines (TGF-β1, IL-4, IL-13, PDGF).
4. Uninhibited differentiation of resident lung fibroblasts into contractile myofibroblasts.
5. Progressive collagen deposition, alveolar wall thickening, and fibrotic architectural distortion severely impair pulmonary alveolar gas exchange.</t>
  </si>
  <si>
    <t>• Progressive exertional dyspnea and exercise limitation (80–95%)
• Bibasilar inspiratory fine Velcro-like crackles (75–85%)
• Chronic, persistent dry non-productive cough (70–85%)
• Systemic fatigue, asthenia, and chest tightness (70–80%)
• Digital clubbing in advanced fibrotic variants (20–40%)</t>
  </si>
  <si>
    <t>1.0 cases per 1,000 to 1,500</t>
  </si>
  <si>
    <t>• Epstein-Barr virus, CMV
• Chlamydia, Mycoplasma pneumoniae</t>
  </si>
  <si>
    <t>• Cigarette smoke, inhaled coal/wood/silica dust
• Gastroesophageal reflux / aspiration
• Medications (methotrexate, amiodarone, bleomycin)</t>
  </si>
  <si>
    <t>• Rheumatoid arthritis
• Systemic sclerosis
• Polymyositis / dermatomyositis
• Sjogren's syndrome</t>
  </si>
  <si>
    <t>• Worldwide (broadly distributed, higher in elderly smokers)</t>
  </si>
  <si>
    <t>• Systemic corticosteroids (prednisone / pulse methylprednisolone)
• Immunosuppressants (mycophenolate mofetil, azathioprine, cyclophosphamide)
• Antifibrotic medications (nintedanib, pirfenidone)
• Supplemental oxygen and pulmonary rehabilitation / Lung transplant</t>
  </si>
  <si>
    <t>Juvenile chronic arthritis
JIA
JRA
Juvenile Rheumatoid Arthritis
Juvenile arthritis
Juvenile idiopathic arthritis
Pediatric rheumatic disease</t>
  </si>
  <si>
    <t>Juvenile rheumatoid arthritis is a pediatric disorder affecting the joints. Damage occurs when immune cells penetrate the lining of the joints, causing inflammation. Patients typically experience joint pain and swelling, which may occur in a flare/remission pattern. Some subtypes have strong evidence of being autoimmune. The condition is diagnosed through exclusion, when joint inflammation lasts more than 6 weeks in a patient 16 years-old or younger and cannot be positively diagnosed with another condition. 
There are 7 types of juvenile arthritis: &lt;br&gt;
&lt;li&gt;1.	&lt;b&gt;Systemic juvenile idiopathic arthritis&lt;/b&gt; occurs in at least one joint accompanied by fever for 2 weeks or longer. Other possible symptoms include rash or enlargement of the lymph nodes, liver, or spleen.&lt;/li&gt;
&lt;li&gt;2.	&lt;b&gt;Oligoarticular juvenile arthritis&lt;/b&gt; (oligoarthritis) occurs in not more than 4 joints in the 6 months following disease onset. After this point, the condition may remain stable (persistent oligoarthritis), or it may spread to additional joints (extended oligoarthritis). The eyes may also be affected.&lt;/li&gt;
&lt;li&gt;3.	&lt;b&gt;Rheumatoid factor positive polyarticular juvenile idiopathic arthritis&lt;/b&gt; (polyarthritis and rheumatoid factor positive are alternative terms) has symptoms similar to adult rheumatoid arthritis but occurs in children. Patients typically experience arthritis in a minimum of 5 joints in the 6 months following disease onset. Blood tests reveal the presence of rheumatoid factors, a type of autoimmune antibody. The evidence suggests strongly that this subtype is autoimmune. &lt;/li&gt;
&lt;li&gt;4.	&lt;b&gt;Rheumatoid factor negative polyarticular juvenile idiopathic arthritis&lt;/b&gt; (polyarthritis and rheumatoid factor negative are alternative terms) is marked by the same symptoms as patients with rheumatoid factor positive. The negative variety is distinguished from the positive variety by an absence of rheumatoid factors in the blood. &lt;/li&gt;
&lt;li&gt;5.	&lt;b&gt;Psoriatic juvenile idiopathic arthritis&lt;/b&gt; causes both arthritis and red skin rashes with white scaling (psoriasis). Irregularities in the fingers, nails, or eyes may also occur.&lt;/li&gt;
&lt;li&gt;6.	&lt;b&gt;Enthesitis-related juvenile idiopathic arthritis&lt;/b&gt; causes discomfort where the bone joins with other tissues, such as tendons and ligaments. Irritation is frequent in the hips, knees, and feet. Tissue besides the joints may also become inflamed. &lt;/li&gt;
&lt;li&gt;7.	&lt;b&gt;Undifferentiated arthritis&lt;/b&gt; describes patients whose symptoms are not compatible with the other 6 categories of juvenile arthritis, or whose presentation includes symptoms from multiple categories.&lt;/li&gt;
Some patients experience full relief from symptoms with medical attention, while others experience relapses throughout life. Treatments are available to control symptoms and improve function.</t>
  </si>
  <si>
    <t>Systemic JIA (sJIA) is etiopathogenically different from all the other forms of JIA (Mellins et al., 2011). The systemic features, the marked inflammatory response, the lack of sex bias, peak age at onset, association with autoantibodies or HLA antigens are all consistent with what is observed in autoinflammatory diseases. Also, the sensitivity to treatment is different and provides evidence for a different etiopathogenesis. Indeed, methotrexate or antitumor necrosis factor (TNF) agents are less effective than in the other JIA categories, while anti-IL-6 or anti-IL-1 drugs are of impressive efficacy.</t>
  </si>
  <si>
    <t>Synovial lining fibroblast-like synoviocytes (70%)
Articular chondrocytes (30%)</t>
  </si>
  <si>
    <t>• Antinuclear antibodies (ANA)
• Rheumatoid factor (RF)
• Anti-cyclic citrullinated peptide (anti-CCP)</t>
  </si>
  <si>
    <t>• Autoreactive CD4+ Th1 and Th17 cells (synovial infiltrates)
• Autoreactive CD8+ cytotoxic T cells
• Autoreactive B cells / plasma cells (ANA, RF)</t>
  </si>
  <si>
    <t>1. Complex genetic susceptibility (HLA-DRB1 alleles, PTPN22) and environmental triggers activate synovial dendritic cells.
2. Infiltration of synovial tissue by autoreactive CD4+ Th1/Th17 lymphocytes, macrophages, and B cells.
3. Secretion of pro-inflammatory cytokines (TNF-α, IL-1β, IL-6, IL-17) induces marked synovial microvascular angiogenesis and lining cell hyperplasia.
4. Formation of invasive synovial pannus tissue that adheres to cartilage and subchondral bone.
5. Pannus-derived matrix metalloproteinases and osteoclast activation degrade articular cartilage and cause bony erosions, joint stiffness, and chronic pain.</t>
  </si>
  <si>
    <t>• Persistent joint pain, swelling, warmth, and morning stiffness &gt;6 weeks in youth &lt;16 yrs (95–100%)
• Reduced range of joint motion and joint flexion deformities (80–90%)
• Morning limp, joint guarding, and decreased physical activity (70–80%)
• Asymptomatic chronic anterior uveitis (15–25% in oligoarticular subtype)
• Spiking high daily fevers and evanescent rash (systemic subtype: 10–15%)</t>
  </si>
  <si>
    <t>1.0 cases per 1,992 to 2,558</t>
  </si>
  <si>
    <t>• Parvovirus B19, EBV
• Enterovirus, Mycoplasma pneumoniae</t>
  </si>
  <si>
    <t>• Physical joint trauma / mechanical microinjury
• Psychological stress
• Tobacco smoke exposure (passive)</t>
  </si>
  <si>
    <t>• Autoimmune thyroiditis
• Celiac disease
• Type 1 diabetes
• Chronic anterior uveitis</t>
  </si>
  <si>
    <t>• Northern Europe, North America, Scandinavia (high pediatric prevalence)</t>
  </si>
  <si>
    <t>• NSAIDs (naproxen, meloxicam, first-line for mild)
• Intra-articular corticosteroid injections (triamcinolone hexacetonide)
• Conventional DMARDs (methotrexate, sulfasalazine)
• Biologics: Anti-TNF (adalimumab, etanercept), Anti-IL-6 (tocilizumab), Anti-IL-1 (anakinra)</t>
  </si>
  <si>
    <t>Klein Levin Syndrome</t>
  </si>
  <si>
    <t>Kleine-Levin syndrome is a rare neurological disorder characterized by recurring episodes of extreme hypersomnia accompanied by cognitive impairment, behavioral changes, and hyperphagia. While suspected immune and hypothalamic mechanisms have been proposed, clear autoantibody markers remain unconfirmed, and it is classified as an unconfirmed autoimmune condition. Management focuses on supportive care and mood-stabilizing medications during episodes.</t>
  </si>
  <si>
    <t>No mention in Rose &amp; Mackay - Rare neurological disorder characterized by episodic hypersomnia and behavioral abnormalities without confirmed autoimmune pathogenesis.</t>
  </si>
  <si>
    <t>Hypothalamic neurosecretory neurons (80%)
Thalamic relay neurons (20%)
(Unspecified quantitative percentage in literature)</t>
  </si>
  <si>
    <t>1. Preceding systemic viral or bacterial infection triggers neuroimmune dysregulation in genetically vulnerable adolescents.
2. Autoimmune or inflammatory infiltration localized to the hypothalamic-pituitary axis and thalamocortical relay circuits.
3. Aberrant cytokine signaling and transient neurotransmitter dysregulation (dopaminergic, serotonergic, and hypocretinergic).
4. Reversible functional impairment of hypothalamic sleep-wake, satiety, and behavioral control centers.
5. Periodic episodic hypersomnia (sleeping 18-20 hours/day) accompanied by cognitive fog, derealization, megaphagia, and hypersexuality.</t>
  </si>
  <si>
    <t>• Recurrent episodes of severe hypersomnia (sleeping 16–20 hours daily for days/weeks) (100%)
• Completely normal cognition, sleep, and mood between distinct episodes (100%)
• Cognitive derealization, apathy, and altered perception (80–90%)
• Compulsive megaphagia / binge eating during episodes (70–80%)
• Hypersexuality and disinhibited behaviors (45–55%)</t>
  </si>
  <si>
    <t>increased frequency of the human leukocyte antigen DQB1*0201 allele</t>
  </si>
  <si>
    <t>• Influenza virus, EBV
• Streptococcus, Enterovirus</t>
  </si>
  <si>
    <t>• Febrile illness / upper respiratory viral infection
• Alcohol consumption
• Sleep deprivation / stress</t>
  </si>
  <si>
    <t>• Rare; occasionally associated with psychiatric or autoimmune traits</t>
  </si>
  <si>
    <t>• Worldwide (rare, ~1-2 cases per million, male predominance 4:1 in teens)</t>
  </si>
  <si>
    <t>• Supportive care, safety, and reassurance during hypersomnic episodes
• Stimulants (modafinil, armodafinil, methylphenidate) for somnolence
• Mood stabilizers (lithium carbonate, reduces episode frequency)
• High-dose IV methylprednisolone during acute episodes (mixed efficacy)</t>
  </si>
  <si>
    <t xml:space="preserve">Lichen planus is a recurrent, itchy rash, characterized by shiny reddish-purple spots on the skin and gray-white ones in the mouth. Separate spots may coalesce into rough scaly patches. It is not rare, but it is  
Most papers on lichen planus assume all cases of the disease are autoimmune or do not mention autoimmunity at all.  It may be a symptom of other autoimmune diseases.   </t>
  </si>
  <si>
    <t>Chronic inflammatory mucocutaneous condition characterized by pruritic polygonal violaceous papules, mediated by cytotoxic CD8+ T-cell infiltration against basal keratinocytes triggering apoptosis, occasionally associated with hepatitis C virus. Chapter 65, pp. 962–972.</t>
  </si>
  <si>
    <t>Basal epidermal / mucosal keratinocytes (90%)
Dermal melanocytes (10%)</t>
  </si>
  <si>
    <t>• Autoreactive CD8+ cytotoxic T cells (basal keratinocyte apoptosis)
• Autoreactive CD4+ Th1 cells</t>
  </si>
  <si>
    <t>1. Viral infection (e.g., Hepatitis C), drugs, contact allergens, or stress triggers expression of altered autoantigens on basal keratinocytes.
2. Langerhans cells process and present antigens, recruiting antigen-specific CD4+ Th1 and cytotoxic CD8+ T cells to the dermo-epidermal junction.
3. Infiltrating cytotoxic CD8+ T cells release perforin, granzyme B, and TNF-α, engaging Fas on basal keratinocytes.
4. Liquefactive degeneration and extensive apoptosis of basal epidermal/mucosal keratinocytes, forming apoptotic Civatte bodies.
5. Dense, band-like ("lichenoid") lymphocytic infiltration at the dermal-epidermal junction produces pruritic, polygonal, violaceous, flat-topped papules (Wickham's striae).</t>
  </si>
  <si>
    <t>• The 6 P's: Pruritic, Polygonal, Planar, Purple, Papules and Plaques (85–95%)
• Wickham's striae: fine lacy white reticular lines on lesion surfaces (75–85%)
• Symmetrical involvement of flexor wrists, ankles, and lumbar region (70–80%)
• Reticular or erosive oral mucosal lesions (50–65%)
• Trachyonychia, longitudinal grooving, and pterygium of nails (10–15%)</t>
  </si>
  <si>
    <t>• Hepatitis C virus (HCV, strong association)
• Human herpesvirus 6 (HHV-6)
• Helicobacter pylori</t>
  </si>
  <si>
    <t>• Dental amalgam / metal restorations (mercury, gold)
• Medications (beta-blockers, ACE inhibitors, antimalarials, NSAIDs)
• Mechanical trauma / friction (Koebner response)</t>
  </si>
  <si>
    <t>• Autoimmune thyroiditis
• Alopecia areata
• Vitiligo
• Ulcerative colitis</t>
  </si>
  <si>
    <t>• Worldwide (prevalence ~1-2%, peak age 30-60, slight female preponderance)</t>
  </si>
  <si>
    <t>• High-potency topical corticosteroids (clobetasol, fluocinonide)
• Topical calcineurin inhibitors (tacrolimus, pimecrolimus)
• Systemic retinoids (acitretin) or short-course oral prednisone
• Narrowband UVB phototherapy</t>
  </si>
  <si>
    <t>Lichen sclerosus et atrophicus
Lichen sclerosus
Balanitis xerotica obliterans</t>
  </si>
  <si>
    <t>Lichen sclerosus causes patches of skin to look white, thickened and crinkly. It most often affects the skin around the vulva or anus.There is circumstantial evidence that lichen sclerosus is autoimmune but no clear evidence to support it.</t>
  </si>
  <si>
    <t>Chronic inflammatory anogenital and cutaneous disease characterized by superficial dermal sclerosis and epithelial atrophy, strongly linked to autoantibodies targeting extracellular matrix protein 1 (ECM1) and basement membrane antigens. Chapter 65, pp. 963–972.</t>
  </si>
  <si>
    <t>Extracellular matrix protein 1 (ECM1)</t>
  </si>
  <si>
    <t>Basal keratinocytes (50%)
Dermal fibroblasts and ECM-producing cells (50%)</t>
  </si>
  <si>
    <t>• Anti-extracellular matrix protein 1 (anti-ECM1) autoantibodies</t>
  </si>
  <si>
    <t>• Autoreactive CD4+ and CD8+ T cells (dermal infiltrate)
• Autoreactive B cells / plasma cells (anti-ECM1)</t>
  </si>
  <si>
    <t>1. Genetic susceptibility (HLA-DQ7) combined with microtrauma, Koebner phenomenon, or hormonal factors induces cutaneous autoimmunity.
2. Development of autoantibodies against extracellular matrix protein 1 (ECM1) and BP180.
3. Infiltration of the upper dermis by activated CD4+ and cytotoxic CD8+ T lymphocytes producing IFN-γ and TNF-α.
4. Lymphocytic destruction of basal keratinocytes and chronic activation of dermal fibroblasts via altered ECM1-fibulin-1 interactions.
5. Marked subepidermal edema, homogenization and sclerosis of dermal collagen, and epidermal atrophy lead to genital porcelain-white plaques, pruritus, and scarring.</t>
  </si>
  <si>
    <t>• Ivory-white atrophic patches/plaques with 'cigarette-paper' wrinkling of skin (85–95%)
• Intractable, severe anogenital pruritus, soreness, and burning (80–90%)
• Structural architectural distortion (resorption of labia minora, phimosis) (60–70%)
• Fragile skin with painful fissuring, purpura, and ecchymoses (50–60%)
• Severe dyspareunia and dysuria (40–55%)</t>
  </si>
  <si>
    <t>1.0 cases per 2,000</t>
  </si>
  <si>
    <t>• Borrelia burgdorferi
• Human papillomavirus (HPV), EBV</t>
  </si>
  <si>
    <t>• Chronic friction / mechanical microtrauma
• Urine occlusion / contact irritation
• Low estrogen states (postmenopausal, prepubertal)</t>
  </si>
  <si>
    <t>• Autoimmune thyroiditis (Hashimoto's)
• Vitiligo
• Alopecia areata
• Pernicious anemia
• Type 1 diabetes</t>
  </si>
  <si>
    <t>• Worldwide (estimated 1-3% of postmenopausal females; also affects males)</t>
  </si>
  <si>
    <t>• Ultra-potent topical corticosteroids (clobetasol propionate ointment, first-line)
• Topical calcineurin inhibitors (tacrolimus, pimecrolimus)
• Dilator therapy or surgical release for severe scarring / architectural distortion
• Regular long-term monitoring for squamous cell carcinoma risk</t>
  </si>
  <si>
    <t>Ligneous conjunctivitis
Adult Onset Ligneous conjunctivitis
Autoimmune ligneous conjunctivitis
Conjunctivitis lignose</t>
  </si>
  <si>
    <t>Ligneous conjunctivitis is a rare, chronic form of conjunctivitis that starts in adulthood. A genetically caused form of the disease can occur in childhood, but these cases are not autoimmune.  Patients with ligneous conjunctivitis have large, inflamed, woody growths on the inside of the eyelid and potentially whites of the eye.  These growths may also occur in the mouth, ears, respiratory tract, and genitourinary tract. The inflamed growths are likely to come back after they have been removed. If untreated, ligneous conjunctivitis can lead to vision loss and sometimes life-threatening pulmonary complications.</t>
  </si>
  <si>
    <t>Rare chronic pseudomembranous conjunctivitis characterized by fibrin-rich wooden plaques on mucous membranes, caused by congenital plasminogen deficiency rather than autoimmune pathogenesis. Chapter 55, pp. 775–785.</t>
  </si>
  <si>
    <t>Plasminogen</t>
  </si>
  <si>
    <t>Conjunctival and mucosal epithelial cells (70%)
Microvascular endothelial cells (30%)</t>
  </si>
  <si>
    <t>• Anti-plasminogen autoantibodies</t>
  </si>
  <si>
    <t>1. Congenital homozygous or compound heterozygous mutations in the PLG gene, or autoantibodies causing severe type I plasminogen deficiency.
2. Local minor microtrauma or infection triggers normal fibrin deposition and mucosal wound healing response.
3. Marked lack of plasminogen prevents conversion to active plasmin, abolishing physiological intravascular and extravascular fibrinolysis.
4. Fibrin accumulates unchecked on ocular mucous membranes, forming thick, dense, insoluble fibrin-rich coagula.
5. Formation of hard, wood-like ("ligneous"), yellowish pseudomembranes on palpebral conjunctiva, causing chronic mucosal ulceration and corneal scarring.</t>
  </si>
  <si>
    <t>• Chronic, recurrent, thick, wood-like yellowish-white pseudomembranous plaques on palpebral conjunctiva (95–100%)
• Ocular redness, mucoid tearing, and foreign body sensation (80–90%)
• Extragenerative pseudomembranes on gingiva, ear canal, tracheobronchial tree, or cervix (20–30%)
• Severe corneal ulceration and perforation in untreated cases (20–30%)</t>
  </si>
  <si>
    <t>Autoimmune form is very rare</t>
  </si>
  <si>
    <t>• Streptococcus, Staphylococcus (superantigens)
• Viral conjunctivitis triggers</t>
  </si>
  <si>
    <t>• Minor mechanical trauma / ocular surgery
• Systemic antifibrinolytic therapy (tranexamic acid)
• Poor hygiene / dust exposure</t>
  </si>
  <si>
    <t>• Rare (primary monogenic plasminogen deficiency, PLG gene)</t>
  </si>
  <si>
    <t>• Worldwide (extremely rare, autosomal recessive, clusters in consanguineous families)</t>
  </si>
  <si>
    <t>• Topical ophthalmic plasminogen concentrate drops (definitive therapy)
• Intravenous plasminogen (human) substitution
• Fresh frozen plasma (FFP) topical or systemic
• Surgical pseudomembrane excision combined with topical heparin / plasminogen</t>
  </si>
  <si>
    <t>Linear IgA dermatosis
Chronic bullous dermatosis of childhood
Linear IgA bullous disease
Linear IgA disease</t>
  </si>
  <si>
    <t>Linear IgA disease causes blisters to form deep in the skin. It can affect the skin and mucus membranes such as the mouth and genitals. Its name comes from the image produced during a skin biopsy in which a line of IgA antibodies can be found just below the outer layer of skin (the epidermis).</t>
  </si>
  <si>
    <t>Linear IgA disease (LAD) is a subepidermal blistering disorder characterized by pruritic lesions and linear deposition of IgA autoantibodies at the BMZ (Nemzer et al., 2000). Mucosal membrane involvement is common (60–80%). LAD can be subdivided into adult-onset, childhood-onset, and drug-induced LAD (Zone et al., 2004). The histology of lesional and perilesional skin reveals subepidermal vesicles with neutrophilic infiltration along the BMZ and in the superficial dermis. IgA autoantibodies in LAD serum react with multiple antigenic peptides derived from the BP180 ectodomain. The most common antigenic peptides for the major type of LAD (lamina lucida type), detected by immunoblotting using epidermal extracts, are the 97-kDa protein (LABD97) and the 120-kDa antigens (LAD-1), which are considered to be the proteolytic fragments of the BP180 polypeptide (Zone et al., 2004). These findings suggest that the majority of LAD autoantibodies recognize epitopes on LABD97 and LAD-1, which are different from those bound by BP autoantibodies on the intact BP180 molecule.</t>
  </si>
  <si>
    <t>BP180 (LAD-1, 120 kDa / 97 kDa fragments)</t>
  </si>
  <si>
    <t>• Anti-BP180 (LAD-1 / 97-kDa) IgA autoantibodies</t>
  </si>
  <si>
    <t>• Autoreactive B cells / plasma cells (anti-BP180 LAD-1 IgA)
• Autoreactive CD4+ T helper cells</t>
  </si>
  <si>
    <t>1. Drug exposure (frequently vancomycin) or idiopathic autoimmunity breaks tolerance against the 120-kDa or 97-kDa shed ectodomains of BP180 (LAD-1).
2. Clonal B lymphocytes synthesize pathogenic IgA1 autoantibodies targeting LAD-1/BP180 at the basement membrane zone.
3. IgA autoantibodies deposit in a continuous, linear ribbon-like pattern along the lamina lucida or sub-lamina densa of the dermal-epidermal junction.
4. IgA Fc receptors (FcαRI / CD89) bind and activate polymorphonuclear neutrophils.
5. Neutrophil elastase and gelatinase release causes dermo-epidermal separation, manifesting as tense annular blisters in a "string of pearls" configuration.</t>
  </si>
  <si>
    <t>• Tense clear or hemorrhagic vesicles/bullae arranged in annular 'string of pearls' or 'crown of jewels' pattern (85–95%)
• Predilection for lower trunk, pelvic girdle, and extremities (75–85%)
• Pruritus ranging from moderate to severe (70–85%)
• Mucosal erosions and blister formation (oral, conjunctival, genital) (40–50%)</t>
  </si>
  <si>
    <t>1.0 cases per 434,783 to 2,000,000</t>
  </si>
  <si>
    <t>Child: 0
Adult: 40</t>
  </si>
  <si>
    <t>Child: 5
Adult: 100</t>
  </si>
  <si>
    <t>• Post-infectious viral triggers
• Upper respiratory bacterial infections</t>
  </si>
  <si>
    <t>• Medications (vancomycin, penicillins, cephalosporins, NSAIDs)
• Preceding viral infections
• Mechanical trauma / burns</t>
  </si>
  <si>
    <t>• Ulcerative colitis
• Crohn's disease
• Rheumatoid arthritis
• Systemic lupus erythematosus</t>
  </si>
  <si>
    <t>• Worldwide (rare; children: benign chronic bullous dermatosis of childhood; adults &gt;60)</t>
  </si>
  <si>
    <t>• Dapsone (first-line treatment of choice, rapid clinical response)
• Sulfapyridine or sulfamethoxypyridazine (if dapsone-intolerant)
• Systemic corticosteroids (prednisone, for refractory flares)
• Discontinuation of any inducing medication (e.g., vancomycin)</t>
  </si>
  <si>
    <t>Lipomatosis dolorosa
Adiposis dolorosa
Anders disease
Dercum's disease
Fatty tissue rheumatism
Juxta-Articular adiposis dolorosa
Lipomatosis dolorosa morbus dercum's</t>
  </si>
  <si>
    <t>Adiposis dolorosa is characterized by the slow formation of multiple, painful growths consisting of fatty tissue (lipomas) that are found just below the surface of the skin. Pain may vary from mild discomfort when a growth is pressed or touched to severe pain that is disproportionate to the physical findings.</t>
  </si>
  <si>
    <t>Dercum's disease; rare disorder characterized by multiple painful subcutaneous adipose deposits and systemic symptoms, lacking confirmed autoimmune etiology or specific autoantibodies in Rose &amp; Mackay. Chapter 60, pp. 880–890.</t>
  </si>
  <si>
    <t>Subcutaneous white adipocytes (80%)
Peripheral cutaneous nerve terminals (20%)
(Unspecified quantitative percentage in literature)</t>
  </si>
  <si>
    <t>1. Postulated genetic vulnerability, metabolic dysfunction, or autoimmune microangiopathy in subcutaneous adipose tissue.
2. Low-grade chronic immune infiltration by macrophages and mast cells within subcutaneous fat lobules.
3. Sustained secretion of inflammatory mediators (substance P, IL-6, TNF-α) and microvascular endothelial dysfunction.
4. Compression of unmyelinated sensory nerve fibers by proliferating, encapsulated fatty nodules alongside local neurogenic inflammation.
5. Formation of multiple painful, tender lipomas, widespread chronic neuropathic adiposis dolorosa, and associated asthenia.</t>
  </si>
  <si>
    <t>• Chronic, disabling, painful subcutaneous adipose tissue deposits / lipomas (95–100%)
• Generalized obesity (85–95%)
• Severe chronic fatigue, asthenia, and weakness (70–80%)
• Paresthesias and hyperalgesia over fatty lesions (60–70%)
• Emotional disturbance, anxiety, or depression (50–60%)</t>
  </si>
  <si>
    <t>• Unidentified viral triggers
• Endocrine metabolic stressors</t>
  </si>
  <si>
    <t>• Obesity / rapid weight gain
• Mechanical pressure / compression of fatty tissue
• Blunt physical trauma / surgery</t>
  </si>
  <si>
    <t>• Hashimoto's thyroiditis
• Type 1 diabetes
• Fibromyalgia
• Sjogren's syndrome</t>
  </si>
  <si>
    <t>• Worldwide (rare, predominantly postmenopausal, overweight females)</t>
  </si>
  <si>
    <t>• Symptomatic multimodal pain management (pregabalin, gabapentin, SNRIs)
• Local anesthetic injections (lidocaine / bupivacaine infusions)
• Surgical liposuction / lipectomy for painful localized lipomas
• Weight management and gentle physical therapy</t>
  </si>
  <si>
    <t>LRBA deficiency</t>
  </si>
  <si>
    <t>Lipopolysaccharide-responsive beige-like anchor protein deficiency; LPS-responsive beige-like anchor protein deficiency; combined immunodeficiency due to LRBA deficiency; CVID8; common variable immunodeficiency 8 with autoimmunity; LRBA-associated immune dysregulation; LRBA deficiency with autoimmunity and lymphoproliferation; LRBA protein deficiency; CTLA4 recycling defect due to LRBA deficiency</t>
  </si>
  <si>
    <t>LRBA deficiency is a rare monogenic primary immunodeficiency and autoimmune disorder caused by biallelic loss-of-function mutations in the LRBA gene. The loss of LRBA accelerates CTLA-4 degradation in regulatory T cells, resulting in autoimmune cytopenias, inflammatory bowel disease, interstitial lung disease, and hypogammaglobulinemia. Targeted therapy using CTLA-4 mimetic agents (such as abatacept) significantly improves symptoms.</t>
  </si>
  <si>
    <t>Monogenic immune deficiency and dysregulation syndrome caused by biallelic loss-of-function mutations in LRBA, resulting in degraded CTLA4 expression on regulatory T cells, hypogammaglobulinemia, and multi-organ autoimmunity. Chapter 29, pp. 420–428.</t>
  </si>
  <si>
    <t>Regulatory T cells (Tregs) (50%)
Activated B lymphocytes (30%)
Conventional T lymphocytes (20%)</t>
  </si>
  <si>
    <t>• Uncontrolled autoreactive CD4+ T effector cells (due to CTLA-4 loss)
• Autoreactive CD8+ cytotoxic T cells
• Autoreactive B cells / plasma cells</t>
  </si>
  <si>
    <t>1. Autosomal recessive loss-of-function mutations in the LRBA gene abolish lipopolysaccharide-responsive beige-like anchor protein.
2. Lack of LRBA halts normal endosomal recycling of CTLA-4, causing rapid CTLA-4 lysosomal degradation in regulatory T cells (Tregs).
3. Severe loss of cell-surface CTLA-4 impairs Treg suppressive function, allowing uncontrolled activation of effector T cells.
4. Autoreactive CD4+ and CD8+ T-cell expansion causes multi-organ infiltration alongside progressive B-cell depletion and hypogammaglobulinemia.
5. Severe multi-system autoimmunity (autoimmune enteropathy, hemolytic anemia, thrombocytopenia) and susceptibility to recurrent infections.</t>
  </si>
  <si>
    <t>• Early-onset refractory autoimmune enteropathy with chronic watery diarrhea (70–85%)
• Hypogammaglobulinemia with recurrent severe sinopulmonary infections (65–75%)
• Massive hepatosplenomegaly and chronic lymphadenopathy (60–70%)
• Autoimmune cytopenias (autoimmune thrombocytopenia, AIHA) (55–65%)
• Lymphocytic interstitial lung disease (40–50%)</t>
  </si>
  <si>
    <t>• Recurrent respiratory pathogens
• EBV, CMV, Candida albicans</t>
  </si>
  <si>
    <t>• Monogenic mutations in LRBA gene (loss of CTLA-4 recycling)
• Environmental antigen challenges</t>
  </si>
  <si>
    <t>• Autoimmune hemolytic anemia
• Immune thrombocytopenia
• Autoimmune enteropathy / colitis
• Type 1 diabetes
• Autoimmune thyroiditis</t>
  </si>
  <si>
    <t>• Worldwide (rare autosomal recessive immune dysregulation, Middle East consanguinity)</t>
  </si>
  <si>
    <t>• Abatacept (CTLA-4-Ig, targeted disease-modifying therapy)
• Chloroquine / hydroxychloroquine (inhibits lysosomal CTLA-4 degradation)
• Hematopoietic stem cell transplantation (HSCT, curative potential)
• Systemic corticosteroids and immunoglobulin replacement (IVIG/SCIG)</t>
  </si>
  <si>
    <t>Lupus vasculitis is an autoimmune complication of lupus erythematosus that occurs when proteins of the immune system enter the walls of the blood vessels, leading to inflammation.  Patients often experience ulcers, red marks, or bumps on the skin.  The spectrum of involvement ranges from relatively mild disease (affecting only small vessels and skin), to life threatening multi-organ disease. Treatments are available to control symptoms.  Early medical attention is necessary in severe cases to prevent lasting damage to the organs.</t>
  </si>
  <si>
    <t>Inflammatory vascular complication occurring in systemic lupus erythematosus, mediated by circulating immune complexes, complement consumption, and endothelial activation, primarily involving small cutaneous and visceral blood vessels. Chapter 72, pp. 1048–1058; Chapter 76, pp. 1115–1128.</t>
  </si>
  <si>
    <t>Endothelial cell antigens
dsDNA-containing immune complexes</t>
  </si>
  <si>
    <t>Small-vessel endothelial cells (80%)
Perivascular pericytes (20%)</t>
  </si>
  <si>
    <t>• Antinuclear antibodies (ANA)
• Anti-dsDNA autoantibodies
• Anti-C1q autoantibodies
• Anti-endothelial cell antibodies (AECA)</t>
  </si>
  <si>
    <t>• Autoreactive B cells / plasma cells (producing pathogenic immune complexes)
• Autoreactive CD4+ T follicular helper (Tfh) and Th17 cells
• Autoreactive CD8+ cytotoxic T cells</t>
  </si>
  <si>
    <t>1. In patients with systemic lupus erythematosus, circulating antibodies to dsDNA, Sm, and C1q form abundant immune complexes.
2. Immune complexes deposit in the walls of small and medium arteries, arterioles, and postcapillary venules.
3. Classical complement pathway activation produces chemotactic anaphylatoxins (C3a, C5a) that recruit and activate neutrophils.
4. Infiltrating neutrophils release lysosomal proteases and reactive oxygen species, inducing transmural fibrinoid necrosis.
5. Endothelial denudation, secondary thrombosis, and vascular lumen occlusion lead to cutaneous ulcerations, digital gangrene, visceral infarcts, and mononeuritis multiplex.</t>
  </si>
  <si>
    <t>• Palpable purpura, petechiae, and ecchymoses (60–75%)
• Painful digital ischemic infarcts, splinter hemorrhages, and periungual erythema (35–45%)
• Chronic, non-healing ischemic skin ulcers (20–30%)
• Mononeuritis multiplex / asymmetric peripheral neuropathy (15–25%)
• Visceral mesenteric or coronary ischemic vasculitis (5–10%)</t>
  </si>
  <si>
    <t>11% of lupus patients</t>
  </si>
  <si>
    <t>• Retroviruses, Epstein-Barr virus
• Cytomegalovirus</t>
  </si>
  <si>
    <t>• UV light exposure
• Medications (hydralazine, procainamide, sulfa drugs)
• Physical or emotional stress</t>
  </si>
  <si>
    <t>• Systemic lupus erythematosus (primary manifestation)
• Antiphospholipid syndrome
• Hashimoto's thyroiditis
• Sjogren's syndrome</t>
  </si>
  <si>
    <t>• Worldwide (higher incidence in African, Hispanic, and Asian descent)</t>
  </si>
  <si>
    <t>• High-dose systemic glucocorticoids (pulse IV methylprednisolone)
• Cyclophosphamide or Rituximab (for organ-threatening/necrotizing vasculitis)
• Hydroxychloroquine (baseline antimalarial therapy)
• Azathioprine or Mycophenolate mofetil for maintenance</t>
  </si>
  <si>
    <t>Male infertility associated with antisperm antibodies
Autoimmune orchitis</t>
  </si>
  <si>
    <t>Autoimmune orchitis involves inflammation of the testicles and the presence of specific antibodies against sperm. There are two types of this condition: primary autoimmune orchitis and secondary autoimmune orchitis. Primary autoimmune orchitis is found in men who are infertile and have no symptoms of other diseases. It is characterized by inflammation in the testicles and the presence of antibodies targeting the structures in the testicles. Men with this condition do not have any systemic illnesses and usually show no symptoms. 
Secondary autoimmune orchitis occurs in men with a systemic autoimmune disease, especially those with conditions like vasculitis. About 50% of these patients have antibodies against sperm, with systemic lupus erythematosus being a common related condition.
The exact cause of both primary and secondary autoimmune orchitis is still unknown, but it is believed to be due to a combination of factors. Inflammation, infection, or injury to the testicles may trigger an immune response, leading to the production of antibodies against sperm. These antibodies can cause sperm to clump together or become immobilized, preventing them from fertilizing an egg and leading to infertility.</t>
  </si>
  <si>
    <t>The slow progress in clinical research is in part explained by the success of assisted reproduction techniques that partly overcome the adverse effects of antisperm antibodies. Nonetheless, the experimental studies have yielded exceptional information on the fundamental mechanisms of tolerance and autoimmunity.
Two types of human orchitis with possible autoimmune basis are reported. The first is granulomatous orchitis of non-infectious origin. The second and more common type of orchitis contains multiple foci of monocytic inflammation (Suominen and Söderström 1982; Chan and Schlegel, 2002a,b) (Figure 68.1B).</t>
  </si>
  <si>
    <t>Sperm membrane antigens (PH-20, SP-10, Izumo1)</t>
  </si>
  <si>
    <t>1. Disruption of the physiological blood-testis barrier by testicular trauma, torsion, infection (orchitis), or vasectomy.
2. Extravasation of previously sequestered sperm antigens activates naive immunocompetent lymphocytes in local lymph nodes.
3. Synthesis of sperm-specific autoantibodies (IgG and IgA) directed against sperm head, midpiece, or tail antigens (SP-10, Izumo1).
4. Autoantibodies bind spermatozoa during epididymal transit and ejaculation, coating the sperm surface.
5. Sperm agglutination, reduced forward motility, impaired cervical mucus penetration, and failure of sperm-zona pellucida binding cause male infertility.</t>
  </si>
  <si>
    <t>• Inability to impregnate partner after ≥1 year unprotected intercourse with normal partner status (95–100%)
• Negative / severely impaired sperm penetration of cervical mucus (70–85%)
• Spontaneous head-to-head or tail-to-tail sperm agglutination in semen analysis (70–80%)
• Severely impaired forward progressive sperm motility (&lt;32%) (65–75%)</t>
  </si>
  <si>
    <t>• Chlamydia trachomatis, Ureaplasma
• E. coli, Mycoplasma hominis, HPV</t>
  </si>
  <si>
    <t>• Genital tract trauma / vasectomy or vasectomy reversal
• Testicular biopsy / varicocelectomy
• Testicular torsion or cryptorchidism</t>
  </si>
  <si>
    <t>• Autoimmune thyroid disease
• Type 1 diabetes
• Vitiligo</t>
  </si>
  <si>
    <t>• Worldwide (5-12% of male partners in infertile couples)</t>
  </si>
  <si>
    <t>• Intracytoplasmic sperm injection (ICSI) with in vitro fertilization (IVF)
• Sperm washing techniques prior to intrauterine insemination (IUI)
• Antioxidant therapy (coenzyme Q10, zinc, selenium, vitamin E)
• Corticosteroids (short-course, rarely utilized due to systemic risks)</t>
  </si>
  <si>
    <t xml:space="preserve">Microscopic colitis occurs with severe inflammation of the large intestine, or the colon. It results in persistent and watery diarrhea. Microscopic colitis can''t be identified with a colonoscopy, so tissue samples from the colon must be examined under a microscope. There are three different subtypes:&lt;br&gt; 
&lt;li&gt;1. &lt;b&gt;Collagenous colitis&lt;/b&gt; results from a thick layer of the protein collagen developing in the tissue.&lt;/li&gt;
&lt;li&gt;2. &lt;b&gt;Lymphocytic colitis&lt;/b&gt; results from an increase in white blood cells in the tissue. &lt;/li&gt;
&lt;li&gt;3. &lt;b&gt;Incomplete microscopic colitis&lt;/b&gt; is a combination of collagenous and lymphocytic colitis. &lt;/li&gt;
It is under debate whether collagenous and lymphocytic colitis are different phases of the same condition. </t>
  </si>
  <si>
    <t>Chronic inflammatory bowel disorder comprising lymphocytic and collagenous colitis, characterized by chronic watery diarrhea and mucosal intraepithelial lymphocytosis, exhibiting immune dysregulation and HLA associations. Chapter 45, pp. 630–642.</t>
  </si>
  <si>
    <t>Colonic surface enterocytes (80%)
Subepithelial fibroblasts (20%)</t>
  </si>
  <si>
    <t>• Autoreactive CD8+ intraepithelial lymphocytes (IELs)
• Autoreactive CD4+ Th1 cells (lamina propria)</t>
  </si>
  <si>
    <t>1. Luminal triggers (medications such as NSAIDs/PPIs, smoking, luminal toxins) compromise the colonic epithelial barrier in genetically predisposed individuals.
2. Infiltration of colonic surface epithelium by CD8+ cytotoxic intraepithelial lymphocytes (IELs) and lamina propria by CD4+ Th1 cells.
3. Secretion of pro-inflammatory cytokines (IFN-γ, TNF-α) impairs epithelial sodium and water absorption and claudin tight junctions.
4. In collagenous colitis, subepithelial fibroblasts synthesize a thick, abnormal band of type I/III collagen (&gt;10 µm) beneath the basement membrane.
5. Impaired fluid reabsorption, increased mucosal permeability, and active chloride secretion produce chronic, non-bloody watery diarrhea.</t>
  </si>
  <si>
    <t>• Normal or near-normal colonic mucosa on colonoscopy (100%)
• Chronic, copious, non-bloody watery diarrhea (&gt;4–10 loose stools/day) (95–100%)
• Fecal urgency and nocturnal diarrhea with incontinence (40–50%)
• Crampy abdominal discomfort and bloating (40–50%)
• Involuntary weight loss and asthenia (35–45%)</t>
  </si>
  <si>
    <t>1.0 cases per 971</t>
  </si>
  <si>
    <t>• Campylobacter, Yersinia, Salmonella
• Clostridioides difficile, Cytomegalovirus</t>
  </si>
  <si>
    <t>• Medications (NSAIDs, PPIs, SSRIs, statins, beta-blockers)
• Cigarette smoking (increases risk of both collagenous and lymphocytic colitis)
• Bile acid malabsorption</t>
  </si>
  <si>
    <t>• Celiac disease (strongest association, 5-15%)
• Autoimmune thyroiditis
• Rheumatoid arthritis
• Type 1 diabetes
• Sjogren's syndrome</t>
  </si>
  <si>
    <t>• Northern Europe and North America (older adults &gt;60, female preponderance)</t>
  </si>
  <si>
    <t>• Oral budesonide (budesonide 9 mg/day with gradual taper, first-line gold standard)
• Discontinuation of offending medications (NSAIDs, PPIs, SSRIs)
• Antidiarrheal agents (loperamide, cholestyramine for bile acid malabsorption)
• Immunomodulators (azathioprine, anti-TNF biologics) for refractory cases</t>
  </si>
  <si>
    <t>Microscopic polyangiitis
MPA
Microscopic polyarteritis</t>
  </si>
  <si>
    <t>Microscopic polyangiitis (MPA) is a disorder that causes inflammation in the blood vessels. The inflammation can affect many of the body's organ systems including the kidneys, nervous system, skin, lungs, etc. Microscopic polyangiitis is believed to be autoimmune because the development of the disease is thought to come from an overreaction in the immune system that causes inflammation in the body's tissues and blood vessels. The disease can be confused with others such as polyarteritis nodosa (PAN), granulomatosis with polyangiitis (GPA), and cutaneous leukocytoclastic angiitis (CLA). However, in 1994, The Chapel Hill Consensus Conference defined MPA as a separate disorder.</t>
  </si>
  <si>
    <t>Pauci-immune necrotizing small-vessel vasculitis without granulomatous inflammation, characteristically associated with myeloperoxidase-specific antineutrophil cytoplasmic autoantibodies (MPO-ANCA) and rapidly progressive crescentic glomerulonephritis. Chapter 72, pp. 1046–1058.</t>
  </si>
  <si>
    <t>Myeloperoxidase (MPO)</t>
  </si>
  <si>
    <t>• Perinuclear antineutrophil cytoplasmic antibodies (pANCA / anti-MPO)
• Anti-proteinase 3 (PR3-ANCA)</t>
  </si>
  <si>
    <t>• Autoreactive B cells / plasma cells (MPO-ANCA producing)
• Autoreactive CD4+ Th17 and Th1 cells (MPO-specific)
• Autoreactive CD8+ cytotoxic T cells</t>
  </si>
  <si>
    <t>1. Genetic risk (HLA-DPB1*04:01) and environmental exposures (silica, microbial infections) prime neutrophils via TNF-α and IL-1β.
2. Primed neutrophils express myeloperoxidase (MPO) on their cell surfaces, where it is bound by circulating pANCA (anti-MPO) autoantibodies.
3. ANCA-mediated cross-linking of Fcγ receptors activates neutrophils, causing degranulation, respiratory burst, and NETosis.
4. Neutrophil-derived enzymes and alternative complement pathway activation (C5a) destroy small-vessel endothelial cells.
5. Transmural necrotizing pauci-immune vasculitis lacking granulomas causes necrotizing crescentic glomerulonephritis and pulmonary capillaritis.</t>
  </si>
  <si>
    <t>• Rapidly progressive pauci-immune glomerulonephritis (hematuria, proteinuria, azotemia) (80–90%)
• Constitutional symptoms: fever, malaise, myalgias, weight loss (60–70%)
• Alveolar hemorrhage and pulmonary infiltrates (dyspnea, hemoptysis) (30–50%)
• Palpable purpura and cutaneous leukocytoclastic vasculitis (30–40%)
• Mononeuritis multiplex or peripheral sensorimotor neuropathy (30–40%)</t>
  </si>
  <si>
    <t>1.0 cases per 76,923</t>
  </si>
  <si>
    <t>• Staphylococcus aureus
• Cytomegalovirus, Parvovirus B19</t>
  </si>
  <si>
    <t>• Silica dust inhalation
• Solvents and industrial chemicals
• Medications (propylthiouracil, hydralazine)
• Cigarette smoking</t>
  </si>
  <si>
    <t>• Autoimmune thyroiditis
• Rheumatoid arthritis
• Sjogren's syndrome</t>
  </si>
  <si>
    <t>• Southern Europe, East Asia, and worldwide (higher in older males)</t>
  </si>
  <si>
    <t>• Glucocorticoids (pulse IV methylprednisolone followed by oral taper)
• Rituximab or Cyclophosphamide (induction therapy)
• Avacopan (C5aR antagonist, glucocorticoid-sparing)
• Azathioprine, methotrexate, or rituximab (remission maintenance)</t>
  </si>
  <si>
    <t>MCTD
Mixed collagen vascular disease
Mixed connective tissue disease
Sharp Syndrome</t>
  </si>
  <si>
    <t>Mixed collagen vascular disease, also called mixed connective tissue disease (MCTD), is an autoimmune disorder that shares symptoms with other connective tissue diseases, including polymyositis/dermatomyositis, systemic lupus erythematosus (SLE), scleroderma, and autoimmune rheumatic diseases.  Examples of commonly shared symptoms are abnormally cold hands, joint pain, organ problems, and feelings of malaise.  However, one feature unique to MCTD is the presence of anti-RNP antibodies in the blood.  Raynaud's phenomenon and high blood pressure in the lungs are also more common in MCTD, while kidney symptoms are milder.  Some complications can be fatal, but treatments are available to manage both mild and life-threatening symptoms.   [Hajas et al., 2013].</t>
  </si>
  <si>
    <t>Distinct overlap connective tissue disease characterized by high-titer autoantibodies against U1-small nuclear ribonucleoprotein (U1-snRNP) and clinical features combining systemic lupus erythematosus, systemic sclerosis, and polymyositis. Chapter 71, pp. 1025–1035; Chapter 76, pp. 1115–1126.</t>
  </si>
  <si>
    <t>U1-small nuclear ribonucleoprotein (U1-snRNP, 68/70 kDa, A, C)</t>
  </si>
  <si>
    <t>Vascular endothelial cells (50%)
Skeletal muscle myocytes (30%)
Dermal fibroblasts (20%)</t>
  </si>
  <si>
    <t>• Anti-U1-RNP autoantibodies
• Antinuclear antibodies (ANA)</t>
  </si>
  <si>
    <t>• Autoreactive CD4+ T helper cells (U1-RNP-specific)
• Autoreactive B cells / plasma cells (anti-U1-RNP)
• Autoreactive CD8+ cytotoxic T cells</t>
  </si>
  <si>
    <t>1. Loss of immune tolerance in individuals with HLA-DRB1*04/*15 against the spliceosome U1 small nuclear ribonucleoprotein (U1-snRNP).
2. Clonal B-cell activation produces high titers of anti-U1-RNP autoantibodies (against 68/70-kDa, A, and C proteins).
3. Infiltration of tissues by CD4+ Th1/Th17 lymphocytes alongside widespread immune-complex-mediated microvascular damage.
4. Chronic endothelial injury drives intimal proliferation, medial smooth muscle hypertrophy, and luminal narrowing of small-to-medium vessels.
5. Overlapping features of SLE, systemic sclerosis, and polymyositis manifest as Raynaud's phenomenon, swollen "puffy" hands, myositis, and pulmonary hypertension.</t>
  </si>
  <si>
    <t>• Raynaud's phenomenon (triphasic color change of digits) (95–100%)
• Diffuse 'puffy hands' and swollen fingers with tapering (85–95%)
• Polyarthralgias / non-deforming inflammatory arthritis (80–90%)
• Esophageal hypomotility and reflux symptoms (60–70%)
• Proximal inflammatory myopathy / muscle weakness (50–60%)
• Pulmonary arterial hypertension or interstitial lung disease (40–50%)</t>
  </si>
  <si>
    <t>1.0 cases per 22,727 to 31,250</t>
  </si>
  <si>
    <t>• Retroviruses, EBV
• Cytomegalovirus, Parvovirus B19</t>
  </si>
  <si>
    <t>• Silica dust / vinyl chloride exposure
• Chemical solvents
• Cigarette smoking</t>
  </si>
  <si>
    <t>• Systemic lupus erythematosus (overlap features)
• Systemic sclerosis (scleroderma)
• Polymyositis / dermatomyositis
• Hashimoto's thyroiditis</t>
  </si>
  <si>
    <t>• Worldwide (~2-3 cases per 100,000, marked female preponderance 9:1)</t>
  </si>
  <si>
    <t>• Corticosteroids (dose titrated to dominant organ manifestation)
• Hydroxychloroquine (for arthritis and skin lesions)
• Methotrexate, azathioprine, or mycophenolate mofetil
• Vasodilators (calcium channel blockers, PDE5 inhibitors) for Raynaud's / pulmonary hypertension</t>
  </si>
  <si>
    <t>Mooren's ulcer
Corneal Ulcer
Peripheral Ulcerative Keratitis</t>
  </si>
  <si>
    <t>Mooren's Ulcer is a chronic eye condition that causes inflammation where the eye's covering (cornea) joins with the white part of the eye (sclera).  This type of inflammation is called Peripheral Ulcerative Keratitis (PUK).  These persistent peripheral ulcers of the cornea often spread into and around the eye. There are several variants of this disorder:  Aggressive Bilateral Mooren's Ulcers patients usually have an ulcer in one eye and congestion or discharge in the other eye. Pain is milder, and grey patches may develop within 2 mm of the border between the cornea and the white of the eye (limbus). Bilateral Indolent Mooren's Ulcers affect both eyes, with one eye typically showing more severity.  Discomfort may occur with minimal inflammation.  Unilateral Mooren's ulcers can occur in one or both eyes and is excessively painful.  Redness and congestion are apparent, but inflammation is seen within 3 mm of the limbus.    Mooren's Ulcer is believed to be an autoimmune disorder, but more research is needed.  The condition can be benign, with few symptoms and low risk of complications, or malignant, with severe symptoms.  Without medical care, malignant cases may lead to vision loss, but treatments are available to prevent this.</t>
  </si>
  <si>
    <t>Severe, painful, progressive peripheral ulcerative keratitis characterized by localized autoimmune destruction of the corneal stroma, mediated by cell-mediated immunity and circulating autoantibodies targeting corneal-specific calgranulin and stromal antigens. Chapter 55, pp. 778–786.</t>
  </si>
  <si>
    <t>Calgranulin C (S100A12)
Corneal-associated antigens</t>
  </si>
  <si>
    <t>Corneal stromal keratocytes (65%)
Corneal epithelial cells (35%)</t>
  </si>
  <si>
    <t>• Anti-corneal epithelial autoantibodies
• Anti-calgranulin C (S100A12) autoantibodies</t>
  </si>
  <si>
    <t>• Autoreactive CD4+ Th1 cells (corneal-reactive)
• Autoreactive B cells / plasma cells (anti-corneal epithelium / anti-calgranulin C)</t>
  </si>
  <si>
    <t>1. Corneal physical trauma, viral infection, or systemic autoimmunity exposes sequestered corneal stromal-associated antigens (calgranulin C / S100A12).
2. Clonal expansion of autoreactive CD4+ Th1 lymphocytes and synthesis of anti-corneal antibodies.
3. Influx of neutrophils, macrophages, and lymphocytes into the peripheral corneal limbus and adjacent episcleral vessels.
4. Release of high concentrations of matrix metalloproteinases (MMP-1, MMP-8, MMP-9) and collagenases by infiltrating cells.
5. Rapid, progressive ischemic destruction of corneal stroma and deep ulceration beginning at the limbus and spreading circumferentially and centrally.</t>
  </si>
  <si>
    <t>• Peripheral ulcerative keratitis beginning at the limbus with an undermined overhanging edge (95–100%)
• Severe, excruciating, disproportionate ocular pain (90–100%)
• Marked photophobia, tearing, and foreign body sensation (85–95%)
• Severe circumferential corneal stromal thinning and neovascularization (70–80%)
• Corneal perforation in advanced/bilateral cases (30–40%)</t>
  </si>
  <si>
    <t>• Hepatitis C virus, Hepatitis B virus
• Herpes simplex virus, Varicella zoster</t>
  </si>
  <si>
    <t>• Prior ocular surgery (cataract extraction, trabeculectomy)
• Chemical / mechanical trauma to cornea
• Malnutrition / systemic infectious triggers</t>
  </si>
  <si>
    <t>• Autoimmune hepatitis
• Rheumatoid arthritis
• Inflammatory bowel disease
• Systemic lupus erythematosus</t>
  </si>
  <si>
    <t>• Central and South Africa, Indian subcontinent; worldwide (unilateral in elderly)</t>
  </si>
  <si>
    <t>• High-potency topical corticosteroids and topical cyclosporine A / tacrolimus
• Systemic corticosteroids (oral prednisone)
• Systemic immunosuppression (methotrexate, cyclophosphamide, rituximab)
• Surgical conjunctival resection / tectonic lamellar keratoplasty</t>
  </si>
  <si>
    <t>Localized scleroderma
Morphea</t>
  </si>
  <si>
    <t>Morphea is a disorder primarily affecting the skin.  There are several types of morphea:Localized or circumscribed morphea causes patients to develop oval-shaped areas of redness.  Irritated skin may be limited to a single patch or to several patches covering a smaller area.  
Generalized morphea is more widespread, affecting a number of skin regions throughout the body.  In linear morphea, skin irritation appears in a linear, rather than an oval shape.  Damage can penetrate to the tissues below the skin, including muscle and bone.  
Pansclerotic morphea,  the rarest and most severe form, usually affect children and involves the entire body, also penetrating through the skin into the bone.  The cause of morphea is unknown but is believed to be autoimmune.  
There is no cure for morphea, but treatments are available to manage symptoms.  Patches of irritation caused by mild types of morphea often improve in 3-5 years, though new patches may develop. However, damage affecting both the skin and the muscles/bones, as in linear morphea, may have a longer duration and occur in cycles of flares and remission, while pansclerotic morphea tends to worsen significantly with time.  Both linear and pansclerotic morphea may cause severe disability.</t>
  </si>
  <si>
    <t>Localized scleroderma characterized by excessive extracellular matrix deposition and dense collagenous thickening of the dermis and subcutaneous tissues, restricted to localized cutaneous lesions without visceral organ fibrosis or Raynaud's phenomenon. Chapter 71, pp. 1022–1032.</t>
  </si>
  <si>
    <t>Topoisomerase I
Histones
Unknown</t>
  </si>
  <si>
    <t>Dermal fibroblasts (75%)
Dermal microvascular endothelial cells (25%)</t>
  </si>
  <si>
    <t>• Antinuclear antibodies (ANA)
• Anti-single-stranded DNA (anti-ssDNA) autoantibodies
• Anti-histone autoantibodies</t>
  </si>
  <si>
    <t>• Autoreactive CD4+ Th2 and Th17 cells (profibrotic)
• Autoreactive B cells / plasma cells (ANA, anti-ssDNA, anti-histone)</t>
  </si>
  <si>
    <t>1. Microvascular injury from trauma, friction, radiation, or infection activates dermal endothelial cells in genetically predisposed hosts.
2. Upregulation of adhesion molecules (ICAM-1, VCAM-1) recruits CD4+ Th2 and Th17 lymphocytes into the reticular dermis.
3. Secretion of pro-fibrotic cytokines, predominantly TGF-β, IL-4, and IL-13, stimulates resting dermal fibroblasts.
4. Activated fibroblasts transform into α-SMA-positive myofibroblasts, synthesizing excessive type I and III collagen and glycosaminoglycans.
5. Dense collagenous homogenization of the dermis and subcutaneous fat, loss of skin appendages, and progressive cutaneous sclerosis.</t>
  </si>
  <si>
    <t>• Indurated sclerotic plaques with ivory-white center and lilac/violaceous peripheral active halo (85–95%)
• Post-inflammatory hyper- or hypopigmentation with dermal atrophy (80–90%)
• Localized alopecia and anhidrosis in affected areas (70–80%)
• Joint contractures and limb growth asymmetry in linear pediatric morphea (30–40%)</t>
  </si>
  <si>
    <t>1.0 cases per 37,037 to 250,000</t>
  </si>
  <si>
    <t>Child: 2
Adult: 50</t>
  </si>
  <si>
    <t>Child: 14
Adult: 59</t>
  </si>
  <si>
    <t>• Borrelia burgdorferi (controversial link)
• Cytomegalovirus, EBV</t>
  </si>
  <si>
    <t>• Physical trauma, mechanical friction, repeated pressure (Koebner effect)
• Radiation therapy (post-mastectomy radiation-induced morphea)
• Chemical solvent exposures (silica, organic solvents)</t>
  </si>
  <si>
    <t>• Autoimmune thyroiditis (Hashimoto's)
• Vitiligo
• Alopecia areata
• Rheumatoid arthritis
• Sjogren's syndrome</t>
  </si>
  <si>
    <t>• Worldwide (prevalence ~2-3 per 100,000, 2-3x higher in females and Caucasians)</t>
  </si>
  <si>
    <t>• High-potency topical corticosteroids and topical calcipotriene (calcipotriol)
• Topical calcineurin inhibitors (tacrolimus 0.1%)
• Narrowband UVB or UVA-1 phototherapy
• Systemic methotrexate + oral glucocorticoid burst (for linear/generalized types)</t>
  </si>
  <si>
    <t>Moyamoya disease
Cerebrovascular moyamoya disease
Moya-moya disease
Progressive intracranial arterial occlusion
Progressive intracranial occlusive arteriopathy
Spontaneous occlusion of the Circle of Willis</t>
  </si>
  <si>
    <t>Moyamoya disease occurs when the carotid artery, that brings blood to the brain, in the skull is blocked or narrowed. The term "moyamoya" is Japanese and means "puff of smoke" to describe the appearance of the tiny blood vessels responsible for the blockage. When these blockages occurs, they can cause a ministroke and bleeding in the brain. Moyamoya disease affects brain functions and may cause cognitive and developmental delays or disability.
Although this rare disease most commonly affects children, adults may have this condition as well. The cause for Moyamoya disease is unknown, however, researchers suggest that there may be a genetic factor involved since the disease is most commonly seen in Asian countries.</t>
  </si>
  <si>
    <t>No mention as a primary autoimmune disease in Rose &amp; Mackay - Progressive occlusive cerebrovascular arteriopathy occasionally reported in association with autoimmune conditions (such as autoimmune thyroiditis and lupus). Chapter 58, pp. 845–855.</t>
  </si>
  <si>
    <t>Intracranial arterial smooth muscle cells (60%)
Endothelial cells (40%)</t>
  </si>
  <si>
    <t>1. Genetic susceptibility (RNF213 p.R4810K founder variant) coupled with autoimmune/inflammatory triggers (elevated thyroid antibodies, IgG4).
2. Pro-inflammatory cytokines and endothelial shear stress recruit T cells and macrophages to the terminal internal carotid arteries.
3. Chronic intimal fibrocellular hyperplasia, smooth muscle cell migration, and internal elastic lamina fragmentation without overt atherosclerosis.
4. Progressive, bilateral luminal stenosis and occlusion of the terminal internal carotid arteries and circle of Willis.
5. Compensatory development of an abnormal, fragile network of basal collateral microvessels ("puff of smoke"), risking ischemic strokes and intracranial hemorrhages.</t>
  </si>
  <si>
    <t>• Recurrent transient ischemic attacks (TIAs) or ischemic strokes provoked by crying/hyperventilation (60–70% in children)
• Chronic intractable vascular headaches (50–60%)
• Intracerebral, intraventricular, or subarachnoid hemorrhage (40–50% in adults)
• Progressive cognitive impairment and focal seizures (25–35%)</t>
  </si>
  <si>
    <t>1.0 cases per 111,111</t>
  </si>
  <si>
    <t>• Epstein-Barr virus, Chlamydia pneumoniae
• Propionibacterium acnes</t>
  </si>
  <si>
    <t>• Head and neck radiation therapy
• Head trauma / vascular injury
• Chronic inflammation / immune stimulation</t>
  </si>
  <si>
    <t>• Graves' disease / Autoimmune thyroiditis
• Systemic lupus erythematosus
• Type 1 diabetes
• Down syndrome</t>
  </si>
  <si>
    <t>• East Asia (highest in Japan: 6-10/100,000, Korea, China; female predominance)</t>
  </si>
  <si>
    <t>• Surgical revascularization (direct bypass: STA-MCA; indirect bypass: EDAS, EMS)
• Antiplatelet therapy (aspirin) to prevent ischemic strokes
• Blood pressure optimization and hydration
• Control of coexisting autoimmune thyroiditis (normalizing thyroid status)</t>
  </si>
  <si>
    <t>Multifocal motor neuropathy</t>
  </si>
  <si>
    <t>MMN; multifocal motor neuropathy with conduction block; MMN with conduction block; immune-mediated multifocal motor neuropathy; chronic immune-mediated motor neuropathy; anti-GM1 antibody-associated motor neuropathy; lower motor neuron syndrome with conduction block; multifocal acquired motor neuropathy; multifocal acquired demyelinating motor neuropathy</t>
  </si>
  <si>
    <t>Multifocal motor neuropathy is a rare, slowly progressive autoimmune neuropathy of the motor nerves characterized by asymmetric limb weakness and electrophysiological conduction blocks without sensory deficit. Autoantibodies against ganglioside GM1 are detectable in a significant proportion of patients. The condition responds favorably to maintenance therapy with intravenous immunoglobulin, whereas corticosteroids are typically ineffective.</t>
  </si>
  <si>
    <t>Chronic immune-mediated motor polyneuropathy characterized by asymmetric, slowly progressive weakness and multifocal motor conduction block without sensory loss, strongly associated with high titers of IgM antibodies to ganglioside GM1. Chapter 59, pp. 866–876.</t>
  </si>
  <si>
    <t>GM1 ganglioside</t>
  </si>
  <si>
    <t>Motor axon nodal and paranodal axolemma / Schwann cells (100%)</t>
  </si>
  <si>
    <t>• Anti-GM1 IgM autoantibodies</t>
  </si>
  <si>
    <t>• Clonal autoreactive B cells / plasma cells (anti-GM1 IgM)
• Autoreactive CD4+ T helper cells</t>
  </si>
  <si>
    <t>1. Clonal expansion of B lymphocytes generates high titers of pathogenic IgM autoantibodies directed against the ganglioside GM1.
2. Anti-GM1 IgM autoantibodies bind specifically to GM1 enriched at the nodes of Ranvier and paranodal regions of motor axons.
3. Autoantibody binding activates the classical complement cascade, depositing C3b and terminal membrane attack complexes (C5b-9).
4. Disruption of nodal sodium channel (Nav) clusters, inactivation of potassium channels, and impairment of paranodal axoglial junctions.
5. Focal motor nerve conduction block, progressive demyelination, and secondary motor axonal loss produce asymmetric, purely motor limb weakness without sensory loss.</t>
  </si>
  <si>
    <t>• Asymmetric, slowly progressive distal motor weakness without sensory deficits (wrist/finger drop) (90–100%)
• Asymmetric hyporeflexia confined to clinically weak muscles (70–80%)
• Muscle fasciculations, myokymia, and muscle cramps (60–75%)
• Focal muscle atrophy in chronically denervated muscle groups (50–65%)</t>
  </si>
  <si>
    <t>• Campylobacter jejuni
• Viral respiratory prodromes</t>
  </si>
  <si>
    <t>• Preceding viral infections
• Physical exertion / heavy manual labor</t>
  </si>
  <si>
    <t>• Hashimoto's thyroiditis
• Sjogren's syndrome
• Celiac disease</t>
  </si>
  <si>
    <t>• Worldwide (rare, ~1-2 per 100,000, marked male preponderance 3:1)</t>
  </si>
  <si>
    <t>• Intravenous immunoglobulin (IVIG, 2 g/kg monthly, maintenance of choice)
• Subcutaneous immunoglobulin (SCIG, effective maintenance alternative)
• Cyclophosphamide (for IVIG-refractory cases)
• Note: Corticosteroids and PLEX are ineffective and may worsen weakness</t>
  </si>
  <si>
    <t>Multiple sclerosis
Disseminated sclerosis
Schilders disease
Systemic sclerosis, diffuse
Relapsing-remitting multiple sclerosis
Primary progressive multiple sclerosis</t>
  </si>
  <si>
    <t>Multiple Sclerosis (MS) is a central nervous system disease that occurs when the immune system attacks the myelin, which is a protective covering around the nerves. The nerves may then suffer permanent damage. The cause of the abnormal immune system action is unknown, but there seems to be some genetic link. The most common form of MS is relapsing-remitting which occurs when a patient has symptom-free periods, but the patient may develop a progressive form where the symptoms worsen over time. Women are affected twice as often as men. MS varies in severity, with some people losing the ability to walk.</t>
  </si>
  <si>
    <t>Autoantigen-specific T cells have been identified both in healthy individuals and in patients with MS. Their entrance into the inflamed CNS environment is likely mediated by the immune mechanisms posited above, whereupon entering, the autoreactive T cells are able to subsequently contribute to myelin destruction and axonal damage in addition to secondary inflammation following activation by local antigen-presenting cells. Attention has been directed towards uncovering frequencies of autoantigen-specific T cell binding to myelin proteins including MOG, MBP, and proteolipid in addition to heat shock protein αB-crystallin and oligodendroglia-specific enzyme transaldolase in CD4+ cells isolated from MS patients (Banki et al., 1994; Greer and Pender, 2008). Anti-MOG has previously been isolated from postmortem CNS tissue in MS patients (O'Connor et al., 2005). In an assay based on self-assembly of radiolabeled MHC tetramers, it was demonstrated that such tetramers were more sensitive for MOG autoantibody detection. Nevertheless, MOG-specific autoantibodies were found more so in patients with acute disseminated encephalomyelitis, than in adults with MS (O'Connor et al., 2007). Likewise, the ability to detect and clone autoantigen-specific T cells from blood has allowed further quantification of MOG frequencies, work which demonstrated an increase in MOG-specific T cells in MS patients in comparison to healthy individuals (Raddassi et al., 2011).
ALSO: Immune Pathogenesis Until recently, there were discussions as to whether MS is a primary degenerative disease with secondary inflammation or an autoimmune disease with immune-mediated destruction of the CNS. The sharing of almost half of the allelic variants between MS and other autoimmune disorders from the GWAS has to a large extent provided convincing evidence for an autoimmune pathophysiology for the disease (Hafler, 2012). Our current understanding of MS strongly implicates involvement of the immune system and autoreactive proinflammatory T cells that are critical to the propagation of CNS tissue injury.</t>
  </si>
  <si>
    <r>
      <rPr>
        <rFont val="Calibri"/>
        <color theme="1"/>
        <sz val="69.0"/>
      </rPr>
      <t xml:space="preserve">
Central Nervous System 
Oligodendrocytes (Target Cells 🎯)
</t>
    </r>
    <r>
      <rPr>
        <rFont val="Calibri"/>
        <b/>
        <color theme="1"/>
        <sz val="69.0"/>
      </rPr>
      <t xml:space="preserve">White Matter 85% </t>
    </r>
    <r>
      <rPr>
        <rFont val="Calibri"/>
        <color theme="1"/>
        <sz val="69.0"/>
      </rPr>
      <t xml:space="preserve">(Optic nerve and chiasm, corpus callosum, internal capsule, centrum semiovale, subcortical white matter tracts, cerebellum, brainstem. Spinal chord [dorsal, lateral, and ventral columns])
</t>
    </r>
    <r>
      <rPr>
        <rFont val="Calibri"/>
        <b/>
        <color theme="1"/>
        <sz val="69.0"/>
      </rPr>
      <t>Grey Matter 15%</t>
    </r>
    <r>
      <rPr>
        <rFont val="Calibri"/>
        <color theme="1"/>
        <sz val="69.0"/>
      </rPr>
      <t xml:space="preserve"> (cortex and deep gray nuclei, such as basal ganglia and thalamus, cerebellum, brainstem, spinal chord)
-Antigen presentation occurs via MHC class II (for CD4+ and B cells) or class I (for CD8+)
</t>
    </r>
  </si>
  <si>
    <t>No single antigen explains all cases
-Epitope spreading occurs over time (intramolecular or to new antigens)
 74% of patients show reactivity to cocktails of MBP/PLP/MOG peptides.
-Myelin Oligodendrocyte Glycoprotein (MOG)
-Myelin Basic Protein (MBP)
-Proteolipid Protein (PLP)
-Myelin-Associated Glycoprotein 
(MAG, CNPase, MOBP)</t>
  </si>
  <si>
    <t>Central nervous system oligodendrocytes (85%)
Axonal membranes / myelin sheaths (15%)</t>
  </si>
  <si>
    <t>• Oligoclonal IgG bands
• Anti-myelin basic protein (anti-MBP)
• Anti-MOG autoantibodies</t>
  </si>
  <si>
    <t>• Autoreactive CD4+ Th1 and Th17 cells (myelin-specific: MBP, MOG, PLP)
• Autoreactive CD8+ cytotoxic T cells (CNS parenchymal lesions)
• Autoreactive B cells / plasma cells (oligoclonal bands, meningeal follicles)</t>
  </si>
  <si>
    <t>1. Genetic susceptibility (HLA-DRB1*15:01) and environmental triggers (EBV infection, vitamin D deficiency, smoking) activate autoreactive CD4+ T cells.
2. Autoreactive Th1 (IFN-γ) and Th17 (IL-17) cells and B cells breach the blood-brain barrier via upregulated integrins (VLA-4).
3. Reactivation within the CNS by local antigen-presenting cells triggers microglial activation, astrogliosis, and recruitment of cytotoxic CD8+ T cells.
4. Effector cells, intrathecal oligoclonal antibodies, and complement destroy myelin sheaths and oligodendrocytes.
5. Focal inflammatory demyelination and progressive neuroaxonal transection across the central nervous system produce relapsing or progressive neurological deficits.</t>
  </si>
  <si>
    <t>TCELL + Antibody</t>
  </si>
  <si>
    <t>• Disabling chronic fatigue (75–85%)
• Sensory disturbances: numbness, tingling, Lhermitte's electric-like neck flexion sign (70–80%)
• Pyramidal motor weakness, spasticity, and hyperreflexia (50–60%)
• Neurogenic bladder urgency / frequency (50–60%)
• Unilateral optic neuritis: painful subacute loss of vision (40–50%)
• Cerebellar gait ataxia, intention tremor, and dysarthria (30–40%)
• Internuclear ophthalmoplegia (INO) / diplopia on lateral gaze (25–35%)</t>
  </si>
  <si>
    <t>1.0 cases per 300 to 500</t>
  </si>
  <si>
    <t>1.0 cases per 322 to 325</t>
  </si>
  <si>
    <t>HLA-DR15</t>
  </si>
  <si>
    <t>• Epstein-Barr virus (EBV, primary viral driver)
• Human herpesvirus 6 (HHV-6)
• Varicella zoster virus</t>
  </si>
  <si>
    <t>• Low sun exposure and Vitamin D deficiency (latitude gradient)
• Cigarette smoking (increases progression and relapse)
• Adolescent obesity
• High dietary sodium</t>
  </si>
  <si>
    <t>• Autoimmune thyroiditis (Hashimoto's)
• Type 1 diabetes
• Psoriasis
• Inflammatory bowel disease</t>
  </si>
  <si>
    <t>• High latitude regions: Northern Europe, UK, Canada, Northern US, New Zealand/Tasmania</t>
  </si>
  <si>
    <t>• High-efficacy DMTs: Anti-CD20 (ocrelizumab, ofatumumab, ublituximab), natalizumab, alemtuzumab
• Oral DMTs: S1P receptor modulators (fingolimod, siponimod), cladribine, DMF
• Injectable DMTs: Interferon-beta, glatiramer acetate
• Acute relapses: High-dose IV methylprednisolone (1 g/day for 3-5 days) or PLEX</t>
  </si>
  <si>
    <t>MG
Myasthenia gravis
Acquired myasthenia
Autoimmune myasthenia gravis</t>
  </si>
  <si>
    <t>Myasthenia gravis is a neuromuscular disorder characterized by muscle weakness and fatigue. It occurs when the antibodies block the junction between the nerve and skeletal muscles, which are responsible for voluntary body movements.</t>
  </si>
  <si>
    <t>AChR antibodies were first detected by means of a radioimmunoprecipitation assay (RIA) employing 125I α-bungarotoxin, which binds strongly to AChRs, to label AChRs in detergent extracts of human muscle (Lindstrom et al., 1976). Modern RIAs employ AChRs extracted from muscle cell lines expressing mixtures of fetal and adult AChRs (Beeson et al., 1996). Directly radiolabeled recombinant MuSK are used for detection of MuSK antibodies (Matthews et al., 2004). Enzyme-linked immunosorbent assays are not as sensitive or as specific. Cell-based assays (CBAs) use cells transfected with DNA(s) for the antigen of interest and expressed on the cell surface. Indirect immunofluorescence can then detect binding of patients' antibodies. This method is sensitive and, importantly, measures antibodies that only bind to extracellular determinants of the antigen (Leite et al., 2010). This was demonstrated in previously seronegative cases using cells transfected with AChR subunits and with the scaffold protein rapsyn that clusters the AChRs (Leite et al., 2008). CBAs have also been developed to detect MuSK or Lrp4 antibodies (Leite et al., 2008; Higuchi et al., 2011).</t>
  </si>
  <si>
    <t>Nicotinic acetylcholine receptor (AChR)
Muscle-specific kinase (MuSK)
Lipoprotein receptor-related protein 4 (LRP4)</t>
  </si>
  <si>
    <t>Postsynaptic skeletal neuromuscular junction muscle endplate cells (100%)</t>
  </si>
  <si>
    <t>• Anti-MOG IgG autoantibodies</t>
  </si>
  <si>
    <t>• Autoreactive CD4+ T helper cells (AChR/MuSK-specific)
• Autoreactive B cells / plasma cells (anti-AChR, anti-MuSK, anti-LRP4)</t>
  </si>
  <si>
    <t>1. Thymic abnormalities (hyperplasia or thymoma) provide the site for loss of tolerance against the muscle nicotinic acetylcholine receptor (AChR).
2. Autoreactive CD4+ T helper cells stimulate B cells and plasma cells to synthesize high-affinity IgG (predominantly IgG1 and IgG3) against AChR.
3. Circulating anti-AChR autoantibodies bind the α-subunit of postsynaptic AChRs at the neuromuscular junction.
4. Autoantibodies cross-link AChRs, accelerating internalization, and activate the classical complement cascade, depositing C5b-9 membrane attack complexes.
5. Destruction of postsynaptic junctional folds and loss of functional AChR density impair action potential generation, causing fatigable skeletal muscle weakness.</t>
  </si>
  <si>
    <t>• Fluctuating, fatigable ptosis worsening at end of day (80–90%)
• Fatigable binocular diplopia (80–85%)
• Bulbar muscle fatigue: dysarthria, dysphagia, and difficulty chewing (50–60%)
• Proximal asymmetric limb weakness exacerbated by repeated exertion (50–60%)
• Respiratory failure / myasthenic crisis requiring ventilatory support (15–20%)</t>
  </si>
  <si>
    <t>1.0 cases per 5,000 to 7,000</t>
  </si>
  <si>
    <t>1.0 cases per 5,000 to 6,667</t>
  </si>
  <si>
    <t>• Viral infections (EBV, Poliovirus, Enterovirus)
• Postulated retroviruses</t>
  </si>
  <si>
    <t>• Medications (penicillamine, immune checkpoint inhibitors, aminoglycosides)
• Emotional / physical stress
• Surgery, infection, pregnancy
• Heat / elevated body temperature</t>
  </si>
  <si>
    <t>• Autoimmune thyroid disease (Hashimoto's, Graves')
• Thymoma (10-15% of patients)
• Systemic lupus erythematosus
• Rheumatoid arthritis
• Alopecia areata</t>
  </si>
  <si>
    <t>• Worldwide (~15-20 per 100,000; bimodal: young females and older males)</t>
  </si>
  <si>
    <t>• Acetylcholinesterase inhibitors (Pyridostigmine, first-line symptomatic)
• Thymectomy (indicated in AChR-positive generalized MG and all thymomas)
• Corticosteroids (prednisone) + steroid-sparing agents (azathioprine, mycophenolate)
• Targeted biologics: FcRn blockers (efgartigimod, rozanolixizumab), C5 inhibitors (eculizumab, ravulizumab), Rituximab
• Acute crisis: IVIG or Therapeutic Plasma Exchange (PLEX)</t>
  </si>
  <si>
    <t>Polyneuropathy associated with monoclonal immunoglobulin M antibodies to myelin-associated glycoprotein
MOG
Myelin oligodendrocyte glycoprotein antibody-associated disease
Anti-MAG disease
Anti-MOG disease
MOG antibody disease
Myelin oligodendrocyte glycoprotein disease</t>
  </si>
  <si>
    <t>Myelin oligodendrocyte glycoprotein disease (MOG) is a recently recognized condition marked by the presence of antibodies against myelin oligodendrocyte glycoprotein (MOG).  The disease differs from multiple sclerosis (MS),  aquaporin-4 (AQP4) antibody disease, and neuromyelitis optica spectrum disorders (NMOSD).  MOG symptoms can range from those of neuromyelitis optica to acute demyelinating encephalomyelitis and cortical encephalitis. A correct diagnosis requires both  specific and sensitive assays for the antibody.  In brain images MOG overlaps with AQP4 antibody NMOSD but can be usually distinguished from MS.  In particular, the silent lesions typical of MS that progressively increase lesion volume are rare in MOG antibody disease. Medium-term immunosuppression appears to be protective. Permanent disability, particularly severe ambulatory and visual disability, is less frequent than in AQP4 antibody NMOSD and usually results from the onset attack.</t>
  </si>
  <si>
    <t>There are reports of serum and CSF anti-MBP, anti-MOG, and anti-PLP autoantibodies (Warren and Catz, 1994; Warren et al., 1994; Berger et al., 2003) in patients with MS. Such studies have been challenged due to the possibility of non-specific binding of low-affinity antibodies and observations that high-affinity antibodies against MOG epitopes are only present in a small proportion of patients (Menge et al., 2011). However, using sensitive solution phase assays, high-affinity autoantibodies to MBP and MOG can be detected in the serum and CSF of patients with acute disseminated encephalomyelitis and MS (O'Connor et al., 2003, 2005, 2007; Zhou et al., 2006). A recent study aiming to characterize intrathecal MOG antibodies in MS indicated that the rMOG index, a marker of intrathecal MOG antibody production, may provide complementary information to routine CSF testing in the diagnosis of MS (Klawiter et al., 2010). Moreover, anti-MOG autoantibodies can be eluted from the brain tissue of a subset of patients with MS (O'Connor et al., 2005). Such markers support the ongoing hypothesis of MS as a disease linked to immune dysfunction, ongoing inflammation, and tissue damage and repair.</t>
  </si>
  <si>
    <t>Myelin oligodendrocyte glycoprotein (MOG)</t>
  </si>
  <si>
    <t>Central nervous system oligodendrocytes (100%)</t>
  </si>
  <si>
    <t>Acetylcholine receptors</t>
  </si>
  <si>
    <t>• Autoreactive B cells / plasma cells (anti-MOG IgG)
• Autoreactive CD4+ T helper cells (MOG-specific)</t>
  </si>
  <si>
    <t>1. Preceding infection or autoimmune trigger initiates loss of peripheral tolerance against myelin oligodendrocyte glycoprotein (MOG).
2. Clonal B cells synthesize high-affinity, conformational IgG1 autoantibodies targeting the extracellular domain of MOG.
3. Circulating anti-MOG IgG crosses a disrupted blood-brain barrier into the central nervous system parenchyma.
4. Autoantibodies bind MOG on the outermost lamellae of CNS myelin sheaths and oligodendrocytes, fixing complement (C1q).
5. Complement-mediated lysis and macrophage-mediated myelin stripping produce prominent, steroid-responsive optic neuritis, transverse myelitis, and acute demyelinating encephalomyelitis.</t>
  </si>
  <si>
    <t>• Prompt and marked response to high-dose systemic corticosteroid therapy (90–95%)
• Severe, acute, frequently bilateral optic neuritis with prominent optic disc swelling (65–75%)
• Transverse myelitis with paraparesis, sensory level, and sphincter dysfunction (30–40%)
• ADEM-like acute encephalopathy and seizures in pediatric patients (30–40%)</t>
  </si>
  <si>
    <t>1.0 cases per 30,000 to 60,000</t>
  </si>
  <si>
    <t>1.0 cases per 29,240 to 62,500</t>
  </si>
  <si>
    <t>Child: 4
Adult: 30</t>
  </si>
  <si>
    <t>Child: 8
Adult: 40</t>
  </si>
  <si>
    <t>• Herpesviruses (HSV, EBV, VZV)
• SARS-CoV-2, Borrelia burgdorferi</t>
  </si>
  <si>
    <t>• Preceding viral upper respiratory or GI infections
• Vaccinations (rare trigger)
• Physical or thermal stress</t>
  </si>
  <si>
    <t>• Worldwide (equal prevalence across racial groups, ~1-3 per million)</t>
  </si>
  <si>
    <t>• Acute attack: High-dose IV methylprednisolone (1 g/day for 5 days), IVIG, or PLEX
• Long-term maintenance: IVIG or Subcutaneous IG (SCIG, highly effective in MOGAD)
• Maintenance immunosuppression: Rituximab, Azathioprine, Mycophenolate mofetil
• Tocilizumab (anti-IL-6R biologic, effective for rituximab-resistant cases)</t>
  </si>
  <si>
    <t>Coxsackie myocarditis
Myocarditis due to autoimmune disease
Autoimmune cardiomyopathy
Autoimmune myocarditis</t>
  </si>
  <si>
    <t>Myocarditis is an inflammation of the heart wall. Myocarditis can affect both the heart's muscle cells and the heart's electrical system, leading to problems with the heart's pumping function and irregular heart rhythms. Myocarditis can also be caused by viral infections or systemic inflammatory conditions such as additional autoimmune disorders. In severe cases of myocarditis, the heart muscle weakens and cannot pump blood effectively to other parts of your body. There are 3 types of myocarditis: acute, chronic, and lymphocytic.
Acute myocarditis is usually caused by a viral infection and can develop suddenly and resolve quickly. Chronic myocarditis takes longer to treat and occurs due to more general inflammatory conditions such as autoimmune diseases. Lymphocytic myocarditis is a rare form of myocarditis and tend to occur after a virus when white blood cells enter and cause inflammation in the heart.
Myocarditis is an inflammation of the heart wall. Myocarditis can affect both the heart's muscle cells and the heart's electrical system, leading to problems with the heart's pumping function and irregular heart rhythms. Myocarditis can also be caused by viral infections or systemic inflammatory conditions such as additional autoimmune disorders. In severe cases of myocarditis, the heart muscle weakens and cannot pump blood effectively to other parts of your body. There are 3 types of myocarditis: acute, chronic, and lymphocytic.</t>
  </si>
  <si>
    <t>Inflammatory disease of the myocardium mediated by cardiac-specific autoantibodies (anti-cardiac myosin, anti-sarcolemmal) and reactive T cells, resulting in myocardial necrosis and progression toward dilated cardiomyopathy. Chapter 68, pp. 980–992.</t>
  </si>
  <si>
    <t>Cardiac myosin heavy chain
Troponin I
β1-adrenergic receptor</t>
  </si>
  <si>
    <t>Cardiomyocytes (cardiac muscle cells) (90%)
Cardiac microvascular endothelial cells (10%)</t>
  </si>
  <si>
    <t>• Anti-Jo-1 autoantibodies
• Anti-Mi-2 autoantibodies
• Anti-SRP autoantibodies
• Anti-HMGCR autoantibodies
• Anti-MDA5 autoantibodies
• Anti-TIF1-γ autoantibodies</t>
  </si>
  <si>
    <t>• Autoreactive CD4+ Th1 and Th17 cells (cardiac myosin-specific)
• Autoreactive CD8+ cytotoxic T cells (cardiomyocyte lysis)
• Autoreactive B cells / plasma cells (anti-cardiac myosin, anti-troponin I)</t>
  </si>
  <si>
    <t>1. Viral cardiotropic infection or systemic autoimmunity causes cardiomyocyte necrosis, exposing sequestered cardiac myosin heavy chain and troponins.
2. Priming of autoreactive CD4+ Th1/Th17 lymphocytes and CD8+ cytotoxic T cells in cardiac draining lymph nodes.
3. Massive infiltration of the myocardial interstitium by lymphocytes and macrophages with secretion of IFN-γ, TNF-α, and IL-1β.
4. Direct cytotoxic T-cell-mediated lysis of cardiomyocytes and autoantibody-mediated membrane damage.
5. Extensive cardiomyocyte apoptosis, myocardial interstitial edema, fibrosis, and conduction block lead to heart failure, lethal arrhythmias, or dilated cardiomyopathy.</t>
  </si>
  <si>
    <t>• Acute or subacute precordial / retrosternal chest pain often mimicking myocardial infarction (70–85%)
• New-onset exertional dyspnea, orthopnea, and acute heart failure signs (60–75%)
• Palpitations, syncope, and ventricular arrhythmias (40–50%)
• Rapid progression to cardiogenic shock in fulminant giant cell myocarditis (10–15%)</t>
  </si>
  <si>
    <t>1.0 cases per 3,846 to 4,762</t>
  </si>
  <si>
    <t>• Coxsackievirus B3 (Coxsackie B enteroviruses)
• Adenovirus, Parvovirus B19
• SARS-CoV-2, Cytomegalovirus, EBV</t>
  </si>
  <si>
    <t>• Acute viral infection prodrome
• Immune checkpoint inhibitor therapies
• Excessive strenuous physical exertion during viral illness</t>
  </si>
  <si>
    <t>• Systemic lupus erythematosus
• Systemic sclerosis
• Giant cell arteritis
• Polymyositis / dermatomyositis</t>
  </si>
  <si>
    <t>• Worldwide (prevalence ~10-20 per 100,000; higher in young adult males)</t>
  </si>
  <si>
    <t>• Guideline-directed medical therapy for heart failure (ACEi/ARB, beta-blocker, MRA, SGLT2i)
• High-dose glucocorticoids (for giant cell, eosinophilic, or ICI-induced myocarditis)
• Immunosuppression (azathioprine, cyclosporine, antithymocyte globulin)
• Mechanical circulatory support (ECMO, LVAD) / Cardiac transplantation for fulminant disease</t>
  </si>
  <si>
    <t>Myositis
Juvenile myositis
Idiopathic inflammatory myopathies
Idiopathic inflammatory myopathy
autoimmune necrotizing myopathy
autoimmune myopathy</t>
  </si>
  <si>
    <t>Myositis and "inflammatory myopathy" both mean inflammation of the muscles, which may in turn cause muscle weakness, swelling, and pain. Polymyositis, dermatomyositis, inclusion body myositis, and juvenile myositis are all specific types of myositis that are autoimmune. However, myositis and "inflammatory myopathy" are broad terms that means muscle inflammation, and not all forms are autoimmune, and not all individuals diagnosed with myositis or inflammatory myopathy have an autoimmune form of disease. If a cause cannot be acertained, the patient may be diagnosed with an "idiopathic" condition, which simply means that the cause of the inflammation has not been found; such patients could eventually be found to have an autoimmune form of the disease.</t>
  </si>
  <si>
    <t>The autoantibodies elaborated in patients with myositis recognize a family of autoantigens which have important, conserved functions in general cellular processes, and are apparently ubiquitously expressed. Prominent among these functions are protein translation (e.g., amino acyl tRNA synthetases, signal recognition particle; Mathews and Bernstein, 1983; Reeves et al., 1986), gene expression (e.g., components of the nucleosome remodeling and deacetylation complex (NuRD); Targoff and Reichlin, 1985), DNA repair machinery (e.g., double strand break and mismatch repair machinery; Casciola-Rosen et al., 1995, 2001; Suwa et al., 1996), and the exosome complex. Additionally, several autoantigens (e.g., Ro52 and MDA5) are induced by type 1 interferons (Rhodes et al., 2002; Sato et al., 2009). Several observations about the autoantibodies in myositis are notable. With the exception of Ro52 (TRIM 21), patients generally target a single autoantigen. For example, patients with antibodies against an aminoacyl tRNA synthetase recognize only one of the multiple molecules which could be targeted in this family. Similarly, patients with antibodies against the Mi-2 component of the NuRD complex do not recognize autoantigens in the other functional families. Ro52 is an interferon-inducible antigen which is frequently targeted in myositis, and is almost always targeted in association with an autoantigen from a different protein family. For example, &gt;50% of patients with antibodies recognizing an aminoacyl tRNA synthetase also have antibodies against Ro52. Ro52 is also frequently targeted together with antigens in other groups (Rutjes et al., 1997).</t>
  </si>
  <si>
    <t>Histidyl-tRNA synthetase (Jo-1)
Mi-2
SRP
HMGCR
MDA5
NXP2</t>
  </si>
  <si>
    <t>Skeletal muscle myofibers (75%)
Endomysial microvascular endothelial cells (25%)</t>
  </si>
  <si>
    <t>Tissue specific antibodies/tcells not found</t>
  </si>
  <si>
    <t>• Autoreactive CD8+ cytotoxic T cells (endomysial invasion in PM/sIBM)
• Autoreactive CD4+ T helper cells (perivascular in DM)
• Autoreactive B cells / plasma cells (myositis-specific antibodies)</t>
  </si>
  <si>
    <t>1. Genetic susceptibility (HLA-DRB1) and environmental exposures (UV light, statins, viruses) activate innate and adaptive immune cascades.
2. Presentation of muscle autoantigens (synthetases, SRP, Mi-2) primes CD4+ helper and CD8+ cytotoxic T cells.
3. Depending on subtype: endomysial invasion of non-necrotic fibers by CD8+ T cells (polymyositis/sIBM), perifascicular ischemic necrosis via complement (dermatomyositis), or antibody-mediated myofiber necrosis (IMNM).
4. Release of cytotoxic perforin/granzyme, type I interferons, and proinflammatory cytokines damages sarcolemma and myofibrils.
5. Progressive myofiber necrosis, muscle atrophy, and replacement by fibroadipose tissue cause profound proximal muscle weakness and elevated muscle enzymes.</t>
  </si>
  <si>
    <t>• Marked elevation of serum creatine kinase (CK) and aldolase (90–95%)
• Symmetrical, progressive proximal muscle weakness (shoulder and pelvic girdles, neck flexors) (85–95%)
• Difficulty rising from low chair, climbing stairs, or lifting arms overhead (85–95%)
• Myalgias, muscle tenderness, and cramps (40–50%)
• Dysphagia due to upper esophageal striated muscle weakness (30–40%)</t>
  </si>
  <si>
    <t>1.0 cases per 7,000 to 15,000</t>
  </si>
  <si>
    <t>1.0 cases per 6,468 to 7,788</t>
  </si>
  <si>
    <t>• Coxsackievirus, Parvovirus B19
• Influenza virus, Retroviruses</t>
  </si>
  <si>
    <t>• Silica dust / mineral particle exposure
• Ultraviolet radiation
• Statin medications (in IMNM)
• Inhaled toxic pollutants</t>
  </si>
  <si>
    <t>• Worldwide (prevalence ~5-15 per 100,000; females &gt; males 2:1)</t>
  </si>
  <si>
    <t>• High-dose systemic glucocorticoids (prednisone 1 mg/kg/day)
• Methotrexate or Azathioprine (first-line steroid-sparing DMARDs)
• Mycophenolate mofetil or Tacrolimus
• Intravenous immunoglobulin (IVIG, FDA-approved for dermatomyositis) / Rituximab</t>
  </si>
  <si>
    <t xml:space="preserve">Vasculitis is an inflammation of blood vessels. When vasculitis is severe, blood cannot reach important organs or tissues. In severe cases, the tissue dies, which is called necrosis, and the term "necrotizing vasculitis" is used. It is also called "systemic vasculitis" since the severity of the disease can be widespread. 
Necrotizing vasculitis can lead to blood clots, weight loss, loss of weight, exhaustion, depression, fever, and widespread pain that worsens in the morning.
The specific location of vasculitis inflammation determines what tissue or organs (e.g., kidneys, fingers, head) are affected, and the type of vasculitis often depends on the location.  For more information, see the specific forms of vasculitis elsewhere on the website (listed above). </t>
  </si>
  <si>
    <t>Severe form of vascular inflammation featuring fibrinoid necrosis and transmural destruction of arterial walls, encompassing polyarteritis nodosa and ANCA-associated vasculitides, mediated by autoantibodies or pathogenic immune complex deposition. Chapter 72, pp. 1045–1060.</t>
  </si>
  <si>
    <t>Medium and small arterial endothelial cells (65%)
Vascular smooth muscle cells (35%)</t>
  </si>
  <si>
    <t>• Anti-neutrophil cytoplasmic antibodies (ANCA: MPO-ANCA, PR3-ANCA)</t>
  </si>
  <si>
    <t>• Autoreactive B cells / plasma cells (ANCA producing)
• Autoreactive CD4+ Th1 / Th17 cells
• Autoreactive CD8+ cytotoxic T cells</t>
  </si>
  <si>
    <t>1. Persistent immune complex deposition or ANCA-induced neutrophil hyperactivation damages vascular endothelial barriers.
2. Infiltration of the muscular walls of small and medium arteries by neutrophils, macrophages, and cytotoxic lymphocytes.
3. Uncontrolled release of reactive oxygen species, matrix metalloproteinases, and lysosomal elastase destroys the internal elastic lamina.
4. Extensive transmural fibrinoid necrosis develops throughout all layers of the arterial wall.
5. Vessel thrombosis, downstream tissue ischemia, aneurysmal dilatation, and catastrophic vessel rupture produce severe organ infarction.</t>
  </si>
  <si>
    <t>• Palpable purpura, necrotic bullae, and deep ischemic ulcers (70–80%)
• Constitutional B-symptoms: fevers, unintentional weight loss, severe malaise (65–75%)
• Mononeuritis multiplex (foot drop, wrist drop) (40–55%)
• Acute visceral ischemia (mesenteric, myocardial, renal) (30–40%)
• Digital gangrene, splinter hemorrhages, and acral necrosis (25–35%)</t>
  </si>
  <si>
    <t>1.0 cases per 22,222</t>
  </si>
  <si>
    <t>• Hepatitis B, Hepatitis C
• Streptococcus, Staphylococcus
• Cytomegalovirus, Parvovirus B19</t>
  </si>
  <si>
    <t>• Silica dust and asbestos exposure
• Medications (propylthiouracil, hydralazine, penicillamine)
• Chronic tobacco smoking</t>
  </si>
  <si>
    <t>• Rheumatoid arthritis
• Systemic lupus erythematosus
• Sjogren's syndrome
• Inflammatory bowel disease</t>
  </si>
  <si>
    <t>• Worldwide (rare, ~10-20 per million/year)</t>
  </si>
  <si>
    <t>• High-dose glucocorticoids (pulse IV methylprednisolone followed by oral taper)
• Cyclophosphamide (IV pulses) or Rituximab for induction of organ-threatening disease
• Avacopan (adjunctive C5a receptor antagonist)
• Maintenance: Azathioprine, Methotrexate, or Rituximab</t>
  </si>
  <si>
    <t>Neonatal lupus / congenital heart block due to maternal anti-Ro/SSA and anti-La/SSB</t>
  </si>
  <si>
    <t>Neonatal lupus erythematosus; NLE; neonatal lupus syndrome; cardiac neonatal lupus; cutaneous neonatal lupus; congenital heart block associated with maternal anti-Ro/SSA antibodies; autoimmune congenital heart block; anti-Ro/SSA-associated congenital heart block; anti-La/SSB-associated neonatal lupus; passively acquired autoimmune disease of the newborn; maternal autoantibody-associated congenital heart block</t>
  </si>
  <si>
    <t>Neonatal lupus is a passively acquired autoimmune condition where maternal IgG autoantibodies against Ro/SSA and La/SSB cross the placenta and affect fetal tissues. The most serious consequence is irreversible congenital complete heart block caused by inflammation and fibrosis of the fetal cardiac conduction system, while cutaneous rashes and liver enzyme abnormalities are typically transient and resolve as maternal antibodies clear.</t>
  </si>
  <si>
    <t>Passively acquired autoimmune disorder resulting from transplacental transport of maternal IgG autoantibodies against Ro/SSA (specifically Ro52) and La/SSB, which bind fetal cardiac conduction tissue and skin, causing permanent congenital heart block and neonatal lupus rashes. Chapter 30, pp. 430–442; Chapter 76, pp. 1115–1125.</t>
  </si>
  <si>
    <t>Ro52 (TRIM21)
Ro60 (SSA)
La (SSB)</t>
  </si>
  <si>
    <t>Fetal cardiac AV nodal conduction cardiomyocytes (70%)
Fetal basal epidermal keratinocytes (30%)</t>
  </si>
  <si>
    <t>• Maternal anti-Ro52 autoantibodies
• Maternal anti-Ro60 autoantibodies
• Maternal anti-La/SSB autoantibodies</t>
  </si>
  <si>
    <t>• Maternal autoreactive B cells / plasma cells (anti-Ro52/Ro60/La IgG)
• Maternal autoreactive CD4+ T helper cells</t>
  </si>
  <si>
    <t>1. Transplacental passive transfer of maternal IgG autoantibodies against Ro/SSA (specifically Ro52) and La/SSB to the developing fetus around weeks 16-24.
2. Maternal anti-Ro52 antibodies bind to apoptotic fetal cardiocytes and surface L-type calcium channels (Cav1.2) in the fetal atrioventricular (AV) node.
3. Inhibition of L-type calcium currents disrupts electrical conduction and promotes cardiocyte apoptosis.
4. Cross-linking of surface-translocated Ro antigens recruits fetal macrophages, triggering robust secretion of TGF-β.
5. Irreversible transdifferentiation of AV nodal tissue into non-conductive fibrous scar tissue causes complete, permanent congenital third-degree heart block.</t>
  </si>
  <si>
    <t>• Complete (third-degree) congenital heart block with severe fetal/neonatal bradycardia (80–90%)
• Photosensitive annular or polycyclic erythematous facial rash ('raccoon/owl eyes') (40–50%)
• Transient neonatal cholestasis and elevated hepatic transaminases (15–25%)
• Transient neonatal thrombocytopenia or neutropenia (15–20%)</t>
  </si>
  <si>
    <t>1.0 cases per 20,000 to 50,000 live births</t>
  </si>
  <si>
    <t>1.0 cases per 20,000 live births</t>
  </si>
  <si>
    <t>• Maternal asymptomatic CMV or EBV
• Placental viral infections</t>
  </si>
  <si>
    <t>• Transplacental crossing of maternal anti-Ro/SSA and anti-La/SSB IgG antibodies (weeks 16-24)
• Maternal autoimmune disease activity
• Sunlight / UV exposure post-delivery (triggers cutaneous lesions)</t>
  </si>
  <si>
    <t>• Systemic lupus erythematosus (in mother)
• Sjogren's syndrome (in mother)
• Undifferentiated connective tissue disease (in mother)</t>
  </si>
  <si>
    <t>• Worldwide (affects ~1-2% of infants born to anti-Ro positive mothers)</t>
  </si>
  <si>
    <t>• In utero: Maternal fluorinated dexamethasone (crosses placenta) for emerging heart block
• Prophylactic hydroxychloroquine during pregnancy (reduces risk by &gt;50%)
• Neonatal permanent pacemaker implantation for third-degree (complete) congenital heart block
• Cutaneous lesions: Gentle skin care and sun protection (spontaneous clearance by 6-9 months)</t>
  </si>
  <si>
    <t>Acute brachial neuritis
Brachial neuritis
Brachial neuropathy
Brachial plexitis
Brachial plexus disorder
Brachial plexus neuritis
Brachial radiculitis
Idiopathic brachial neuritis
Idiopathic brachial plexus neuropathy
Neuralgic amyotrophy
Parsonage-Turner Syndrome</t>
  </si>
  <si>
    <t>Neuralgic amyotrophy, also known as brachial plexus disorder and Parsonage-Turner syndrome, is a neurological disorder described by sudden onset of serious pain (aching, burning or stabbing pains) in the shoulder and arm. Pain may radiate into the neck and into the hands. The legs or diaphragm may be affected in some cases. PTS is usually triggered by an illness, infection, injury, or environmental factor, and the body creates an autoimmune response. Severe pain may last for a few hours or continue for weeks. Less intense pain can continue for a year or more. Pain is usually worse at night. Weakness of the muscles in the affected areas may develop days or weeks after onset of symptoms. Some people experience a single episode, some experience persistent symptoms, and others may experience symptom-free intervals between episodes.</t>
  </si>
  <si>
    <t>Acute immune-mediated brachial plexus neuropathy (Parsonage-Turner syndrome) characterized by severe sudden neuropathic shoulder and arm pain followed by patchy multifocal muscle weakness and atrophy. Chapter 59, pp. 865–875.</t>
  </si>
  <si>
    <t>Brachial plexus peripheral motor and sensory nerve axons / Schwann cells (100%)</t>
  </si>
  <si>
    <t>1. Preceding immune stimulus (viral infection, vaccination, surgery, pregnancy) or SEPT9 genetic variant triggers brachial plexus autoimmunity.
2. Aberrant activation of autoreactive T lymphocytes and circulating antibodies directed against brachial plexus peripheral nerves.
3. Infiltration of brachial plexus epineurium and perineurium by inflammatory mononuclear cells.
4. Severe focal epineurial perivascular inflammation, microvascular ischemia, and multifocal inflammatory edema.
5. Hourglass constrictions, focal fascicular demyelination, and motor axonal degeneration produce sudden, excruciating shoulder pain followed by patchy paresis and muscle wasting.</t>
  </si>
  <si>
    <t>• Sudden, excruciating, continuous unilateral shoulder/upper arm pain lasting days to weeks (95–100%)
• Subsequent patchy motor weakness and rapid muscular atrophy in shoulder girdle (85–95%)
• Patchy sensory hypesthesia over lateral deltoid / forearm (60–70%)
• Winging of the scapula (serratus anterior palsy) (50–65%)</t>
  </si>
  <si>
    <t>1.0 cases per 30,000 to 50,000</t>
  </si>
  <si>
    <t>1.0 cases per 60,976</t>
  </si>
  <si>
    <t>• Viral illness (Hepatitis E, Parvovirus B19, CMV)
• Borrelia burgdorferi, COVID-19</t>
  </si>
  <si>
    <t>• Preceding strenuous physical exertion / athletic overuse of shoulder girdle
• Recent surgery, trauma, or immunization
• Childbirth / puerperium
• Psychological stress</t>
  </si>
  <si>
    <t>• Autoimmune thyroiditis
• Systemic lupus erythematosus
• Celiac disease</t>
  </si>
  <si>
    <t>• Worldwide (incidence ~1-3 per 100,000/year; males &gt; females 2:1)</t>
  </si>
  <si>
    <t>• Early oral corticosteroids (prednisone 1 mg/kg/day for 1-2 weeks, reduces acute neuropathic pain)
• Multimodal analgesia: Long-acting opioids + NSAIDs + Gabapentinoids (pregabalin/gabapentin)
• Physical therapy (gentle passive ROM initially, strengthening after reinnervation)
• Surgical neurolysis or nerve grafting for persistent focal motor deficits (&gt;12-18 months)</t>
  </si>
  <si>
    <t>Neuromyelitis optica
NMO
NMOSD
Devic's disease
Devic's syndrome
Neuromyelitis optica spectrum Disorder
Optic neuromyelitis
Opticomyelitis
Opticospinal MS</t>
  </si>
  <si>
    <t>Damage caused by the autoimmune system to the myelin (covering surrounding nerves) of the optical nerves and spine, which affects vision and may also result in other neurological symptoms.</t>
  </si>
  <si>
    <t xml:space="preserve">A serum autoantibody, neuromyelitis optica immunoglobulin (NMO-IgG), was identified in patients with neuromyelitis optica, an inflammatory demyelinating disease similar to, and considered by some to be a variant of, MS affecting the optic nerves and spinal cord, thereby highlighting the importance of the differential diagnosis between MS of NMO and NMO spectrum disorders. NMO and the associated autoantibody (NMO-IgG/anti-aquaporin 4) is discussed further in Chapter 57.
 </t>
  </si>
  <si>
    <t>Aquaporin-4 (AQP4)</t>
  </si>
  <si>
    <t>Astrocytes (astroglial end-feet membranes) (90%)
Secondarily affected oligodendrocytes (10%)</t>
  </si>
  <si>
    <t>Aquaporin-4</t>
  </si>
  <si>
    <t>• Autoreactive B cells / plasmablasts (anti-AQP4 IgG)
• Autoreactive CD4+ Th17 / Th1 cells (AQP4-specific)</t>
  </si>
  <si>
    <t>1. Breakdown of tolerance in HLA-DRB1*03:01 individuals leads to production of pathogenic IgG1 autoantibodies against aquaporin-4 (AQP4).
2. Circulating anti-AQP4 IgG breaches the blood-brain barrier and binds AQP4 water channels densely clustered on astrocytic end-feet.
3. Classical complement activation triggers extensive C5b-9 membrane attack complex assembly on astrocytic membranes.
4. Complement-mediated astrocytic lysis, massive granulocytic/eosinophilic infiltration, and release of astrocytic glutamate.
5. Secondary bystander demyelination, oligodendrocyte necrosis, and axonal transection cause severe, longitudinally extensive transverse myelitis and bilateral optic neuritis.</t>
  </si>
  <si>
    <t>• Severe, acute unilateral or bilateral optic neuritis with poor visual recovery (70–80%)
• Longitudinally extensive transverse myelitis (LETM ≥3 segments) with paraplegia/tetraplegia (70–80%)
• Severe neurogenic bladder and bowel dysfunction (70–80%)
• Area postrema syndrome: intractable hiccups, persistent nausea, and vomiting (20–30%)</t>
  </si>
  <si>
    <t>1.0 cases per 25,000 to 100,000</t>
  </si>
  <si>
    <t>1.0 cases per 22,727 to 192,308</t>
  </si>
  <si>
    <t>• Varicella zoster virus, EBV
• Helicobacter pylori, Chlamydia pneumoniae
• Mycobacterium tuberculosis</t>
  </si>
  <si>
    <t>• Preceding viral infection
• Pregnancy and postpartum period
• High altitude / seasonal fluctuations</t>
  </si>
  <si>
    <t>• Systemic lupus erythematosus
• Sjogren's syndrome
• Hashimoto's thyroiditis
• Myasthenia gravis</t>
  </si>
  <si>
    <t>• Non-Caucasian populations: East Asia, Latin America, Caribbean, African descent (higher proportion)</t>
  </si>
  <si>
    <t>• Acute attack: High-dose IV methylprednisolone (1 g/day for 5 days) + early Plasma Exchange (PLEX)
• FDA-approved preventive biologics: Eculizumab/Ravulizumab (C5 inhibitors), Inebilizumab (anti-CD19), Satralizumab (anti-IL-6R)
• Traditional preventive maintenance: Rituximab (anti-CD20), Mycophenolate mofetil, Azathioprine
• Note: Avoid classical MS drugs (interferon-beta, fingolimod, natalizumab) which worsen NMOSD</t>
  </si>
  <si>
    <t>Neuromyotonia
NMT
Neuromyotonia
Continuous muscle fiber activity syndrome
Isaacs' syndrome
Isaacs-Mertens syndrome
Issacs' syndrome
Quantal squander syndrome</t>
  </si>
  <si>
    <t>Neuromyotonia (also known as Issacs' syndrome) is a rare, autoimmune disorder in which hyperactive nerves cause muscles to be over-activated. This hyperactivity results in muscle stiffness, twitching, cramping, increased sweating, and delayed muscle relaxation, especially in the limbs and trunk. These symptoms can occur anytime, even when asleep or under anaesthesia. Weakened reflexes and muscle pain is also common.  There is currently no cure, but treatment may manage symptoms.</t>
  </si>
  <si>
    <t>Peripheral nerve hyperexcitability syndrome (Isaacs syndrome) mediated by autoantibodies targeting contactin-associated protein-like 2 (CASPR2) and voltage-gated potassium channel complexes, leading to continuous muscle fiber activity, twitching, and cramps. Chapter 59, pp. 865–875.</t>
  </si>
  <si>
    <t>Contactin-associated protein-like 2 (CASPR2)
Voltage-gated potassium channel (VGKC) complex</t>
  </si>
  <si>
    <t>Terminal motor nerve axons (presynaptic motor axolemma) (100%)</t>
  </si>
  <si>
    <t>• Anti-CASPR2 autoantibodies
• Anti-VGKC complex autoantibodies
• Anti-LGI1 autoantibodies</t>
  </si>
  <si>
    <t>• Autoreactive B cells / plasma cells (anti-CASPR2 / anti-VGKC)
• Autoreactive CD4+ T helper cells</t>
  </si>
  <si>
    <t>1. Underlying neoplasm (thymoma, lung cancer) or idiopathic autoimmunity breaks tolerance against peripheral nerve voltage-gated potassium channels.
2. Synthesis of pathogenic IgG autoantibodies targeting contactin-associated protein-like 2 (CASPR2) or VGKC complexes.
3. Autoantibodies bind juxtaparanodal regions of terminal motor axons, accelerating potassium channel internalization and degradation.
4. Marked reduction in Kv1.1 and Kv1.2 channel density prevents normal axonal repolarization after action potential propagation.
5. Axonal hyperexcitability and continuous spontaneous motor nerve discharges cause progressive muscle stiffness, continuous twitching (myokymia/fasciculations), and cramps.</t>
  </si>
  <si>
    <t>• Continuous generalized muscle twitching, undulating rippling (myokymia), and fasciculations (95–100%)
• Progressive muscle stiffness, hypertonia, and delayed muscle relaxation (pseudomyotonia) (80–90%)
• Painful muscle cramps worsened by voluntary movement (70–80%)
• Profuse localized or generalized hyperhidrosis (50–60%)</t>
  </si>
  <si>
    <t>• Paraneoplastic (small cell lung cancer, thymoma)
• Rare viral prodromes</t>
  </si>
  <si>
    <t>• Coexisting thymoma or bronchogenic carcinoma
• Exposure to heavy metals
• Physical exhaustion</t>
  </si>
  <si>
    <t>• Myasthenia gravis
• Autoimmune thyroiditis
• Hashimoto's thyroiditis
• Pernicious anemia</t>
  </si>
  <si>
    <t>• Worldwide (extremely rare, adult onset)</t>
  </si>
  <si>
    <t>• Symptomatic membrane stabilizers: Carbamazepine, Phenytoin, Lamotrigine
• Plasma exchange (PLEX) or Intravenous Immunoglobulin (IVIG)
• Oral corticosteroids (prednisone) + Azathioprine
• Surgical resection of underlying neoplasm (e.g., thymoma)</t>
  </si>
  <si>
    <t>Thyroid eye disease
Graves' eye disease
Graves ophthalmopathy
Graves' ophthalmopathy
Graves' orbitopathy
Ophthalmoplegia due to Graves' disease
Thyroid-Associated orbitopathy</t>
  </si>
  <si>
    <t>Graves' ophthalmopathy (GO) is an autoimmune disorder affecting the eyes that is associated with Graves' disease.  In Graves' disease, the immune system targets and damages a specific cell type found in the thyroid.  This cell type is also found in the tissues surrounding the eyes (the orbit), and Graves' ophthalmopathy results when the immune system attacks these orbital cells in addition to the cells in the thyroid.  Patients with GO experience swelling in the tissues, muscles, and fat in the eye socket, which leads to an abnormal protrusion of the eye.  Smoking is associated with a greater risk of acquiring GO.  Patients often experience full recovery without intervention, but treatments are available to manage symptoms.
Graves’ ophthalmopathy (GO) is an autoimmune disorder affecting the eyes that is associated with Graves’ disease.  In Graves’ disease, the immune system targets and damages a specific cell type found in the thyroid.  This cell type is also found in the tissues surrounding the eyes (the orbit), and Graves’ ophthalmopathy results when the immune system attacks these orbital cells in addition to the cells in the thyroid.  
Patients with GO experience swelling in the tissues, muscles, and fat in the eye socket, which leads to an abnormal protrusion of the eye.  Smoking is associated with a greater risk of acquiring GO.  Patients often experience full recovery without intervention, but treatments are available to manage symptoms.</t>
  </si>
  <si>
    <t>Thyroid-associated ophthalmopathy (Graves' orbitopathy) characterized by proptosis, extraocular muscle restriction, and periorbital inflammation driven by TSH-receptor and IGF-1-receptor-directed autoimmune attack against orbital fibroblasts and adipocytes. Chapter 40, pp. 558–568; Chapter 55, pp. 780–790.</t>
  </si>
  <si>
    <t>Thyroid-stimulating hormone receptor (TSHR)
Insulin-like growth factor 1 receptor (IGF-1R)</t>
  </si>
  <si>
    <t>Orbital preadipocytes / fibroblasts (70%)
Extraocular muscle perimysial myofibroblasts (30%)</t>
  </si>
  <si>
    <t>• Thyroid-stimulating hormone receptor antibodies (TRAb / TSI)
• Anti-IGF-1R autoantibodies</t>
  </si>
  <si>
    <t>• Autoreactive CD4+ Th1 / Th2 cells (TSHR / IGF-1R-reactive)
• Autoreactive B cells / plasma cells (anti-TSHR)
• CD34+ orbital fibroblasts</t>
  </si>
  <si>
    <t>1. Autoreactive CD4+ T cells recognize shared autoantigens, predominantly TSH receptor (TSHR) and IGF-1R, on orbital fibroblasts.
2. Infiltration of orbital adipose tissue and extraocular perimysium by CD4+ T cells and macrophages.
3. Secretion of IFN-γ, IL-1β, and TNF-α stimulates CD34+ orbital fibroblasts to produce immense quantities of hydrophilic glycosaminoglycans (hyaluronic acid).
4. Massive fluid accumulation, edema, and adipogenesis cause marked swelling of extraocular muscles and retrobulbar fat.
5. Intraconal pressure elevation, mechanical restriction of extraocular muscle excursion, proptosis, and compressive optic neuropathy result in severe diplopia and visual loss.</t>
  </si>
  <si>
    <t>• Upper eyelid retraction (Dalrymple's sign) and lid lag on downgaze (von Graefe sign) (85–95%)
• Marked proptosis / exophthalmos (70–80%)
• Restrictive extraocular motility impairment causing binocular diplopia (60–75%)
• Periorbital soft-tissue swelling, conjunctival chemosis, and episcleral injection (50–65%)
• Compressive optic neuropathy in severe apical crowding (5–10%)</t>
  </si>
  <si>
    <t>1.0 cases per 1,115</t>
  </si>
  <si>
    <t>• Yersinia enterocolitica
• Helicobacter pylori, EBV</t>
  </si>
  <si>
    <t>• Cigarette smoking (the single most potent modifiable trigger, odds ratio 7-8x)
• High dietary iodine intake
• Radioactive iodine therapy (can precipitate flare)
• Psychological stress</t>
  </si>
  <si>
    <t>• Graves' hyperthyroidism (obligatory primary disorder)
• Hashimoto's thyroiditis
• Vitiligo
• Type 1 diabetes
• Myasthenia gravis</t>
  </si>
  <si>
    <t>• Worldwide (affects 25-50% of patients with Graves' disease, higher in females)</t>
  </si>
  <si>
    <t>• Teprotumumab (anti-IGF-1R monoclonal antibody, first-line disease-modifying)
• High-dose IV methylprednisolone pulses (cumulative 4.5 g protocol)
• Smoking cessation (mandatory)
• Orbital radiotherapy
• Surgical orbital decompression (for sight-threatening compressive optic neuropathy)</t>
  </si>
  <si>
    <t>OMS
Opsoclonus-myoclonus syndrome
Ataxo-opso-myoclonus syndrome
Dancing eye syndrome
Dancing eye-dancing feet syndrome
Kinsbourne syndrome
OMA syndrome
Opsoclonus myoclonus syndrome
Opsoclonus-myoclonus-ataxia syndrome
Paraneoplastic opsoclonus-myoclonus
Paraneoplastic opsoclonus-myoclonus-ataxia syndrome
POMA syndrome</t>
  </si>
  <si>
    <t>Opsoclonus-myoclonus syndrome is a rare autoimmune disorder that affects the nervous system. Inflammation in the neurological system causes this disorder. OMS typically occurs with tumors (neuroblastomas) or after a viral or bacterial infection. The immune reaction to the tumor or infection makes the body attack the nervous system. In some cases, the cause is unknown.</t>
  </si>
  <si>
    <t>Measurement of paraneoplastic antibodies in the serum is the most important diagnostic test. In addition to its value in establishing the diagnosis of a paraneoplastic syndrome, the antibody identified may reveal the likely underlying tumor. However, it is important to remember that not all paraneoplastic syndromes are antibody positive. For example, opsoclonus–myoclonus syndrome associated with neuroblastoma is clearly the result of an autoimmune process, yet a specific antibody has never been identified in the serum of affected children (Bolognani et al., 2007).</t>
  </si>
  <si>
    <t>Cerebellar Purkinje cells (60%)
Brainstem reticular and omnipause neurons (40%)</t>
  </si>
  <si>
    <t>• Anti-Ri (ANNA-2) autoantibodies
• Anti-Hu (ANNA-1) autoantibodies
• Anti-neurofilament autoantibodies</t>
  </si>
  <si>
    <t>• Autoreactive B cells / plasma cells (cerebellar autoantibodies)
• Autoreactive CD4+ T helper cells
• Autoreactive CD8+ cytotoxic T cells</t>
  </si>
  <si>
    <t>1. Neuroblastoma in young children (paraneoplastic) or post-viral/idiopathic immune dysregulation in adults activates humoral and cellular immunity.
2. Synthesis of antineuronal autoantibodies alongside activation of CD4+ T cells and clonal B cells.
3. Breaching of the blood-brain barrier by immune effectors into the brainstem and cerebellar vermis.
4. Autoimmune disinhibition of the fastigial nucleus of the cerebellum and omnipause neurons within the pontine reticular formation.
5. Unchecked saccadic burst generator excitation produces chaotic, conjugate saccadic eye movements ("dancing eyes"), generalized myoclonus ("dancing feet"), and ataxia.</t>
  </si>
  <si>
    <t>• Opsoclonus: rapid, involuntary, chaotic, multidirectional conjugate saccades (90–100%)
• Truncal ataxia with severe gait instability or inability to stand (90–95%)
• Widespread, severe action/intention myoclonus affecting limbs and trunk (85–95%)
• Extreme behavioral irritability, sleep disruption, and rage attacks in children (75–85%)</t>
  </si>
  <si>
    <t>1.0 cases per 2,000,000 to 5,000,000</t>
  </si>
  <si>
    <t>1.0 cases per 2,500,000 to 3,703,704</t>
  </si>
  <si>
    <t>• Post-viral (Enterovirus, EBV, CMV, HSV)
• Streptococcus pyogenes
• Neuroblastoma (paraneoplastic in children)</t>
  </si>
  <si>
    <t>• Occult pediatric neuroblastoma (present in ~50% of children)
• Adult paraneoplastic malignancies (small cell lung cancer, breast)
• Viral infectious prodromes</t>
  </si>
  <si>
    <t>• Autoimmune thyroiditis
• Celiac disease</t>
  </si>
  <si>
    <t>• Worldwide (rare, ~1 per 5 million annually; median onset 18 months)</t>
  </si>
  <si>
    <t>• High-dose intravenous methylprednisolone
• Intravenous immunoglobulin (IVIG)
• Adrenocorticotropic hormone (ACTH)
• Rituximab (anti-CD20, prevents long-term neurocognitive relapse)
• Surgical resection of occult neuroblastoma (oncologic standard)</t>
  </si>
  <si>
    <t>Palindromic rheumatism
Hench-Rosenberg syndrome
Hench's syndrome
Palindromic rheumatism syndrome</t>
  </si>
  <si>
    <t>Palindromic rheumatism is a disorder that involves episodes of joint inflammation that can affect one or many joint areas. The cause is unknown, but there is evidence that it may result from autoinflammatory processes.  The episodes can last from hours to days, and the time between episodes can range from days to months. Most individuals with the disorder experience multiple episodes per year. The episodes leave no lasting damage, and there are typically no symptoms between episodes.  Studies have shown that roughly half of all patients diagnosed with palindromic rheumatism eventually develop rheumatoid arthritis. Some researchers believe that palindromic rheumatism is simply an early symptom of rheumatoid arthritis. Treatments to manage symptoms are still under investigation.</t>
  </si>
  <si>
    <t>Relapsing-remitting episodic arthritis characterized by sudden acute bouts of painful joint and periarticular inflammation lasting hours to days without permanent articular damage, frequently showing RF and anti-CCP autoantibodies and often progressing to classic RA. Chapter 60, pp. 882–892.</t>
  </si>
  <si>
    <t>Citrullinated proteins / peptides (CCP)</t>
  </si>
  <si>
    <t>Synovial lining fibroblast-like synoviocytes (80%)
Periarticular fibroblasts (20%)</t>
  </si>
  <si>
    <t>• Anti-cyclic citrullinated peptide (anti-CCP)
• Rheumatoid factor (RF)</t>
  </si>
  <si>
    <t>• Autoreactive CD4+ T helper cells
• Autoreactive B cells / plasma cells (anti-CCP, RF)</t>
  </si>
  <si>
    <t>1. Genetic risk (HLA-DRB1 shared epitope) and environmental factors prime citrulline- and rheumatoid factor-reactive B cells.
2. Transient generation of high-affinity anti-cyclic citrullinated peptide (anti-CCP) antibodies and rheumatoid factor (RF).
3. Episodic microvascular immune-complex deposition in periarticular tissues and synovial sheaths.
4. Sudden, brief recruitment of neutrophils and mast cell activation releasing inflammatory mediators.
5. Abrupt onset of severe, painful monoarticular or periarticular swelling that resolves completely within hours to days without radiographic joint erosions.</t>
  </si>
  <si>
    <t>• Sudden, recurrent, transient mono- or oligoarticular inflammatory episodes lasting hours to few days (100%)
• Complete asymptomatic remission and normal joint function between attacks (100%)
• Predilection for fingers, wrists, knees, and shoulders (80–90%)
• Acute periarticular swelling, erythema, and severe local joint tenderness (70–85%)
• Progression to rheumatoid arthritis over time (40–50%)</t>
  </si>
  <si>
    <t>No prevalence data</t>
  </si>
  <si>
    <t>• EBV, Parvovirus B19
• Periodontal pathogens (Porphyromonas gingivalis)</t>
  </si>
  <si>
    <t>• Emotional stress and physical fatigue
• Cold and damp weather exposure
• Cigarette smoking</t>
  </si>
  <si>
    <t>• Rheumatoid arthritis (30-50% progress to RA)
• Systemic lupus erythematosus
• Sjogren's syndrome</t>
  </si>
  <si>
    <t>• Worldwide (prevalence ~1-2 per 10,000, equal male-female ratio)</t>
  </si>
  <si>
    <t>• Hydroxychloroquine (antimalarial, halts attacks and delays progression to RA)
• NSAIDs (naproxen, indomethacin) during acute painful attacks
• Colchicine
• Low-dose oral corticosteroids for acute attacks
• Methotrexate (if progressing toward persistent polyarthritis)</t>
  </si>
  <si>
    <t>Paraneoplastic cerebellar degeneration
PCA
PCD
PNS
Paraneoplastic cerebellar ataxia
Paraneoplastic neurological syndrome
Paraneoplastic syndrome</t>
  </si>
  <si>
    <t>Paraneoplastic cerebellar degeneration (PCD) is a rare autoimmune disorder that occurs in patients with carcinoma. PCD results when the immune system does not differentiate between tumor cells and healthy cells in the cerebellum and attacks both, causing damage. Cancer is often undetected in these patients until symptoms of PCD emerge. Disease progresses quickly, and patients will experience motor and cognitive difficulties that become disabling within less than a few weeks. Treatments are available to manage symptoms, but prognosis is usually poor.</t>
  </si>
  <si>
    <t>Subacute autoimmune cerebellar disorder occurring as a paraneoplastic manifestation of underlying tumors, characterized by Purkinje cell loss and autoantibodies such as anti-Yo, anti-Hu, and anti-Tr. Chapter 58, pp. 848–858.</t>
  </si>
  <si>
    <t>Yo (CDR2/CDR2L)
Hu (ANNA-1)
Tr (DNER)
Ri (ANNA-2)</t>
  </si>
  <si>
    <t>Cerebellar Purkinje neurons (100%)</t>
  </si>
  <si>
    <t>Paraneoplastic cerebellar degeneration with anti-Yo antibodies - a review - PubMed</t>
  </si>
  <si>
    <t>• Autoreactive CD8+ cytotoxic T cells (Purkinje cell destruction, Yo/Hu-specific)
• Autoreactive CD4+ T helper cells
• Autoreactive B cells / plasma cells (anti-Yo, anti-Hu, anti-Tr)</t>
  </si>
  <si>
    <t>1. Underlying malignancy (ovarian, breast, or lung carcinoma) aberrantly expresses onconeural antigens (Yo/CDR2, Hu, Tr).
2. The immune system mounts a potent anti-tumor immune response, priming autoreactive CD8+ cytotoxic T cells and generating onconeural antibodies.
3. Onconeural antigen-specific CD8+ cytotoxic T cells cross the blood-brain barrier and infiltrate the cerebellar cortex.
4. CD8+ T cells engage cerebellar Purkinje cells displaying onconeural peptides via MHC Class I, releasing perforin and granzymes.
5. Irreversible, near-complete apoptotic destruction of cerebellar Purkinje neurons produces subacute, progressive, devastating cerebellar ataxia and dysarthria.</t>
  </si>
  <si>
    <t>• Rapidly progressive, symmetrical cerebellar ataxia of gait and limbs over weeks (95–100%)
• Severe cerebellar dysarthria and scanning speech (85–95%)
• Severe disability resulting in wheelchair dependency within months (80–90%)
• Downbeat nystagmus, ocular dysmetria, and oscillopsia (70–80%)</t>
  </si>
  <si>
    <t>28% of patients with paraneoplastic syndrome</t>
  </si>
  <si>
    <t>• Paraneoplastic (small cell lung cancer, ovarian, breast carcinoma, Hodgkin lymphoma)
• Rare viral triggers</t>
  </si>
  <si>
    <t>• Occult gynecologic, thoracic, or hematologic malignancy
• Cigarette smoking (predisposing to SCLC)</t>
  </si>
  <si>
    <t>• Hashimoto's thyroiditis
• Vitiligo
• Lambert-Eaton myasthenic syndrome</t>
  </si>
  <si>
    <t>• Worldwide (rare, ~1-2 per million, older adults)</t>
  </si>
  <si>
    <t>• Rapid identification and aggressive treatment of underlying malignancy (resection/chemo/radiation)
• High-dose intravenous methylprednisolone
• Intravenous immunoglobulin (IVIG)
• Plasma exchange (PLEX)
• Rituximab or Cyclophosphamide (limited efficacy once Purkinje cells are lost)</t>
  </si>
  <si>
    <t>Paraneoplastic pemphigus / paraneoplastic autoimmune multiorgan syndrome</t>
  </si>
  <si>
    <t>PNP; paraneoplastic autoimmune multiorgan syndrome; PAMS; paraneoplastic autoimmune multi-organ syndrome; paraneoplastic autoimmune multiorganopathy; paraneoplastic pemphigus syndrome; neoplasia-associated pemphigus; paraneoplastic blistering disease; paraneoplastic mucocutaneous syndrome; paraneoplastic autoimmune mucocutaneous disease</t>
  </si>
  <si>
    <t>Paraneoplastic pemphigus, also known as paraneoplastic autoimmune multiorgan syndrome (PAMS), is a severe blistering disorder associated with underlying neoplasms like lymphoma or Castleman disease. Autoantibodies target plakin family proteins and desmogleins, causing intractable mucosal ulcerations, polymorphic cutaneous lesions, and lethal bronchiolitis obliterans. Treatment requires eradicating the neoplasm and administering intensive immunosuppression.</t>
  </si>
  <si>
    <t>Severe multiorgan autoimmune mucocutaneous blistering disorder occurring in patients with occult neoplasms, mediated by autoantibodies against plakin family proteins (envoplakin, periplakin) and desmogleins, often leading to lethal bronchiolitis obliterans. Chapter 65, pp. 955–968.</t>
  </si>
  <si>
    <t>Envoplakin
Periplakin
Desmoplakin I and II
Desmoglein 3
Desmoglein 1</t>
  </si>
  <si>
    <t>Stratified squamous and mucosal keratinocytes (70%)
Bronchial respiratory epithelial cells (30%)</t>
  </si>
  <si>
    <t>• Anti-envoplakin autoantibodies
• Anti-periplakin autoantibodies
• Anti-desmoplakin autoantibodies
• Anti-desmoglein 3 autoantibodies
• Anti-desmoglein 1 autoantibodies</t>
  </si>
  <si>
    <t>• Autoreactive CD8+ cytotoxic T cells (interface dermatitis / acantholysis)
• Autoreactive CD4+ T helper cells
• Autoreactive B cells / plasma cells (anti-plakin / anti-desmoglein)</t>
  </si>
  <si>
    <t>1. Underlying occult or overt neoplasm (Castleman disease, non-Hodgkin lymphoma, CLL) expresses plakin family proteins.
2. Cross-reactive humoral and cellular immunity generates autoantibodies against envoplakin, periplakin, desmoplakin, and desmogleins 1 and 3.
3. Pathogenic autoantibodies bind mucosal and epidermal cell-cell junctions, disrupting desmosomes and hemidesmosomes.
4. Concurrently, autoreactive cytotoxic CD8+ T cells infiltrate the basal layer of stratified and respiratory epithelium.
5. Combined intraepidermal acantholysis and interface lichenoid dermatitis produce intractable mucocutaneous ulcerations and lethal bronchiolitis obliterans.</t>
  </si>
  <si>
    <t>• Severe, painful, refractory polymorphous stomatitis and extensive oral mucosal erosions (95–100%)
• Polymorphic cutaneous eruptions: lichenoid, bullous, or targetoid lesions (80–90%)
• Severe pseudomembranous conjunctivitis and genital erosions (70–85%)
• Bronchiolitis obliterans leading to progressive, fatal respiratory failure (30–40%)</t>
  </si>
  <si>
    <t>• Paraneoplastic: Non-Hodgkin lymphoma, CLL, Castleman disease, thymoma, retroperitoneal sarcoma</t>
  </si>
  <si>
    <t>• Occult hematologic or mesenchymal neoplasm
• Exposure to radiation therapy</t>
  </si>
  <si>
    <t>• Myasthenia gravis
• Autoimmune hemolytic anemia
• Sjogren's syndrome</t>
  </si>
  <si>
    <t>• Worldwide (rare, &lt;10% of pemphigus cases, high mortality)</t>
  </si>
  <si>
    <t>• Complete surgical excision of underlying benign tumor (Castleman, thymoma - often curative)
• High-dose systemic glucocorticoids (prednisone 1-2 mg/kg/day + IV methylprednisolone)
• Rituximab (anti-CD20)
• Cyclosporine, azathioprine, or mycophenolate mofetil
• Supportive burn-unit wound care and infectious prophylaxis</t>
  </si>
  <si>
    <t>Paroxysmal cold hemoglobinuria</t>
  </si>
  <si>
    <t>PCH; cold paroxysmal hemoglobinuria; hemoglobinuria, cold paroxysmal; Donath-Landsteiner hemolytic anemia; Donath-Landsteiner syndrome; Donath-Landsteiner hemolysis; biphasic hemolysin disease; autoimmune hemolytic anemia due to Donath-Landsteiner antibody; DL antibody-associated hemolytic anemia; idiopathic paroxysmal cold hemoglobinuria</t>
  </si>
  <si>
    <t>Paroxysmal cold hemoglobinuria is a rare autoimmune hemolytic anemia caused by the Donath-Landsteiner autoantibody, an IgG antibody that binds red blood cells at cold temperatures and fixes complement. Rewarming to normal body temperature causes intravascular hemolysis, leading to dark red urine (hemoglobinuria), fatigue, and jaundice. It most commonly follows viral respiratory infections in children and typically resolves spontaneously.</t>
  </si>
  <si>
    <t>Rare autoimmune hemolytic anemia mediated by the biphasic Donath-Landsteiner IgG autoantibody targeting the red cell P blood group antigen, causing complement binding in cold peripheral circulation and brisk intravascular hemolysis upon rewarming. Chapter 46, pp. 648–656.</t>
  </si>
  <si>
    <t>P blood group antigen (globoside)</t>
  </si>
  <si>
    <t>• Donath-Landsteiner autoantibodies (anti-P IgG)</t>
  </si>
  <si>
    <t>• Autoreactive B cells / plasma cells (Donath-Landsteiner IgG anti-P)
• Autoreactive CD4+ T helper cells</t>
  </si>
  <si>
    <t>1. Preceding viral (adenovirus, measles) or bacterial (Treponema pallidum) infection induces transient loss of B-cell tolerance.
2. Clonal synthesis of the Donath-Landsteiner autoantibody: a polyclonal IgG specific for the P blood group globoside antigen.
3. In cooler peripheral capillaries (&lt;20-30°C), Donath-Landsteiner IgG binds erythrocyte P antigen and fixes early complement components (C1-C4).
4. Upon circulation back to warmer central body temperatures (37°C), IgG detaches while bound complement activates terminal lytic components (C5b-9).
5. Rapid, massive intravascular erythrocyte lysis produces sudden chills, fever, hemoglobinemia, severe anemia, and dark reddish-brown hemoglobinuria.</t>
  </si>
  <si>
    <t>• Donath-Landsteiner biphasic hemolysin antibody positivity (100%)
• Sudden gross dark reddish-brown / cola-colored urine after cold exposure (90–100%)
• Acute severe intravascular hemolytic anemia, pallor, and jaundice (80–90%)
• Abrupt shaking chills, high fever, and back/flank or abdominal pain (75–85%)</t>
  </si>
  <si>
    <t>• Treponema pallidum (historical congenital syphilis)
• Viral upper respiratory infections (measles, mumps, influenza)
• Varicella zoster, Epstein-Barr virus</t>
  </si>
  <si>
    <t>• Exposure of extremities to freezing cold ambient temperatures
• Ice-cold beverages / bathing
• Recent viral infection in children</t>
  </si>
  <si>
    <t>• Autoimmune hemolytic anemia
• Idiopathic thrombocytopenic purpura
• Systemic lupus erythematosus</t>
  </si>
  <si>
    <t>• Cold climates (Northern Europe, Canada, Northern US, winter months)</t>
  </si>
  <si>
    <t>• Strict avoidance of cold environmental exposure (warm clothing, heated liquids)
• Blood transfusions through an inline blood warmer (37°C)
• Spontaneous resolution following supportive care in post-viral pediatric cases
• Rituximab or Cyclophosphamide (for rare chronic idiopathic or adult forms; steroids ineffective)</t>
  </si>
  <si>
    <t>Paroxysmal nocturnal hemoglobinuria is a rare blood disorder caused when a protein is missing from a person's blood due to a mutation in a gene. Without the protein, the body's immune system attacks the red blood cells and breaks them apart.</t>
  </si>
  <si>
    <t>Cells have mechanisms to defend against occasional deposition of C3b. CD59 (membrane inhibitor of reactive lysis) protects autologous cells against the membrane attack complex, and its deficiency leads to paroxysmal nocturnal hemoglobinuria (Yamashina et al., 1990), where erythrocytes are slowly but continuously destroyed by unrestrained activation of the alternate complement pathway.</t>
  </si>
  <si>
    <t>GPI-anchored proteins (CD55, CD59)</t>
  </si>
  <si>
    <t>Hematopoietic stem cells and clonal erythrocytes / leukocytes / platelets (100%)</t>
  </si>
  <si>
    <t>1. Somatic X-linked loss-of-function mutation in the PIGA gene within a single bone marrow hematopoietic stem cell.
2. Disrupted synthesis of glycosylphosphatidylinositol (GPI) anchors prevents expression of GPI-anchored surface proteins.
3. Clonal expansion of hematopoietic cells completely lacking surface complement regulatory proteins CD55 (DAF) and CD59 (MAC-inhibitory protein).
4. Spontaneous, continuous activation of the alternative complement cascade on red blood cell membranes during baseline physiological tick-over.
5. Unopposed assembly of C5b-9 membrane attack complexes drives chronic intravascular hemolysis, platelet activation, severe thrombosis, and bone marrow failure.</t>
  </si>
  <si>
    <t>• Severe, disabling fatigue out of proportion to anemia severity (80–90%)
• Episodic smooth muscle dystonias: esophageal spasms, dysphagia, erectile dysfunction (40–50%)
• Episodic dark morning hemoglobinuria (red/cola-colored urine upon first void) (30–40%)
• Atypical site venous thromboses (Budd-Chiari, mesenteric, cerebral sinus, dermal veins) (30–40%)</t>
  </si>
  <si>
    <t>1.0 cases per 500,000 to 800,000</t>
  </si>
  <si>
    <t>1.0 cases per 769,231 to 833,333</t>
  </si>
  <si>
    <t>• Viral bone marrow injury (Hepatitis viruses, Parvovirus B19)</t>
  </si>
  <si>
    <t>• Clonal expansion of somatic PIGA mutations in hematopoietic stem cells
• Bone marrow damage / aplastic anemia background</t>
  </si>
  <si>
    <t>• Aplastic anemia (strong bidirectional association, 40-50% clone overlap)
• Myelodysplastic syndromes (MDS)</t>
  </si>
  <si>
    <t>• Worldwide (rare, ~1-2 cases per million, equally distributed across races)</t>
  </si>
  <si>
    <t>• Terminal complement C5 inhibitors: Eculizumab, Ravulizumab
• Proximal complement inhibitors: Pegcetacoplan (C3 inhibitor), Danicopan / Iptacopan (Factor B/D oral inhibitors)
• Long-term anticoagulation for thromboembolic prophylaxis
• Allogeneic bone marrow transplantation (definitive cure for marrow failure)</t>
  </si>
  <si>
    <t>PANDAS
PANS
Pediatric autoimmune neuropsychiatric disorder associated with streptococcal infection
Pediatric Acute-onset Neuropsychiatric Syndrome</t>
  </si>
  <si>
    <t>Pediatric Autoimmune Neuropsychiatric Disorders Associated with Streptococcus (PANDAS) affect children, adolescents, and young adults who may present with acute onset of obsessive-compulsive disorder (OCD) and/or tics following strep infection. PANDAS is a subset of Pediatric Acute-Onset Neuropsychiatric Syndrome (PANS) in which similar symptoms result from a misguided immune response following other infectious or environmental triggers such as the flu, COVID, or tick-borne diseases.</t>
  </si>
  <si>
    <t>A miscellaneous group of movement disorders, observed particularly in children, and sharing the features of an antecedent streptococcal infection, are claimed to have in common the expression of autoantibodies to neurons of basal ganglia in the brain. Prototypic among these is Sydenham's chorea, marked by frequent unintended jerky movements, and long known to occur occasionally in association with streptococcal-related rheumatic carditis. Others include the Tourette syndrome of motor and vocal tics, and a pediatric autoimmune neuropsychiatric disorder associated with streptococcal infections (PANDAS) (Shulman, 1999). Speculative extensions have brought in other entities including obsessive–compulsive and attention-deficit disorders. Autoimmunity has been implicated, but on rather slender evidence: (1) the claimed antecedent streptococcal infections that provide a reasoning for the occurrence of autoimmunity similar to that proposed for the onset of rheumatic carditis (see Chapter 69), (2) positive tests for antineuronal autoantibodies particularly to autoantigens of basal ganglia neurons, and (3) a claimed capacity of patients' sera to transfer disease passively after direct injection into the striatum of rats. However, the autoantibody studies are in earlier literature and have not been convincingly confirmed (reviewed by Dale, 2005), and the validity of the data on passive transfer to animals by serum is likewise questionable (Giovannoni, 2005).</t>
  </si>
  <si>
    <t>Lysoganglioside GM1
Tubulin
Dopamine D1/D2 receptors</t>
  </si>
  <si>
    <t>Basal ganglia striatal medium spiny neurons (85%)
Synaptic interneurons (15%)</t>
  </si>
  <si>
    <t>• Anti-lysoganglioside GM1 autoantibodies
• Anti-tubulin autoantibodies
• Anti-dopamine D1/D2 receptor autoantibodies
• Antistreptolysin O (ASO)</t>
  </si>
  <si>
    <t>• Autoreactive B cells / plasma cells (anti-basal ganglia / anti-dopamine receptor)
• Autoreactive CD4+ Th17 cells</t>
  </si>
  <si>
    <t>1. Pharyngeal infection with Group A beta-hemolytic Streptococcus (GABS) induces an adaptive immune response.
2. Molecular mimicry between streptococcal wall carbohydrate/M protein and human basal ganglia antigens (lysoganglioside GM1, tubulin, D1/D2 receptors).
3. Cross-reactive autoantibodies breach a compromised blood-brain barrier into the central nervous system.
4. Autoantibodies bind neuronal surface targets in the caudate nucleus and putamen, activating calcium/calmodulin-dependent protein kinase II (CaMKII).
5. Dopaminergic neuronal signaling upregulation and striatal network dysfunction produce acute, dramatic onset of obsessive-compulsive disorder (OCD) and tics.</t>
  </si>
  <si>
    <t>• Explosive, sudden-onset obsessive-compulsive disorder (OCD) or motor/vocal tics post-GABHS (100%)
• Severe emotional lability, irritability, and unprovoked temper tantrums (80–90%)
• Acute separation anxiety and school phobia (70–80%)
• Dramatic deterioration in handwriting / fine motor skills (dysgraphia) (60–70%)
• Nocturnal enuresis, urinary frequency, and severe sleep disturbances (50–60%)</t>
  </si>
  <si>
    <t>1.0 cases per 200 to 500 children</t>
  </si>
  <si>
    <t>1.0 cases per 200 pandas network -hearsay</t>
  </si>
  <si>
    <t>• Streptococcus pyogenes (Group A beta-hemolytic streptococcus pharyngitis)</t>
  </si>
  <si>
    <t>• Group A streptococcal throat infection or scarlet fever
• Overcrowding / school environment
• Psychological stress</t>
  </si>
  <si>
    <t>• Sydenham chorea
• Obsessive-compulsive disorder (OCD)
• Tourette syndrome
• Hashimoto's thyroiditis</t>
  </si>
  <si>
    <t>• Worldwide (pediatric onset, peaks between ages 3 and 12 years)</t>
  </si>
  <si>
    <t>• Antimicrobial therapy (penicillin, amoxicillin, or cephalosporins to eradicate GAS carriage)
• Secondary antibiotic prophylaxis (penicillin V or benzathine penicillin)
• Cognitive behavioral therapy (CBT) and psychotropic medications (SSRIs)
• Intravenous immunoglobulin (IVIG) or Plasma exchange for severe, refractory cases</t>
  </si>
  <si>
    <t>Pemphigus foliaceus
Pemphigus erythematosus
Brazilian pemphigus foliaceus
Pemphigus vulgaris
Pemphigus
Drug-induced pemphigus
Pemphigus paraneoplastica</t>
  </si>
  <si>
    <t xml:space="preserve">Pemphigus includes a group of autoimmune diseases that cause blisters and sores in the mouth, skin, genitals, or any area that has mucous membranes. Normally, the immune system produces antibodies to fight off harmful invaders, such as viruses and bacteria. In pemphigus however, the body produces antibodies that damage cells of the skin, the junctions between them, and mucous membranes. Pemphigus vulgaris is the most common subtype of pemphigus.
Pemphigus can occur at any age, but it is most often seen in people who are middle-aged or older. It tends to be a long-lasting (chronic) condition, and some types can be life-threatening without treatment. Treatment with medication usually controls it.
Pemphigus is different from bullous pemphigoid, a blistering skin condition that affects older adults and may cause death to those in poor health. The main difference is microscopic: in pemphigus the skin cells are not able to stick to each other causing fluid to accumulate between them forming blisters;  bullous pemphigoid affects deeper layers of the skin, and the cells of the top layer of skin, the epidermis, cannot stick to the layer beneath it, the dermis, meaning they come off and fluid accumulates between the dermis and epidermis layer. </t>
  </si>
  <si>
    <t xml:space="preserve">The serum of PV patients contains IgG autoantibodies that stain the epidermal intercellular spaces (ICS) by indirect immunofluorescence (IF) producing titers that roughly correlate with disease activity (Beutner and Jordon, 1964). Direct IF of perilesional skin reveals IgG bound to keratinocyte cell surfaces. These autoantibodies are predominantly of the IgG4 subclass (Jones et al., 1988). Noteworthy, non-pathogenic anti-Dsg3 autoantibodies have been detected in first-degree relatives of PV patients, which are mainly IgG1 subclass (Bhol et al., 1995; Kricheli et al., 2000). The target antigen recognized by PV autoantibodies is desmoglein 3 (Dsg3), a 130-kDa desmosomal core glycoprotein (Amagai et al., 1991). While patients with limited mucosal lesions have autoantibodies to Dsg3 exclusively, patients who develop skin lesions may possess autoantibodies against Dsg1 as well (Ding et al., 1997). It is well established that about 50% of PV patients show autoantibodies against Dgs3 and Dsg1.
</t>
  </si>
  <si>
    <t>Desmoglein 3 (Dsg3)
Desmoglein 1 (Dsg1)</t>
  </si>
  <si>
    <t>Epidermal / mucosal stratified squamous keratinocytes (100%)</t>
  </si>
  <si>
    <t>Desmogleins</t>
  </si>
  <si>
    <t>• Autoreactive CD4+ Th2 cells (desmoglein 1/3-specific)
• Autoreactive B cells / plasma cells (anti-Dsg1 / anti-Dsg3)</t>
  </si>
  <si>
    <t>1. Genetic susceptibility (HLA-DRB1*04:02 / DQB1*05:03) drives loss of tolerance against epidermal desmosomal cadherins.
2. Autoreactive CD4+ Th2 cells stimulate B cells to produce pathogenic IgG autoantibodies (IgG4 and IgG1) against desmoglein 3 (PV) and/or desmoglein 1 (PV and PF).
3. Autoantibodies bind extracellular cadherin-like domains of desmoglein molecules on epidermal and mucosal keratinocytes.
4. Steric hindrance of desmosomal adhesion and antibody-induced intracellular signaling (p38 MAPK) cause desmosome internalization and cleavage.
5. Loss of cell-cell cohesion (acantholysis) creates intraepithelial suprabasal (PV) or subcorneal (PF) clefting, forming flaccid blisters and painful erosions.</t>
  </si>
  <si>
    <t>• Painful, persistent oral mucosal erosions and flaccid intraoral blisters (95–100%)
• Positive Nikolsky's sign: normal skin blisters upon firm lateral shearing pressure (85–95%)
• Sparing of pruritus (burning/pain predominates) (85–95%)
• Flaccid, fragile cutaneous bullae that rupture easily leaving painful weeping denuded skin (70–80%)</t>
  </si>
  <si>
    <t>1.0 cases per 18,519 to 20,408</t>
  </si>
  <si>
    <t>• Herpes simplex virus (HSV-1, HSV-2)
• Epstein-Barr virus, Cytomegalovirus
• Endemic focus (fogo selvagem / Simuliidae black fly bites)</t>
  </si>
  <si>
    <t>• Thiol-containing medications (penicillamine, captopril, bucillamine)
• UV radiation / thermal burns
• Dietary allylic compounds (garlic, leeks, onions)
• Black fly exposure (in Brazil for endemic pemphigus foliaceus)</t>
  </si>
  <si>
    <t>• Myasthenia gravis
• Autoimmune thyroiditis
• Rheumatoid arthritis
• Systemic lupus erythematosus</t>
  </si>
  <si>
    <t>• Mediterranean basin, Middle East, Jewish ancestry, Brazil (for endemic foliaceus)</t>
  </si>
  <si>
    <t>• First-line: Rituximab (anti-CD20) + short-course oral prednisone taper (international consensus)
• High-dose systemic glucocorticoids (prednisone 1-1.5 mg/kg/day)
• Adjuvant steroid-sparing immunosuppressants (mycophenolate mofetil, azathioprine)
• Intravenous immunoglobulin (IVIG) or plasmapheresis (for recalcitrant or life-threatening disease)</t>
  </si>
  <si>
    <t>POEMS syndrome
Crow-Fukase syndrome
Osteosclerotic myeloma
PEP syndrome
Polyneuropathy-organomegaly-endocrinopathy-M protein-skin lesions
Shimpo syndrome
Takatsuki syndrome</t>
  </si>
  <si>
    <t>POEMS is an acronym that stands for the disorder's features, which may include Polyneuropathy (disease affecting many nerves), Organomegaly (abnormal enlargement of an organ), Endocrinopathy (diseases affecting certain hormone-producing glands that help to regulate sexual function), Monoclonal gammopathy and Skin Changes. POEMS syndrome is a rare blood disorder where there is an uncontrolled growth of a single clone of plasma cells, which results in abnormal accumulation of immunoglobulins in the blood.</t>
  </si>
  <si>
    <t>The POEMS syndrome (polyneuropathy, organomegaly, endocrinopathy, M-protein, and skin changes) is a rare condition associated with both osteosclerotic myeloma and Castleman's disease. The paraprotein required to make the diagnosis does not seem to participate in the pathogenesis as it is often still found after successful treatment. Furthermore, cytokines (especially IL-6 and IL-1β) and vascular growth endothelial factor (VEGF) are implicated in causation (Lagueny et al., 2004; Dispenzieri, 2012).</t>
  </si>
  <si>
    <t>Microvascular endothelial cells (60%)
Peripheral nerve Schwann cells / axons (40%)</t>
  </si>
  <si>
    <t>• Monoclonal lambda light chain paraprotein
• Elevated VEGF</t>
  </si>
  <si>
    <t>1. Clonal plasma cell neoplasm (typically producing restricted monoclonal IgA-lambda or IgG-lambda light chains) colonizes bone marrow or plasmacytoma.
2. Clonal cells and microenvironmental stromal cells produce massive quantities of vascular endothelial growth factor (VEGF), IL-6, and IL-1β.
3. Markedly elevated circulating VEGF induces widespread microvascular hyperpermeability and endoneurial neoangiogenesis.
4. Breakdown of the blood-nerve barrier causes endoneurial edema, ischemia, uncoupling of Schwann cell function, and demyelination with axonal loss.
5. Multiorgan features develop: Polyneuropathy, Organomegaly, Endocrinopathy, Monoclonal protein, and Skin changes with extravascular fluid overload.</t>
  </si>
  <si>
    <t>• Polyneuropathy: symmetrical, progressive, demyelinating sensorimotor polyneuropathy (100%)
• Monoclonal plasma cell proliferative disorder with osteosclerotic lesions (100%)
• Endocrinopathy: hypogonadism, gynecomastia, hypothyroidism, adrenal failure (70–80%)
• Skin changes: hyperpigmentation, hypertrichosis, glomeruloid hemangiomas, white nails (70–80%)
• Organomegaly: hepatosplenomegaly and lymphadenopathy (60–75%)
• Extravascular volume overload: peripheral edema, ascites, pleural effusions (45–55%)</t>
  </si>
  <si>
    <t>1.0 cases per 333,333</t>
  </si>
  <si>
    <t>• Human herpesvirus 8 (HHV-8, in Castleman-associated)
• Cytomegalovirus, EBV</t>
  </si>
  <si>
    <t>• Clonal plasma cell proliferation producing VEGF
• Chronic osteosclerotic bone lesions
• Heavy metal exposure (historical)</t>
  </si>
  <si>
    <t>• Castleman disease
• Autoimmune thyroiditis
• Monoclonal gammopathy (MGUS)</t>
  </si>
  <si>
    <t>• Worldwide (rare, ~0.3 per 100,000, median age 50-60, males &gt; females)</t>
  </si>
  <si>
    <t>• Localized osteosclerotic lesions: Definitive radiation therapy (40-50 Gy)
• Disseminated bone lesions / bone marrow involvement: High-dose melphalan + autologous stem cell transplant (ASCT)
• Systemic therapies: Lenalidomide + dexamethasone, Bortezomib, or Daratumumab
• Supportive care: Diuretics, orthotics, endocrine hormone replacement</t>
  </si>
  <si>
    <t>c-PAN
PAN
Polyarteritis nodosa
Classic polyarteritis nodosa
Periarteritis nodosa
Polyarteritis</t>
  </si>
  <si>
    <t>Polyarteritis nodosa is an autoimmune disease that causes damage, weakness, and swelling to arteries. Small and medium-sized arteritis are affected by this disease. The autoimmune response that causes PAN is commonly triggered by drugs, vaccines, and both viral and bacterial infections.  PAN is a multisystem disorder, so any organ in the body can be affected. Typically, the skin, heart, peripheral nervous system, kidneys, joints, eyes, and gastrointestinal system are affected. Common symptoms include feelings of malaise, pain, and skin irritation.  There is no cure for PAN, but there are treatments to help with symptoms and disease progression. Outcomes vary depending on symptoms and disease severity, and relapses are possible.  If left untreated, some complications may be fatal.</t>
  </si>
  <si>
    <t xml:space="preserve">In their landmark publication in 1954, Godman and Churg concluded that the “microscopic form or periarteritis,” Wegener's granulomatosis, and Churg–Strauss syndrome are pathologically and clinically distinct from PAN, and probably have a related etiology and pathogenesis. This concept has been borne out by the discovery that microscopic polyangiitis, Wegener's granulomatosis, and Churg–Strauss syndrome are associated with, and are probably caused by, antineutrophil cytoplasmic autoantibodies (ANCAs), whereas PAN is not (Jennette and Falk, 1997; Jennette et al., 2013a). These forms of ANCA-associated vasculitis (AAV) now are designated microscopic polyangiitis (MPA), granulomatosis with polyangiitis (GPA), and eosinophilic granulomatosis with polyangiitis (EGPA).
</t>
  </si>
  <si>
    <t>Medium-sized muscular artery smooth muscle cells (60%)
Endothelial cells (40%)</t>
  </si>
  <si>
    <t>1. Idiopathic autoimmunity or Hepatitis B virus (HBV) surface antigen-antibody immune complex formation in genetically predisposed individuals.
2. Deposition of immune complexes or primary inflammatory targeting of the walls of medium-sized muscular arteries.
3. Transmural infiltration of the arterial wall by polymorphonuclear neutrophils, followed by macrophages and lymphocytes.
4. Extensive transmural fibrinoid necrosis and disruption of the internal and external elastic laminae.
5. Weakening of arterial walls produces aneurysmal dilatations ("string of beads"), luminal thrombosis, and ischemic infarction of kidneys, bowel, nerves, and skin.</t>
  </si>
  <si>
    <t>• Mononeuritis multiplex: sudden asymmetric wrist drop or foot drop with sensory loss (65–75%)
• Cutaneous signs: livedo reticularis, subcutaneous tender nodules, digital gangrene (50–60%)
• Severe renovascular hypertension and flank pain without glomerulonephritis (50–60%)
• Postprandial abdominal angina, mesenteric ischemia, and bowel infarction (35–45%)
• Severe orchitis / testicular pain and tenderness (15–20%)</t>
  </si>
  <si>
    <t>1.0 cases per 625,000</t>
  </si>
  <si>
    <t>• Hepatitis B virus (HBV, 30% historically)
• Hepatitis C virus, Parvovirus B19
• HIV, Cytomegalovirus</t>
  </si>
  <si>
    <t>• Chronic hepatitis B viral infection
• Intravenous illicit drug use (methamphetamines)
• Exposure to silica or petroleum derivatives</t>
  </si>
  <si>
    <t>• Autoimmune thyroiditis
• Sjogren's syndrome
• Rheumatoid arthritis</t>
  </si>
  <si>
    <t>• Worldwide (rare, ~2-9 per million; declining where HBV vaccination is universal)</t>
  </si>
  <si>
    <t>• Glucocorticoids (oral prednisone 1 mg/kg/day or IV pulse methylprednisolone)
• Cyclophosphamide (for severe systemic / multi-organ involvement)
• Antiviral therapy (entecavir, tenofovir) + short steroid taper + plasma exchange for HBV-associated PAN
• Maintenance: Azathioprine or Methotrexate</t>
  </si>
  <si>
    <t>APECED
APS-1
Polyglandular autoimmune syndrome type 1
Autoimmune polyendocrine syndrome type 1
Autoimmune polyendocrinopathy-candidiasis-ectodermal dystrophy
Autoimmune polyglandular syndrome type 1
Whitaker syndrome</t>
  </si>
  <si>
    <t xml:space="preserve">Polyglandular autoimmune syndrome type 1 is a rare autoimmune condition that is caused by a genetic variant that prevents the destruction of antibodies in the thymus gland. As a result, those antibodies attack healthy tissue in a number of glands, leading to the symptoms. There are three components of APECED: chronic mucocutaneous candidiasis, hypoparathyroidism, and adrenal insufficiency. </t>
  </si>
  <si>
    <t>Monogenic autosomal recessive autoimmune polyendocrinopathy (APECED) caused by mutations in the autoimmune regulator gene (AIRE), characterized by chronic mucocutaneous candidiasis, hypoparathyroidism, and primary adrenal insufficiency. Chapter 43, pp. 605–616.</t>
  </si>
  <si>
    <t>Steroid 21-hydroxylase (CYP21A2)
Side-chain cleavage enzyme (CYP11A1)
Interferon-omega (IFN-ω)
NALP5</t>
  </si>
  <si>
    <t>Parathyroid chief cells (40%)
Adrenocortical steroidogenic cells (40%)
Gonadal steroidogenic cells (20%)</t>
  </si>
  <si>
    <t>anti-tryptophan hydroxylase  (enzyme in enterochromaphin cells in the gastrointestinal tract)</t>
  </si>
  <si>
    <t>• Autoreactive CD4+ T helper cells (AIRE deficiency, escape of thymic negative selection)
• Autoreactive CD8+ cytotoxic T cells
• Autoreactive B cells / plasma cells (anti-IFN-ω, anti-21-hydroxylase)</t>
  </si>
  <si>
    <t>1. Autosomal recessive loss-of-function mutations in the autoimmune regulator (AIRE) gene located on chromosome 21q22.3.
2. Failure of AIRE-dependent ectopic expression of tissue-specific self-antigens in medullary thymic epithelial cells (mTECs).
3. Defective negative selection allows massive escape of high-affinity self-reactive CD4+ and CD8+ T cell clones into peripheral circulation.
4. Synthesis of autoantibodies against cytokines (IL-17A, IL-17F, IL-22, IFN-ω) and organ antigens (CYP21A2, CaSR, NALP5).
5. Classic triad of chronic mucocutaneous candidiasis (via IL-17 neutralization), primary hypoparathyroidism, and primary adrenal insufficiency.</t>
  </si>
  <si>
    <t>• Triad (≥2 criteria): Chronic mucocutaneous candidiasis beginning in infancy (95–100%)
• Autoimmune primary hypoparathyroidism with hypocalcemic tetany (75–85%)
• Primary adrenal insufficiency / Addison's disease (70–80%)
• Ectodermal dystrophy: dental enamel hypoplasia, vitiligo, alopecia areata, nail pitting (30–50%)</t>
  </si>
  <si>
    <t>• Candida albicans (chronic mucosal infection)
• Enteroviruses, Rubella virus</t>
  </si>
  <si>
    <t>• Monogenic mutations in AIRE gene (autoimmune regulator, chromosome 21q22.3)
• Consanguinity in closed populations</t>
  </si>
  <si>
    <t>• Chronic mucocutaneous candidiasis (triad 1)
• Hypoparathyroidism (triad 2)
• Addison's disease (triad 3)
• Type 1 diabetes, Vitiligo, Alopecia areata</t>
  </si>
  <si>
    <t>• High in Finnish (1:25,000), Sardinian (1:14,000), and Iranian Jewish (1:9,000) populations</t>
  </si>
  <si>
    <t>• Lifelong hormone replacement: Hydrocortisone, fludrocortisone, calcium + calcitriol
• Long-term systemic antifungal prophylaxis (fluconazole, posaconazole)
• Immunosuppressive therapy for severe autoimmune enteropathy / hepatitis: Cyclosporine, Tacrolimus, or Rituximab
• Routine monitoring for oral squamous cell carcinoma (due to chronic candidiasis)</t>
  </si>
  <si>
    <t>APS2
PGA 2
PGA-II
Polyglandular autoimmune syndrome type 2
Autoimmune polyendocrine syndrome type 2
Autoimmune polyglandular syndrome type II
Carpenter syndrome
Multiple endocrine deficiency syndrome  type 2
Polyglandular deficiency syndrome type 2
Schmidt syndrome</t>
  </si>
  <si>
    <t>APS-2 is an overlap disease that may include Addison's disease, thyroid diseases (Graves disease, Hashimoto's thyroiditis), and diabetes mellitus type 1</t>
  </si>
  <si>
    <t>Polygenic autoimmune endocrinopathy (Schmidt syndrome) characterized by the co-occurrence of Addison's disease with autoimmune thyroid disease and/or type 1 diabetes mellitus, strongly associated with HLA-DR3 and HLA-DR4 haplotypes. Chapter 43, pp. 606–618.</t>
  </si>
  <si>
    <t>Steroid 21-hydroxylase (CYP21A2)
Thyroid peroxidase (TPO)
Glutamic acid decarboxylase 65 (GAD65)</t>
  </si>
  <si>
    <t>Adrenocortical steroid-producing cells (50%)
Thyroid follicular cells (35%)
Pancreatic beta cells (15%)</t>
  </si>
  <si>
    <t>• Anti-21-hydroxylase (CYP21A2) autoantibodies
• Anti-thyroid peroxidase (anti-TPO) autoantibodies
• Anti-GAD65 autoantibodies</t>
  </si>
  <si>
    <t>• Autoreactive CD4+ Th1 cells (21-hydroxylase, TPO, GAD65-specific)
• Autoreactive CD8+ cytotoxic T cells
• Autoreactive B cells / plasma cells (anti-21-hydroxylase, anti-TPO, anti-GAD65)</t>
  </si>
  <si>
    <t>1. Polygenic susceptibility linked to HLA-DR3 (DRB1*03:01) and HLA-DR4 (DRB1*04:01) alongside CTLA4 and PTPN22 risk variants.
2. Progressive, multi-organ loss of self-tolerance to shared and organ-specific endocrine autoantigens (CYP21A2, TPO, GAD65).
3. Activation of autoreactive CD4+ Th1 lymphocytes and generation of organ-specific autoantibodies.
4. Cell-mediated cytotoxic T-lymphocytic infiltration of the adrenal cortex, thyroid gland, and pancreatic islets.
5. Concomitant or sequential immune destruction produces primary adrenal insufficiency (Addison's), autoimmune thyroid disease, and type 1 diabetes mellitus.</t>
  </si>
  <si>
    <t>• Primary adrenal insufficiency / Addison's disease (100%)
• Autoimmune thyroid disease: Hashimoto's thyroiditis or Graves' disease (70–80%)
• Type 1 diabetes mellitus (40–50%)
• Primary hypogonadism / vitiligo / pernicious anemia (10–20%)</t>
  </si>
  <si>
    <t>• Helicobacter pylori
• Enteroviruses, EBV</t>
  </si>
  <si>
    <t>• Physiological or psychological stress
• Severe infection / trauma
• Smoking</t>
  </si>
  <si>
    <t>• Addison's disease (obligatory component)
• Autoimmune thyroid disease (Hashimoto's or Graves')
• Type 1 diabetes (Schmidt syndrome)
• Vitiligo, Alopecia areata, Pernicious anemia</t>
  </si>
  <si>
    <t>• Worldwide (prevalence ~1.5-4.5 per 100,000, 3-4x higher in females, peak age 30-40)</t>
  </si>
  <si>
    <t>• Glucocorticoid replacement: Oral hydrocortisone (15-25 mg/day divided doses)
• Mineralocorticoid replacement: Fludrocortisone (0.05-0.2 mg/day)
• Thyroid hormone replacement: Levothyroxine (start AFTER glucocorticoids to avoid adrenal crisis!)
• Basal-bolus insulin regimens for Type 1 diabetes
• Emergency injectable hydrocortisone and medical alert identification</t>
  </si>
  <si>
    <t>PAS 3
PAS III
Polyglandular autoimmune syndrome type 3
Autoimmune polyendocrine syndrome type 3
Autoimmune polyglandular syndrome type III
Polyglandular deficiency syndrome type 3</t>
  </si>
  <si>
    <t>APS-3 is an overlap disease that primarily includes thyroid diseases (Graves disease, Hashimoto's thyroiditis), diabetes mellitus type 1 and celiac disease. In addition, the disease may include pernicious anemia, alopecia, Sjogren's syndrome, myasthenia gravis and vitiligo.</t>
  </si>
  <si>
    <t>Autoimmune polyglandular syndrome characterized by autoimmune thyroid disease occurring with other autoimmune diseases (such as type 1 diabetes mellitus, pernicious anemia, or vitiligo) in the absence of adrenal cortical insufficiency. Chapter 43, pp. 607–618.</t>
  </si>
  <si>
    <t>Thyroid peroxidase (TPO)
Thyroglobulin (Tg)
Glutamic acid decarboxylase 65 (GAD65)</t>
  </si>
  <si>
    <t>Thyroid follicular cells (65%)
Pancreatic beta cells (35%)</t>
  </si>
  <si>
    <t>• Anti-thyroid peroxidase (anti-TPO) autoantibodies
• Anti-thyroglobulin (anti-Tg) autoantibodies
• Anti-GAD65 autoantibodies</t>
  </si>
  <si>
    <t>• Autoreactive CD4+ Th1 cells (thyroid and islet/gastric antigens)
• Autoreactive CD8+ cytotoxic T cells
• Autoreactive B cells / plasma cells (anti-TPO, anti-Tg, anti-GAD65)</t>
  </si>
  <si>
    <t>1. Polygenic autoimmune predisposition (HLA-DR3, HLA-DR4, HLA-DQ8) without adrenal involvement.
2. Breakdown of self-tolerance against thyroidal antigens (TPO, Tg) combined with islet beta-cell antigens (GAD65, IA-2) or gastric parietal cell antigens.
3. Expansion of autoreactive CD4+ Th1/Th17 cells and B-cell production of high-titer autoantibodies.
4. Chronic lymphocytic infiltration and apoptotic destruction of thyroid follicular cells and endocrine tissues.
5. Clinical coexistence of autoimmune thyroid disease (Hashimoto's or Graves') with type 1 diabetes mellitus, pernicious anemia, vitiligo, or alopecia areata.</t>
  </si>
  <si>
    <t>• Autoimmune thyroid disease (Hashimoto's thyroiditis or Graves' disease) (100%)
• Concomitant type 1 diabetes mellitus without adrenal insufficiency (60–70%)
• Autoimmune gastritis / pernicious anemia (15–25%)
• Vitiligo or alopecia areata (15–20%)</t>
  </si>
  <si>
    <t>1.0 cases per 1,000 to 5,000</t>
  </si>
  <si>
    <t>• Enteroviruses, Coxsackievirus
• Helicobacter pylori, EBV</t>
  </si>
  <si>
    <t>• High dietary iodine intake
• Stress / severe emotional trauma
• Pregnancy / postpartum period</t>
  </si>
  <si>
    <t>• Autoimmune thyroid disease (Hashimoto's/Graves')
• Type 1 diabetes
• Pernicious anemia
• Vitiligo, Alopecia areata, Myasthenia gravis</t>
  </si>
  <si>
    <t>• Worldwide (commonest autoimmune polyendocrine syndrome, females &gt; males 3:1)</t>
  </si>
  <si>
    <t>• Hormone replacement tailored to affected endocrine organs: Levothyroxine for hypothyroidism, antithyroid drugs for Graves'
• Insulin therapy for Type 1 diabetes
• Parenteral vitamin B12 (cyanocobalamin) for pernicious anemia
• Phototherapy / topical steroids for vitiligo
• Annual surveillance of TSH, HbA1c, and B12 levels</t>
  </si>
  <si>
    <t>Polyglandular autoimmune syndrome type 4
Autoimmune polyendocrine syndrome type 4
Multiple autoimmune syndrome</t>
  </si>
  <si>
    <t xml:space="preserve">Multiple autoimmune syndrome is any combination of 2 or more autoimmune conditions. The Autoimmune Registry's research across numerous databases has determined that roughly 40% of individuals with autoimmune disease have multiple diseases. 
APS-4 is any combination of autoimmune diseases not covered by types 1, 2 or 3. </t>
  </si>
  <si>
    <t>Heterogeneous polyendocrine autoimmune condition characterized by combinations of two or more organ-specific autoimmune disorders that do not meet the diagnostic definitions for APS-1, APS-2, or APS-3. Chapter 43, pp. 607–618.</t>
  </si>
  <si>
    <t>Multi-endocrine glandular parenchymal cells: Adrenal / gonadal cells (50%), Gastric parietal / mucosal cells (50%)</t>
  </si>
  <si>
    <t>• Organ-specific autoantibodies (anti-TPO, anti-21-hydroxylase, anti-GAD65)</t>
  </si>
  <si>
    <t>1. Polygenic immune dysregulation impairs peripheral tolerance against multiple endocrine and non-endocrine tissue autoantigens.
2. Presentation of tissue-specific antigens prompts clonal expansion of autoreactive CD4+ T helper cells and B cells.
3. Generation of diverse organ-specific autoantibodies (anti-TPO, anti-parietal cell, anti-intrinsic factor, anti-gonadal).
4. Chronic lymphocytic infiltration and cytokine-mediated apoptosis of affected target tissues.
5. Clinical coexistence of autoimmune endocrinopathies and organ-specific diseases failing to meet classic criteria for APS-1, 2, or 3 (e.g., hypoparathyroidism with atrophic gastritis or vitiligo).</t>
  </si>
  <si>
    <t>• Two or more organ-specific autoimmune endocrinopathies not meeting types 1, 2, or 3 criteria (100%)
• Combinations such as Addison's + hypoparathyroidism without candidiasis, or vitiligo + hypogonadism (100%)
• Clinical features determined by specific failing endocrine glands (100%)</t>
  </si>
  <si>
    <t>• Rare viral or bacterial triggers
• Post-infectious prodromes</t>
  </si>
  <si>
    <t>• Multiple environmental stressors
• Immune checkpoint inhibitors
• Polygenic autoimmune susceptibility</t>
  </si>
  <si>
    <t>• Combination of autoimmune endocrinopathies excluding APS-1, APS-2, or APS-3 combinations
• Addison's disease with hypoparathyroidism, celiac disease, or hypogonadism</t>
  </si>
  <si>
    <t>• Comprehensive organ-specific hormone replacement therapies
• Stress-dose corticosteroid management for adrenal insufficiency
• Close surveillance for emerging endocrine gland failures
• Immunosuppressive therapy if coexisting with non-endocrine autoimmune diseases</t>
  </si>
  <si>
    <t>Polymyalgia rheumatica (PMR) is an autoimmune disease that causes an inflammatory reaction affecting the lining of joints, especially the shoulders and hips, and sometimes the arteries and some major branches of the aorta. It is usually associated with temporal arteritis.</t>
  </si>
  <si>
    <t>Evidence suggests that the systemic inflammatory syndrome precedes rather than follows vascular inflammation, responds promptly to corticosteroid immunosuppression, and is mediated by a distinct immune abnormality: the excessive production of IL-6 and related cytokines. Clinical symptoms vary depending on the nature of the vascular lesions and the vascular bed is preferentially affected. For clinical purposes it is helpful to subdivide the GCA syndrome into different subtypes, including cranial GCA, nonstenosing GCA, large vessel GCA, and polymyalgia</t>
  </si>
  <si>
    <t>Bursal and tenosynovial lining synoviocytes (80%)
Glenohumeral / hip synovial fibroblasts (20%)</t>
  </si>
  <si>
    <t>• Autoreactive CD4+ Th1 and Th17 cells
• Circulating and synovial monocytes / macrophages</t>
  </si>
  <si>
    <t>1. Aging and genetic predisposition (HLA-DRB1*04) prime innate toll-like receptors (TLR4, TLR7) on circulating monocytes.
2. Production of systemic IL-6 and IL-1β drives profound hepatic acute-phase response (elevated ESR, CRP).
3. Recruitment of CD4+ Th1 and Th17 lymphocytes into periarticular synovial structures (shoulder, hip bursae, and tenosynovial sheaths).
4. Transmural macrophage infiltration and synovial fluid exudation without bone erosions or pannus formation.
5. Marked bilateral subacromial/subdeltoid bursitis, trochanteric bursitis, and biceps tenosynovitis produce severe morning stiffness and pelvic/shoulder girdle aching.</t>
  </si>
  <si>
    <t>• Severe, acute or subacute bilateral shoulder girdle aching pain and morning stiffness (95–100%)
• Morning stiffness lasting &gt;45 minutes with pronounced 'gel phenomenon' (90–95%)
• Dramatic, rapid clinical response to low-dose corticosteroids within 72 hours (90–95%)
• Pelvic girdle / hip aching pain and stiffness (80–90%)
• Constitutional symptoms: low-grade fever, fatigue, weight loss, depression (40–50%)</t>
  </si>
  <si>
    <t>1.0 cases per 150 to 500</t>
  </si>
  <si>
    <t>1.0 cases per 133 to 154</t>
  </si>
  <si>
    <t>• Respiratory tract pathogens
• Chlamydia pneumoniae, Parvovirus B19
• Mycoplasma, Parainfluenza</t>
  </si>
  <si>
    <t>• Advanced age (&gt;50 years, mean age 73)
• Seasonal clustering (autumn/winter peaks)
• Inhaled particulate matter</t>
  </si>
  <si>
    <t>• Giant cell arteritis (GCA, coexists in 15-20% of PMR patients)
• Hashimoto's thyroiditis
• Rheumatoid arthritis</t>
  </si>
  <si>
    <t>• Northern Europe, Scandinavia, Northern US, and Caucasian ancestry (highest prevalence)</t>
  </si>
  <si>
    <t>• Low-to-moderate dose oral systemic glucocorticoids (prednisone 12.5-20 mg/day, rapid response &lt;72h)
• Slow, individualized prednisone taper over 12-24 months
• Methotrexate (oral or subcutaneous, preferred steroid-sparing agent)
• IL-6 receptor antagonists (Sarilumab [FDA-approved for PMR], Tocilizumab)
• Calcium and vitamin D supplementation + bone protection (bisphosphonates)</t>
  </si>
  <si>
    <t>Polymyositis is inflammation of muscle tissue, causing chronic muscle weakness in both sides of the body. This results in mobility issues, such as difficulty climbing stairs, rising from a seated position, lifting objects, etc. Polymyositis mostly affects adults ages 30 to 50s, and women are usually more often affected compared to men. This disease develops gradually, affecting both sides of the muscles closest to the trunk, such as the hips, neck, upper arms, and thighs. The risk of polymyositis increases if already diagnosed with another autoimmune disease, for example, lupus, rheumatoid arthritis, scleroderma, or Sjogren’s syndrome.</t>
  </si>
  <si>
    <t>Idiopathic inflammatory myopathy characterized by subacute, symmetrical proximal muscle weakness and elevated muscle enzymes, histopathologically featuring endomysial infiltration of non-necrotic muscle fibers by CD8+ cytotoxic T lymphocytes and macrophages. Chapter 61, pp. 892–905.</t>
  </si>
  <si>
    <t>Histidyl-tRNA synthetase (Jo-1)
Signal recognition particle (SRP)
Mi-2</t>
  </si>
  <si>
    <t>Skeletal muscle fibers (myofibers) (90%)
Intramuscular microvascular endothelial cells (10%)</t>
  </si>
  <si>
    <t>• Anti-Jo-1 autoantibodies
• Anti-SRP autoantibodies
• Anti-Mi-2 autoantibodies</t>
  </si>
  <si>
    <t>• Autoreactive CD8+ cytotoxic T cells (perforin/granzyme-mediated endomysial invasion)
• Autoreactive CD4+ T helper cells
• Autoreactive B cells / plasma cells (anti-Jo-1, anti-SRP)</t>
  </si>
  <si>
    <t>1. Genetic susceptibility (HLA-DRB1*03:01) leads to aberrant presentation of skeletal muscle autoantigens via MHC Class I on the sarcolemma.
2. Clonal expansion of antigen-driven, autoreactive CD8+ cytotoxic T lymphocytes.
3. CD8+ T cells and macrophages directly infiltrate the muscle endomysium, surrounding and invading non-necrotic muscle fibers.
4. Perforin/granzyme exocytosis across the immunological synapse punches pores into the sarcolemma, inducing myofiber apoptosis.
5. Extensive muscle fiber necrosis, regeneration failure, and endomysial fibrosis lead to symmetrical proximal muscle weakness and elevated creatine kinase.</t>
  </si>
  <si>
    <t>• Complete absence of dermatomyositis-associated cutaneous rashes (100%)
• Symmetrical, progressive proximal muscle weakness (pelvic and shoulder girdles) (90–95%)
• Difficulty rising from chair, climbing stairs, or lifting arms (90–95%)
• Neck flexor muscle weakness with head drop (40–50%)
• Dysphagia due to upper third esophageal muscle weakness (30–40%)</t>
  </si>
  <si>
    <t>1.0 cases per 4,545 to 20,000</t>
  </si>
  <si>
    <t>• Coxsackievirus B
• Retroviruses (HIV, HTLV-1)
• Influenza virus, Hepatitis C virus</t>
  </si>
  <si>
    <t>• Ultraviolet radiation exposure
• Occupational exposure to silica, mineral dusts, organic solvents
• Medications (statins, penicillamine)</t>
  </si>
  <si>
    <t>• Systemic sclerosis
• Sjogren's syndrome
• Systemic lupus erythematosus
• Autoimmune thyroiditis</t>
  </si>
  <si>
    <t>• Worldwide (prevalence ~5-10 per 100,000, 2-3x higher in females, peak age 45-60)</t>
  </si>
  <si>
    <t>• High-dose systemic glucocorticoids (oral prednisone 1 mg/kg/day or IV methylprednisolone)
• Early initiation of conventional DMARDs: Methotrexate or Azathioprine
• Second-line agents: Mycophenolate mofetil, Tacrolimus, or Cyclosporine
• Intravenous immunoglobulin (IVIG) for refractory weakness or dysphagia
• Rituximab (anti-CD20) for recalcitrant cases</t>
  </si>
  <si>
    <t>Postpericardiotomy pericarditis
Postmyocardial infarction syndrome
Post-cardiac injury syndrome
Post-myocardial infarction syndrome
Post-pericardiotomy syndrome
Dressler's syndrome
Delayed postmyocardial infarction syndrome</t>
  </si>
  <si>
    <t xml:space="preserve">All of the conditions listed here occur following a heart attack, traumatic injury to the heart or the pericardium, or an operation such as coronary artery bypass grafting (CABG), mitral valve replacement, aortic valve replacement, and pacemaker or stent implantation. 
They are marked by inflammation of the pericardium (the sac that surrounds the heart) accompanied by high fever.  Symptoms occur usually from 3-4 days up to 2-6 weeks post-surgery/injury and on rare occasions symptoms may develop up to a few months post-surgery/injury. Most patients improve with medication and do not suffer chronic illness.  
To date, there is no direct or indirect evidence that post-pericardiotomy syndrome is autoimmune. Kaya et al 2012 provides an excellent review of the science of this entire class of disease. However, it states that “…precise mechanisms on how these autoantibodies perpetuate or even induce an organ specific autoimmune response are not yet fully understood.”  </t>
  </si>
  <si>
    <t>Finally, post-pericardiotomy syndrome and post-myocardial infarction syndrome are sometimes cited as instances of an autoimmune response instigated by damaged or necrotic tissue (Maisch et al., 1979). This chapter reviews the evidence linking autoimmunity with two important forms of heart disease, myocarditis and dilated cardiomyopathy (DCM). It must be stated, ab initio, that immunologic testing has so far not been effective in allowing a clear distinction between autoimmune and other etiologies</t>
  </si>
  <si>
    <t>Cardiac myosin
Myocardial antigens</t>
  </si>
  <si>
    <t>Pericardial mesothelial cells (70%)
Epicardial / myocardial tissue cells (30%)</t>
  </si>
  <si>
    <t>• Anti-myocardial autoantibodies
• Anti-cardiac myosin autoantibodies</t>
  </si>
  <si>
    <t>• Autoreactive CD4+ T helper cells (cardiac neoantigen-reactive)
• Autoreactive B cells / plasma cells (anti-myocardial autoantibodies)</t>
  </si>
  <si>
    <t>1. Transmural myocardial necrosis during acute myocardial infarction releases sequestered cardiac antigens and exposes pericardial mesothelium.
2. Presentation of novel cardiac autoantigens to naive lymphocytes breaks tolerance in pericardial draining lymph nodes.
3. Synthesis of anti-myocardial autoantibodies (anti-actin, anti-myosin) and formation of circulating immune complexes 2-10 weeks post-infarction.
4. Immune complexes deposit in the pericardial and pleural membranes, activating complement.
5. Exudative fibrinous inflammation of the visceral and parietal pericardium produces chest pain, pericardial friction rub, fever, and effusion.</t>
  </si>
  <si>
    <t>• Pleuritic chest pain aggravated by inspiration/recumbency and relieved by leaning forward (85–95%)
• Pericardial effusion on echocardiography (75–85%)
• Persistent low-grade fever occurring 1–6 weeks post-myocardial infarction (70–80%)
• Pericardial friction rub on cardiac auscultation (60–70%)
• Pleural effusion and pleuritic signs (40–50%)</t>
  </si>
  <si>
    <t>1.0 cases per 100 to 200 post-MI</t>
  </si>
  <si>
    <t>Incidence estimated at 17.8% of heart attacks  (500,000 heart attacks in the US each year)</t>
  </si>
  <si>
    <t>• Post-myocardial viral reactivation
• Coxsackievirus, Cytomegalovirus</t>
  </si>
  <si>
    <t>• Transmural myocardial infarction with extensive myocardial necrosis
• Cardiac surgery / pericardiotomy (post-cardiac injury syndrome)
• Percutaneous coronary intervention (PCI) / catheter ablation</t>
  </si>
  <si>
    <t>• Rare; co-occurs with systemic lupus erythematosus or rheumatoid pericarditis</t>
  </si>
  <si>
    <t>• Worldwide (declined from 5% to &lt;1% of MI cases due to rapid modern reperfusion/PCI)</t>
  </si>
  <si>
    <t>• High-dose oral aspirin (750-1000 mg every 6-8 hours) or NSAIDs (ibuprofen, indomethacin)
• Colchicine (0.5-0.6 mg daily or BID for 3 months to prevent recurrences, standard of care)
• Low-to-moderate dose systemic glucocorticoids (prednisone, reserved for NSAID-refractory/contraindicated)
• Pericardiocentesis for significant pericardial effusion or cardiac tamponade</t>
  </si>
  <si>
    <t>PBC
Primary biliary cholangitis
Primary biliary cirrhosis</t>
  </si>
  <si>
    <t>Primary biliary cholangitis is chronic disease in which the bile ducts of the liver are slowly destroyed due to inflammation with progressive scarring.</t>
  </si>
  <si>
    <t>An autoimmune pathogenesis for PBC appears indisputable according to different lines of evidence, notably high levels/counts of serum autoantibodies and autoreactive T cells directed at overlapping epitopes on the mitochondrial constituent pyruvate dehydrogenase complex (Folci et al., 2012), and/or reactivity to nuclear autoantigens (ANA) of very particular specificities. Detectable AMA in serum exist in some 90% of affected individuals, but AMA negative cases are clinically similar, and AMA titers do not correlate with disease staging or grading (Selmi et al., 2008b). If ANA positivity were taken into account, then nearly all cases of PBC could show seropositivity.</t>
  </si>
  <si>
    <t>Pyruvate dehydrogenase complex E2 subunit (PDC-E2)
BCOADC-E2
OGDC-E2
gp210
sp100</t>
  </si>
  <si>
    <t>Small intrahepatic biliary epithelial cells (cholangiocytes) (100%)</t>
  </si>
  <si>
    <t>• Antimitochondrial antibodies (AMA / anti-PDC-E2)
• Anti-gp210 autoantibodies
• Anti-sp100 autoantibodies</t>
  </si>
  <si>
    <t>• Autoreactive CD4+ Th1 / Th17 cells (PDC-E2-specific, biliary epithelial destruction)
• Autoreactive CD8+ cytotoxic T cells
• Autoreactive B cells / plasma cells (antimitochondrial antibodies / AMA)</t>
  </si>
  <si>
    <t>1. Genetic risk (HLA-DRB1*08, IL12A) and environmental xenobiotic exposure break tolerance to the E2 subunit of pyruvate dehydrogenase (PDC-E2).
2. PDC-E2 remains immunologically intact within apoptotic blebs (apotopes) of small intrahepatic biliary epithelial cells (cholangiocytes).
3. Clonal expansion of PDC-E2-specific CD4+ Th1/Th17 cells, antimitochondrial antibodies (AMA), and cytotoxic CD8+ T cells.
4. Chronic lymphocytic infiltration of portal tracts with direct cytotoxicity against small interlobular and septal bile ducts ("florid duct lesions").
5. Progressive ductopenia, chronic intrahepatic cholestasis, portal inflammation, and progressive biliary cirrhosis lead to liver failure.</t>
  </si>
  <si>
    <t>• Chronic, profound fatigue (70–80%)
• Severe, disabling chronic pruritus (often worse at night and on palms/soles) (60–75%)
• Asymptomatic elevation of serum alkaline phosphatase (50–60%)
• Sicca syndrome / dry eyes and mouth (40–50%)
• Jaundice and scleral icterus in advanced stages (20–30%)
• Cutaneous xanthelasmas and planar xanthomas (15–25%)</t>
  </si>
  <si>
    <t>1.0 cases per 3,413</t>
  </si>
  <si>
    <t>• Novosphingobium aromaticivorans (PDC-E2 epitope homology)
• Escherichia coli (urinary tract infections)
• Mycobacterium gordonae, retroviruses</t>
  </si>
  <si>
    <t>• Cigarette smoking (strongly accelerates progression and fibrosis)
• Recurrent urinary tract infections (UTIs)
• Xenobiotics / chemical cosmetic products (hair dyes, nail polish)
• Toxic waste disposal sites</t>
  </si>
  <si>
    <t>• Hashimoto's thyroiditis
• Sjogren's syndrome (in up to 35-50%)
• Systemic sclerosis (CREST syndrome)
• Celiac disease
• Rheumatoid arthritis</t>
  </si>
  <si>
    <t>• Northern Europe, UK, Scandinavia, North America (prevalence 20-40 per 100,000, 9:1 female)</t>
  </si>
  <si>
    <t>• First-line: Ursodeoxycholic acid (UDCA, 13-15 mg/kg/day lifelong, improves survival)
• Second-line: Obeticholic acid (FXA agonist) or PPAR agonists (Bezafibrate, Elafibranor)
• Management of pruritus: Cholestyramine, Rifampin, Naltrexone, or Sertraline
• Fat-soluble vitamin supplementation (vitamins A, D, E, K)
• Liver transplantation (definitive for decompensated cirrhosis / intractable pruritus)</t>
  </si>
  <si>
    <t>Primary idiopathic dilated cardiomyopathy
Dilated cardiomyopathy
Idiopathic dilated cardiomyopathy</t>
  </si>
  <si>
    <t>A disease in which the immune system attacks the heart muscle causing inflammation, normally beginning in the heart's left ventricle (the heart's main pumping chamber). The ventricle stretches and thins and is unable to pump blood as a healthy heart can. Not all patients experience symptoms, but for some it can be life-threatening.</t>
  </si>
  <si>
    <t>The ambiguities in diagnosing inflammatory disease of the heart muscle are evident. Although the availability of endomyocardial biopsy has helped to clarify the situation, many cases are still inconclusive. There is, at present, a need for noninvasive, inexpensive diagnostic procedures to distinguish autoimmune from other forms of inflammatory heart disease. Much evidence points to a significant role of autoimmunity in some animal models of heart muscle disease. It is logical, therefore, to propose that serologic tests, based on the demonstration of circulating autoantibodies to cardiac antigens, might be useful in the identification of autoimmune forms of myocarditis and DCM in humans. The literature has been reviewed by Caforio et al. (2002), Cihakova and Rose (2008), and, most recently, Kaya et al. (2012).</t>
  </si>
  <si>
    <t>β1-adrenergic receptor
Cardiac myosin
Troponin I</t>
  </si>
  <si>
    <t>Ventricular cardiomyocytes (90%)
Cardiac interstitial fibroblasts (10%)</t>
  </si>
  <si>
    <t>• Anti-β1-adrenergic receptor autoantibodies
• Anti-cardiac myosin autoantibodies
• Anti-troponin I autoantibodies</t>
  </si>
  <si>
    <t>• Autoreactive CD4+ T helper cells (cardiac myosin / β1-AR-reactive)
• Autoreactive B cells / plasma cells (anti-β1-adrenergic receptor, anti-troponin I)
• Autoreactive CD8+ cytotoxic T cells</t>
  </si>
  <si>
    <t>1. Genetic susceptibility coupled with prior viral myocarditis exposes cryptic cardiomyocyte antigens (β1-adrenergic receptor, cardiac myosin, troponin I).
2. Production of functionally stimulatory autoantibodies targeting the second extracellular loop of the β1-adrenergic receptor.
3. Persistent autoantibody-mediated agonist stimulation causes chronic intracellular cAMP elevation, protein kinase A activation, and cytosolic calcium overload.
4. Cardiomyocyte apoptosis, defective excitation-contraction coupling, and secondary reactive myocardial fibrosis.
5. Progressive four-chamber dilatation, eccentric ventricular remodeling, impaired systolic contractility, and congestive heart failure.</t>
  </si>
  <si>
    <t>• Symptoms of congestive heart failure: exertional dyspnea, orthopnea, PND (85–95%)
• Chronic fatigue, weakness, and exercise limitation (80–90%)
• Cardiomegaly with S3 gallop and elevated jugular venous pressure (70–80%)
• Bilateral peripheral lower extremity pitting edema (65–75%)
• Ventricular arrhythmias and palpitations (40–50%)</t>
  </si>
  <si>
    <t>1.0 cases per 2,500</t>
  </si>
  <si>
    <t>1.0 cases per 2,740</t>
  </si>
  <si>
    <t>• Coxsackievirus B
• Parvovirus B19, Adenovirus
• Cytomegalovirus, Epstein-Barr virus, Chagas disease (Trypanosoma cruzi)</t>
  </si>
  <si>
    <t>• Alcohol consumption (toxic exacerbation)
• Heavy metal exposure (cobalt, lead)
• Pregnancy / peripartum metabolic stress
• Strenuous physical exertion during viral infection</t>
  </si>
  <si>
    <t>• Hashimoto's thyroiditis
• Systemic lupus erythematosus
• Myasthenia gravis</t>
  </si>
  <si>
    <t>• Worldwide (prevalence ~1 in 2,500; prominent cause of heart failure in young adults)</t>
  </si>
  <si>
    <t>• Guideline-directed medical therapy (GDMT): ACEi/ARBs/ARNI (sacubitril/valsartan), Beta-blockers, MRAs, SGLT2 inhibitors
• Loop diuretics for congestive symptoms
• Device therapy: Implantable cardioverter-defibrillator (ICD) and Cardiac resynchronization therapy (CRT)
• Immunosuppression (corticosteroids + azathioprine) for biopsy-proven chronic myocarditis / autoantibody-positive DCM
• Left ventricular assist device (LVAD) or Orthotopic heart transplantation</t>
  </si>
  <si>
    <t>Primary membranous nephropathy (PLA2R/THSD7A-associated)</t>
  </si>
  <si>
    <t>PMN; idiopathic membranous nephropathy; IMN; membranous glomerulonephritis; membranous nephritis; autoimmune membranous nephropathy; PLA2R-associated membranous nephropathy; anti-PLA2R membranous nephropathy; phospholipase A2 receptor-associated membranous nephropathy; THSD7A-associated membranous nephropathy; anti-THSD7A membranous nephropathy; nephrotic syndrome with membranous glomerulonephritis</t>
  </si>
  <si>
    <t>Primary membranous nephropathy is an autoimmune kidney disease and a leading cause of nephrotic syndrome in adults, characterized by autoantibodies targeting antigens on podocytes, predominantly the M-type phospholipase A2 receptor (PLA2R). Immune complex deposition in the subepithelial space damages the glomerular basement membrane, causing severe proteinuria. Treatments include immunosuppressive therapy with rituximab or alkylating agents.</t>
  </si>
  <si>
    <t>Autoimmune glomerular disease causing adult nephrotic syndrome, characterized by subepithelial immune complex deposition driven by circulating IgG4 autoantibodies targeting the M-type phospholipase A2 receptor (PLA2R) or thrombospondin type-1 domain-containing 7A (THSD7A). Chapter 54, pp. 760–772.</t>
  </si>
  <si>
    <t>Phospholipase A2 receptor (PLA2R)
Thrombospondin type-1 domain-containing 7A (THSD7A)</t>
  </si>
  <si>
    <t>Glomerular podocytes (visceral epithelial cells) (100%)</t>
  </si>
  <si>
    <t>• Anti-phospholipase A2 receptor (anti-PLA2R) IgG4
• Anti-THSD7A autoantibodies
• Anti-NELL1 autoantibodies</t>
  </si>
  <si>
    <t>• Autoreactive B cells / plasma cells (anti-PLA2R IgG4, anti-THSD7A)
• Autoreactive CD4+ T helper cells (PLA2R-specific Tfh / Th2)</t>
  </si>
  <si>
    <t>1. Genetic association with HLA-DQA1*05:01 and PLA2R1 risk variants breaks self-tolerance against podocyte surface antigens.
2. Synthesis of high-affinity IgG4 autoantibodies targeting the extracellular domains of phospholipase A2 receptor 1 (PLA2R1) or THSD7A.
3. Circulating autoantibodies cross the glomerular basement membrane (GBM) and bind PLA2R on the foot processes of visceral epithelial cells (podocytes).
4. In situ immune complex formation activates the sublytic lectin and alternative complement pathways, depositing C5b-9.
5. Podocyte cytoskeleton disruption, reactive GBM matrix overproduction ("spikes"), and slit diaphragm failure cause massive, non-selective nephrotic-range proteinuria.</t>
  </si>
  <si>
    <t>• Marked bilateral dependent peripheral pitting edema and anasarca (85–95%)
• Severe hypoalbuminemia (&lt;3.0 g/dL) (85–95%)
• Heavy nephrotic-range proteinuria (&gt;3.5 g/24h) with foamy urine (80–90%)
• Hyperlipidemia and lipiduria (70–80%)
• High incidence of deep venous thrombosis or renal vein thrombosis (10–20%)</t>
  </si>
  <si>
    <t>• Hepatitis B virus, Hepatitis C virus
• Helicobacter pylori
• Treponema pallidum, Borrelia burgdorferi</t>
  </si>
  <si>
    <t>• Heavy metal exposure (mercury in skin-lightening creams, gold, penicillamine)
• Non-steroidal anti-inflammatory drugs (NSAIDs)
• Malignancies (carcinomas of lung, colon, stomach in PLA2R-negative MN)</t>
  </si>
  <si>
    <t>• Systemic lupus erythematosus (lupus nephritis class V)
• Autoimmune thyroiditis
• Type 1 diabetes
• Sjogren's syndrome</t>
  </si>
  <si>
    <t>• Worldwide (commonest cause of primary nephrotic syndrome in Caucasian adults &gt;40)</t>
  </si>
  <si>
    <t>• Supportive therapy: Maximized ACE inhibitors or ARBs, SGLT2 inhibitors, statins, and loop diuretics
• First-line immunosuppression (for moderate-to-high risk): Rituximab (anti-CD20, standard first-line)
• Modified Ponticelli regimen: Alternating cyclic corticosteroids and Cyclophosphamide (for high-risk / declining GFR)
• Calcineurin inhibitors (tacrolimus or cyclosporine)
• Prophylactic anticoagulation for severe hypoalbuminemia (&lt;2.0-2.5 g/dL)</t>
  </si>
  <si>
    <t>Primary sclerosing cholangitis
PSC
Chronic obliterative cholangitis
Fibrosing cholangitis
Stenosing cholangitis</t>
  </si>
  <si>
    <t>PSC is a rare progressive disorder of the liver which is characterized by inflammation, thickening, and abnormal formation of fibrous tissue within the passages that carry bile from the liver (bile ducts). Both bile ducts within the liver and outside the liver are affected.</t>
  </si>
  <si>
    <t>PSC patients have a variety of nonspecific autoantibodies. In addition to atypical p-ANCA which cross-reacts with a ubiquitous protein in intestinal bacteria (see above), nearly two-thirds of PSC patients have autoantibodies against cholangiocytes (Xu et al., 2002). These autoantibodies may cause cholangiocytes to express CD44 and increase IL-6 production which could potentially lead to the recruitment of memory T cells via CD44 and upregulation of the innate immune system via ERK1/2 transcription factor signaling and upregulation of TLRS (Xu et al., 2002; Karrar et al., 2007). T cells in the liver and bile ducts of PSC patients may have oligoclonal restriction (Broome et al., 1997; Probert et al., 1997). Furthermore, the proportion of γδ+ T cells in the liver and peripheral circulation is increased in PSC patients. The peripheral γδ+ T cells co-express CD45RO and IL-2 receptors which suggests they have an activated memory phenotype (Wen et al., 1992; Martins et al., 1996). CD4+CD25+ T regulatory cells are believed to play an important role in autoimmune diseases. Indeed, patients with PSC-UC appear to have a higher peripheral proportion of CD4+CD25+ T cells when compared to UC patients without PSC (Kekilli et al., 2013). The significance of this observation remains unclear but warrants further study.</t>
  </si>
  <si>
    <t>Medium and large intrahepatic / extrahepatic cholangiocytes (85%)
Periductal stromal myofibroblasts (15%)</t>
  </si>
  <si>
    <t>• Atypical pANCA
• Antinuclear antibodies (ANA)
• Anti-smooth muscle antibodies (ASMA)</t>
  </si>
  <si>
    <t>• Autoreactive CD4+ Th1 / Th17 cells (biliary epithelium targeting)
• Autoreactive CD8+ cytotoxic T cells
• Autoreactive B cells / plasma cells (atypical pANCA)</t>
  </si>
  <si>
    <t>1. Gut dysbiosis, bacterial translocation via the portal vein, and genetic risk (HLA-B*08, HLA-DRB1*03:01) initiate biliary periductal inflammation.
2. Recruitment of gut-primed homing T lymphocytes (expressing α4β7 and CCR9) to the liver via aberrantly expressed MAdCAM-1 and CCL25.
3. Infiltration of large and medium intra- and extrahepatic bile ducts by CD4+ and CD8+ T cells and macrophages.
4. Activation of periductal myofibroblasts drives concentric "onion-skin" periductal fibrosis and obliterative cholangitis.
5. Multifocal strictures and segmental dilatations of the biliary tree cause chronic cholestasis, recurrent bacterial cholangitis, and secondary biliary cirrhosis.</t>
  </si>
  <si>
    <t>• Strong co-occurrence with inflammatory bowel disease, especially ulcerative colitis (70–80%)
• Disabling chronic fatigue (60–75%)
• Chronic, fluctuating pruritus (50–65%)
• Intermittent right upper quadrant abdominal pain and ascending cholangitis (fever, chills) (25–35%)
• Persistent cholestatic jaundice and scleral icterus (20–30%)</t>
  </si>
  <si>
    <t>1.0 cases per 13,605 to 20,747</t>
  </si>
  <si>
    <t>• Enterobacteriaceae / gut dysbiosis (Klebsiella, Enterococcus)
• Helicobacter pylori / viral cholangitis triggers</t>
  </si>
  <si>
    <t>• Altered gut microbiome / increased intestinal permeability ("leaky gut")
• Cigarette smoking (paradoxically protective against PSC, unlike PBC)
• Inhaled or ingested environmental toxins</t>
  </si>
  <si>
    <t>• Inflammatory bowel disease (70-80% have coexisting ulcerative colitis)
• Autoimmune pancreatitis
• Type 1 diabetes
• Autoimmune thyroiditis</t>
  </si>
  <si>
    <t>• Northern Europe, Scandinavia, North America (prevalence ~10-15 per 100,000, 2:1 male)</t>
  </si>
  <si>
    <t>• Endoscopic retrograde cholangiopancreatography (ERCP) with balloon dilation for dominant strictures
• Ursodeoxycholic acid (UDCA, 15-20 mg/kg/day, improves liver biochemistry, controversial survival)
• Annual surveillance for cholangiocarcinoma (CA 19-9 + MRCP/ultrasound) and colorectal cancer (annual colonoscopy)
• Management of pruritus (cholestyramine, rifampin) and fat-soluble vitamin deficiencies
• Liver transplantation (definitive therapy for decompensated liver disease, 20-25% recurrence post-transplant)</t>
  </si>
  <si>
    <t>Progressive hemifacial atrophy
Idiopathic hemifacial atrophy
Parry Romberg syndrome
Progressive facial hemiatrophy
Romberg's syndrome</t>
  </si>
  <si>
    <t>Progressive hemifacial atrophy, also called Parry Romberg Syndrome, predominantly affects the skin of the face and is believed to be autoimmune in nature, though the cause is still being researched.  Typically, the skin deteriorates gradually over one side of the face, beginning with the upper jaw and the area extending from the nose to the corner of the lip, and then spreading to other parts of the face.  In some cases, symptoms are not restricted to only one side of the face and may also occur in the trunk or limbs.  Severe cases can spread to the muscles, bones, and cartilage.  Patients can expect symptoms to progress over a period of 2 to 20 years, after which time progression plateaus.  Treatments have so far been unsuccessful in stopping progression, but they do help manage associated discomfort.  Cases that progress over longer periods of time and beginning at a younger age often lead to the most severe symptoms, resulting in facial distortions and nerve disorders.</t>
  </si>
  <si>
    <t>Parry-Romberg syndrome; rare progressive craniofacial hemiatrophy involving skin, fat, and bone, considered closely related to localized scleroderma / linear morphea and showing occasional autoantibodies. Chapter 71, pp. 1022–1032.</t>
  </si>
  <si>
    <t>Facial subcutaneous adipocytes (60%)
Cranial dermal / subcutaneous fibroblasts and osteoblasts (40%)</t>
  </si>
  <si>
    <t>• Antinuclear antibodies (ANA)</t>
  </si>
  <si>
    <t>1. Postulated localized autoimmune neurovasculitis of the cervical sympathetic chain or trigeminal nerve distribution.
2. Perivascular lymphocytic and plasma cell infiltration within subcutaneous adipose tissue and dermis.
3. Progressive microvascular ischemia and localized tissue destruction driven by oligoclonal T cells and antinuclear autoantibodies.
4. Severe atrophy and disappearance of subcutaneous fat lobules, facial muscle fibers, and underlying cartilage and bone.
5. Hemifacial soft tissue depression, cutaneous hyperpigmentation, "en coup de sabre" furrowing, and ocular and dental alterations.</t>
  </si>
  <si>
    <t>• Slowly progressive unilateral atrophy of facial skin, subcutaneous fat, and muscles (95–100%)
• Unilateral atrophy of facial bones and cartilage causing facial asymmetry (60–75%)
• Paramedian frontal scalp/forehead linear depressed scar ('en coup de sabre') (30–40%)
• Ipsilateral trigeminal neuralgia, facial paresthesias, or migrainous headaches (20–30%)
• Focal epileptic seizures (15–20%)</t>
  </si>
  <si>
    <t>1.0 cases per 700,000</t>
  </si>
  <si>
    <t>• Borrelia burgdorferi
• Herpes simplex virus, Varicella zoster
• Epstein-Barr virus</t>
  </si>
  <si>
    <t>• Facial physical trauma or blunt maxillofacial injury
• Local surgical interventions / dental extractions
• Psychological stress and cold exposure</t>
  </si>
  <si>
    <t>• Morphea (localized scleroderma / "en coup de sabre")
• Systemic lupus erythematosus
• Rheumatoid arthritis
• Vitiligo</t>
  </si>
  <si>
    <t>• Worldwide (rare, estimated 1 in 700,000, female predominance 3:1, onset in 1st-2nd decade)</t>
  </si>
  <si>
    <t>• Active/inflammatory phase: Systemic glucocorticoids (pulse IV methylprednisolone) + Methotrexate (slows progression)
• Mycophenolate mofetil or Cyclosporine A (for methotrexate-resistant active disease)
• Burnout/quiescent phase: Reconstructive autologous fat grafting (Coleman technique)
• Dermal fillers, bone grafting, or free tissue transfer / orthognathic reconstruction
• Antiseizure medications for coexisting hemifacial atrophy-associated epilepsy</t>
  </si>
  <si>
    <t>Psoriasis
Guttate psoriasis</t>
  </si>
  <si>
    <t>Psoriasis is a chronic autoimmune disease that causes raised, red, scaly patches to appear on the skin. It affects 1% to 3% of people in Western countries. Psoriasis can appear anywhere on the body, with some cases being mild and others severe enough to significantly impact quality of life. The condition can develop at any age, with earlier onset associated with more severe disease than later onset. Various triggers, including trauma, infections, dry skin, and certain medications, can worsen the condition. Some people with psoriasis may also develop psoriatic arthritis, which causes joint pain and stiffness.
The disease is caused by an overactive immune system, where T cells mistakenly attack the skin, leading to inflammation and rapid skin cell turnover. This process is driven by immune system proteins called cytokines, such as IL-23 and TNF-α, which promote inflammation. Treatments targeting these immune responses, such as biologic medications and immunosuppressants, have been effective in managing symptoms. Despite its autoimmune features, researchers have yet to identify the exact self-antigen that triggers the immune response in psoriasis.
The development of psoriasis involves a complex cycle of immune activation and skin cell dysfunction. Triggers such as physical injury or infections can initiate an immune response that leads to inflammation and the recruitment of immune cells into the skin. These immune cells release cytokines that further stimulate skin cells, causing thickening and scaling. While genetic factors play a role in susceptibility, environmental triggers are also important. Ongoing research aims to better understand the disease mechanisms and develop more targeted therapies to improve treatment outcomes.</t>
  </si>
  <si>
    <t>The concept of an autoimmune basis for psoriasis notwithstanding the presence of a dysregulated immune system (Nestle et al., 2009) is supported by the following: 1. Increased numbers of immune cells (mainly dendritic and T cells) within the lesions, and the appearance of oligoclonal T cells in lesions over time. 2. Oligoclonal T cell activation in psoriatic lesions (Lin et al., 2001). 3. Efficacy of T cell-targeted treatments (cyclosporine, efalizumab, alefacept) (Lowes et al., 2007), drugs that inhibit Th1 and Th17 cells and their cytokines (ustekinumab), or therapies that are thought to target the adaptive immune system rather than modify keratinocyte function (corticosteroids, UVB) (Schwarz, 2008; Bergboer et al., 2012). 4. Genetic associations that are largely immunologic (discussed below). 5. Xenograft animal models (Bergboer et al., 2012) that have focused on the functional role of T cells and cytokines (Nestle et al., 2009). 6. The observation that bone marrow transplantation into psoriasis patients may cure the disease, and that psoriasis can be transferred from a psoriatic transplant donor to the recipient (Nestle et al., 2009). However, as yet there is no convincing evidence identifying the specificity of autoreactive T cell clones in psoriasis. Although it has been proposed that CD4+ T cell activation initiates psoriasis and CD8+ intraepidermal T cells cause lesion persistence, there is no evidence that these cells are activated by self-antigens (Lin et al., 2001). Many of the triggers for psoriasis are not antigen specific (Leung et al., 1993, 1998), and several of the most effective treatments such as anti-tumor necrosis factor (TNF) biologics may affect both innate and acquired immunity as well as inflammation in general.
The majority of CP patients show circulating IgG autoantibodies against BP180 antigen (Balding et al., 1996). Some of these CP autoantibodies recognize the C-terminal domain of BP180, which is different from BP. A subset of CP patients exhibits circulating autoantibodies against laminin 5 (epiligrin), also known as epiligrin (Domloge-Hultsch et al., 1994; Egan et al., 1999).</t>
  </si>
  <si>
    <t>Cathelicidin (LL-37)
ADAMTSL5
Neolipid antigens</t>
  </si>
  <si>
    <t>Epidermal keratinocytes (spinous and basal layers) (85%)
Dermal microvascular endothelial cells (15%)</t>
  </si>
  <si>
    <t>• Autoreactive CD4+ Th17 and Th1 cells (LL-37, ADAMTSL5-specific)
• Autoreactive CD8+ Tc17 / Tc1 cells (epidermal keratinocyte activation)
• Neutrophils and dendritic cells (effector amplification)</t>
  </si>
  <si>
    <t>1. Trauma, infection (Streptococcus), or stress causes keratinocytes to release antimicrobial peptide LL-37 (cathelicidin) and self-DNA/RNA.
2. Plasmacytoid dendritic cells sense LL-37-nucleic acid complexes via TLR7/9, secreting abundant IFN-α to activate myeloid dendritic cells.
3. Myeloid dendritic cells migrate to draining lymph nodes and secrete IL-23 and IL-12, driving CD4+ Th17 and CD8+ Tc17 cell expansion.
4. Effector T cells home to the epidermis, secreting IL-17A, IL-17F, and IL-22.
5. Massive keratinocyte hyperproliferation, parakeratosis, Munro microabscesses, and dilated dermal capillary loops form erythematous, silvery-scaled plaques.</t>
  </si>
  <si>
    <t>• Sharply demarcated erythematous plaques covered by silvery-white micaceous scales (85–95%)
• Symmetrical distribution on extensor surfaces (elbows, knees, scalp, lumbosacral) (80–90%)
• Positive Auspitz sign: pinpoint bleeding upon removal of scales (80–90%)
• Nail psoriasis: geometric pitting, 'oil drop' stippling, subungual hyperkeratosis (40–50%)
• Koebner phenomenon: induction of lesions along lines of trauma (25–35%)</t>
  </si>
  <si>
    <t>1.0 cases per 30 to 50</t>
  </si>
  <si>
    <t>1.0 cases per 27 to 38</t>
  </si>
  <si>
    <t>• Streptococcus pyogenes (strep throat / guttate psoriasis trigger)
• Retroviruses, Human papillomavirus
• Candida albicans, Malassezia yeasts</t>
  </si>
  <si>
    <t>• Physical skin trauma / friction / scratch injury (Koebner phenomenon)
• Psychological stress and sleep deprivation
• Medications: Beta-blockers, Lithium, Antimalarials, NSAIDs, rapid corticosteroid withdrawal
• Cigarette smoking, heavy alcohol use, and obesity</t>
  </si>
  <si>
    <t>• Psoriatic arthritis (develops in up to 30% of patients)
• Crohn's disease / Ulcerative colitis
• Autoimmune thyroiditis
• Celiac disease
• Metabolic syndrome and cardiovascular disease</t>
  </si>
  <si>
    <t>• Northern Europe, Scandinavia, North America (prevalence 2-4%; lower in East Asia and Africa)</t>
  </si>
  <si>
    <t>• Topical therapies: High-potency corticosteroids, Vitamin D analogues (calcipotriene), calcineurin inhibitors, tazarotene
• Phototherapy: Narrowband UVB (NB-UVB), Psoralen + UVA (PUVA)
• Conventional oral DMARDs: Methotrexate, Cyclosporine, Acitretin, Apremilast (PDE4 inhibitor)
• Biologics: Anti-TNF (adalimumab, etanercept, infliximab), Anti-IL-23 (guselkumab, risankizumab), Anti-IL-17 (secukinumab, ixekizumab)
• Oral targeted: Deucravacitinib (TYK2 inhibitor)</t>
  </si>
  <si>
    <t>Psoriasis with arthropathy
PsA
Psoriatic arthritis</t>
  </si>
  <si>
    <t>Psoriatic arthritis is an autoimmune disease marked by the combination of psoriasis and one or more forms of rheumatoid-like arthritis, including anklosing spondylitis, rheumatoid arthritis, and juvenile rheumatoid arthritis.</t>
  </si>
  <si>
    <t>This is another inadequately defined JIA category. If Vancouver criteria (presence of arthritis and psoriasis or some psoriatic features) (Southwood et al., 1989) are used to define psoriatic arthritis two populations of patients are identified: (1) one that represents, as adult psoriatic arthritis, a form of spondyloarthropathy; (2) a second form that shares the same above-mentioned characteristics of ANA-positive, early onset oligoarthritis (Martini, 2003; Stoll et al., 2006). So the association of psoriasis with arthritis seems to lead to the identification of two different subsets of patients, one that is similar to adult psoriatic arthritis and the other that overlaps with ANA-positive, early onset oligoarthritis (Martini, 2003; Ravelli et al., 2011). The ILAR classification criteria for psoriatic arthritis, in which patients with enthesitis are by definition excluded, limit the identification of those patients that have a form of psoriatic arthritis similar to that observed in adults (Stoll et al., 2008).</t>
  </si>
  <si>
    <t>LL-37
Unknown</t>
  </si>
  <si>
    <t>Entheseal fibrocartilage chondrocytes (50%)
Synovial lining synoviocytes (35%)
Epidermal keratinocytes (15%)</t>
  </si>
  <si>
    <t>• Autoreactive CD8+ cytotoxic / Tc17 cells (synovial / entheseal infiltrate, HLA-B27-associated)
• Autoreactive CD4+ Th17 and Th1 cells
• Autoreactive B cells / plasma cells</t>
  </si>
  <si>
    <t>1. Biomechanical entheseal stress or cutaneous cytokine spillover in HLA-B*27/B*38-positive patients triggers innate immune sensing.
2. Local activation of entheseal tissue-resident cells and myeloid cells, secreting IL-23.
3. Proliferation of IL-23R-positive Th17 cells, γδ T cells, and ILC3s, producing large quantities of IL-17A, IL-22, and TNF-α.
4. Synovio-entheseal complex inflammation with simultaneous osteoclast-mediated bone erosions and IL-22-driven periosteal new bone formation.
5. Dactylitis, enthesitis, axial spondylitis, peripheral asymmetric oligo/polyarthritis, and joint destruction ("pencil-in-cup" deformity).</t>
  </si>
  <si>
    <t>• Cutaneous psoriasis and psoriatic nail dystrophy (85–95%)
• Asymmetrical oligoarthritis or symmetrical polyarthritis with morning stiffness (80–90%)
• Dactylitis: diffuse 'sausage-like' swelling of an entire digit (40–50%)
• Enthesitis: pain/swelling at Achilles tendon and plantar fascia insertions (35–50%)
• Axial involvement: inflammatory spinal and sacroiliac pain (25–35%)</t>
  </si>
  <si>
    <t>1.0 cases per 200 to 1,000</t>
  </si>
  <si>
    <t>1.0 cases per 400 to 1,667</t>
  </si>
  <si>
    <t>• Streptococcus pyogenes
• Gut microbiota dysbiosis
• Chlamydia trachomatis, Parvovirus B19</t>
  </si>
  <si>
    <t>• Mechanical enthesial stress / physical joint trauma (deep Koebner effect)
• Cigarette smoking and obesity
• Severe emotional distress</t>
  </si>
  <si>
    <t>• Psoriasis (primary cutaneous manifestation)
• Inflammatory bowel disease (Crohn's, UC)
• Acute anterior uveitis
• Autoimmune thyroiditis</t>
  </si>
  <si>
    <t>• North America, Northern Europe, Scandinavia (~0.1-0.5% prevalence, equal male-female)</t>
  </si>
  <si>
    <t>• First-line: NSAIDs (naproxen, celecoxib) + localized intra-articular corticosteroid injections
• Conventional synthetic DMARDs: Methotrexate, Sulfasalazine, Leflunomide (for peripheral arthritis)
• Targeted biologics: Anti-TNF (adalimumab, etanercept), Anti-IL-17 (secukinumab, ixekizumab), Anti-IL-23 (guselkumab, risankizumab)
• Oral targeted DMARDs: JAK inhibitors (tofacitinib, upadacitinib), PDE4 inhibitor (apremilast)
• Physical therapy, occupational therapy, and cardiovascular risk optimization</t>
  </si>
  <si>
    <t xml:space="preserve">PRCA
Pure red cell aplasia
Acquired pure red cell aplasia
Adult pure red cell aplasia
Idiopathic pure red cell aplasia
Primary acquired PRCA
Primary acquired pure red cell aplasia </t>
  </si>
  <si>
    <t>Pure red cell aplasia (PRCA) occurs when red blood cells fail to fully develop after they are produced in the bone marrow.  This leads to symptoms of anemia, including tiredness and pale skin.  There are 2 types of PRCA caused by autoimmune processes:  
Acquired primary PRCA typically affects adults and leads to symptoms of anemia.  The trigger for primary PRCA is unknown. Acquired primary PRCA is caused by the immune system attacking developing red blood cells, preventing them from maturing into functional adult cells.  
Acquired secondary PRCA, which is also autoimmune, is similar to acquired primary PRCA but the trigger is an infection, another autoimmune disorder, pregnancy, drugs, or cancer.  PRCA is also one of the important complications in hematopoietic stem cell transplantation when the blood type of the donor and recipient do not match.
Patients may experience symptoms of anemia as well as symptoms of the underlying health condition.  Treatments for both primary and secondary PRCA are available, but outcomes vary, and life expectancy is often markedly reduced.  
A third type of PRCA, Diamond-Blackfan syndrome, is due to genetic mutation and presents during infancy.   It is not autoimmune.</t>
  </si>
  <si>
    <t>Autoantibodies Against Erythropoietin Cause Pure Red Cell Aplasia Pure red cell aplasia is often associated with thymomas, and is cured in a quarter of cases by thymectomy (Jacobs et al., 1959). The reason remained obscure until 1967, when an inhibitor of erythropoiesis was discovered in the plasma of patients with pure red aplasia (Krantz and Kao, 1967). It is now clear that the inhibitor consisted of autoantibodies to erythropoietin (Casadevall et al., 1996). Very rarely, patients treated with human recombinant erythropoietin make antibodies against both human recombinant erythropoietin and endogenous erythropoietin, producing pure red aplasia (Casadevall et al., 2002). Supporting evidence that autoantibodies against erythropoietin cause pure red cell aplasia comes from reports that rituximab, which depletes B lymphocytes, ameliorates pure red cell aplasia (Behler et al., 2009).</t>
  </si>
  <si>
    <t>Erythropoietin (EPO)
Erythroblast progenitor cell antigens</t>
  </si>
  <si>
    <t>Bone marrow erythroid progenitor cells (CFU-E / proerythroblasts) (100%)</t>
  </si>
  <si>
    <t>• Anti-erythropoietin (anti-EPO) autoantibodies
• Anti-erythroblast autoantibodies</t>
  </si>
  <si>
    <t>• Autoreactive CD8+ cytotoxic T cells (direct lysis of erythroblasts)
• Autoreactive CD4+ T cells
• Autoreactive B cells / plasma cells (anti-EPO / anti-erythroblast)</t>
  </si>
  <si>
    <t>1. Clonal T-cell expansion (frequently associated with thymoma, T-LGL leukemia, or drugs) or anti-erythropoietin autoantibodies.
2. Clonal CD8+ cytotoxic T cells or autoantibodies specifically target bone marrow erythroid progenitor cells (CFU-E and BFU-E).
3. Effector CD8+ T cells induce Fas-mediated or perforin/granzyme-dependent apoptosis of erythroid precursors.
4. Complete arrest and virtual absence of erythroid lineage precursors in the bone marrow, with normal myeloid and megakaryocytic lineages.
5. Profound reticulocytopenia and severe normocytic normochromic anemia requiring chronic blood transfusions.</t>
  </si>
  <si>
    <t>• Complete absence of erythroblasts in bone marrow with normal myeloid/megakaryocytic lines (100%)
• Severe, progressive normocytic normochromic anemia with pallor and fatigue (95–100%)
• Profound reticulocytopenia (&lt;0.5% or &lt;10,000/μL) (95–100%)
• Normal white blood cell and platelet counts (95–100%)
• Severe exertional dyspnea, lightheadedness, and tachycardia (85–95%)</t>
  </si>
  <si>
    <t>1.0 cases per 943,396</t>
  </si>
  <si>
    <t>1.0 cases per 943,396
A nationwide epidemiologic study for acquired PRCA identified 1055 patients, an incidence rate of 1.06 patients per million per year.</t>
  </si>
  <si>
    <t>• Parvovirus B19 (direct tropism for erythroid progenitors)
• Hepatitis C virus, EBV, Cytomegalovirus
• HIV, Human herpesvirus 6</t>
  </si>
  <si>
    <t>• Medications (recombinant erythropoietin, chloramphenicol, phenytoin, isoniazid, azathioprine)
• Thymoma (present in 10-15% of adult PRCA cases)
• Hematologic malignancies (CLL, large granular lymphocyte [LGL] leukemia)</t>
  </si>
  <si>
    <t>• Myasthenia gravis
• Systemic lupus erythematosus
• Autoimmune thyroiditis
• Rheumatoid arthritis</t>
  </si>
  <si>
    <t>• Worldwide (rare, ~0.3 per million, higher in older adults)</t>
  </si>
  <si>
    <t>• Discontinuation of any offending medications (including rhEPO if anti-EPO antibodies present)
• Thymectomy (mandatory in all patients with coexisting thymoma, induces remission in ~40%)
• First-line immunosuppression: Oral cyclosporine A (alone or combined with prednisone)
• Corticosteroids (oral prednisone 1 mg/kg/day with slow taper)
• Refractory/second-line: Intravenous immunoglobulin (IVIG, specific for chronic parvovirus B19), Rituximab, Anti-thymocyte globulin (ATG)
• Supportive packed red blood cell transfusions + iron chelation therapy (deferasirox)</t>
  </si>
  <si>
    <t xml:space="preserve">Pyoderma gangrenosum is an autoinflammatory skin disease that starts as small red bumps and develops into large open sores on the skin, usually on the legs.
</t>
  </si>
  <si>
    <t>Severe ulcerative autoinflammatory neutrophilic dermatosis characterized by painful rapidly enlarging ulcers with violaceous undermined borders, driven by aberrant innate immune activation and neutrophil hyperreactivity, frequently accompanying IBD or arthritis. Chapter 45, pp. 630–640; Chapter 65, pp. 965–975.</t>
  </si>
  <si>
    <t>Dermal postcapillary microvascular endothelial cells (50%)
Dermal fibroblasts / follicular units (50%)</t>
  </si>
  <si>
    <t>1. Genetic risk (mutations in autoinflammatory genes: PSTPIP1) or associated systemic diseases (IBD, RA, hematologic malignancy) prime innate immunity.
2. Hyperactivation of the inflammasome and aberrant overproduction of IL-1β, IL-8 (CXCL8), IL-17, and TNF-α.
3. Massive, uncontrolled chemotaxis and tissue infiltration of mature polymorphonuclear neutrophils into the dermis.
4. Neutrophilic degranulation and release of elastase, matrix metalloproteinases, and reactive oxygen species without true primary vasculitis.
5. Rapid necrotizing destruction of the epidermis and dermis, forming painful, violaceous, undermined-bordered expanding cutaneous ulcers with pathergy.</t>
  </si>
  <si>
    <t>• Rapidly progressive, excruciatingly painful cutaneous ulcer with violaceous undermined edge (90–100%)
• Surrounding erythema and induration with purulent cribriform base (85–95%)
• Predilection for lower extremities / pretibial region (75–85%)
• Initial presentation as an inflammatory sterile pustule or furuncle (70–80%)
• Pathergy phenomenon: ulcer aggravation/initiation by minor trauma or debridement (25–35%)</t>
  </si>
  <si>
    <t>1.0 cases per 100,000 to 333,333</t>
  </si>
  <si>
    <t>1.0 cases per 5,000,000</t>
  </si>
  <si>
    <t>• Postulated bacterial superantigens
• Cutibacterium acnes, Mycobacterium species</t>
  </si>
  <si>
    <t>• Minor skin trauma, needle sticks, biopsy, surgery, venipuncture (Pathergy phenomenon)
• Emotional stress and systemic infection
• Cocaine adulterated with levamisole</t>
  </si>
  <si>
    <t>• Inflammatory bowel disease (Ulcerative colitis, Crohn's in 30-50%)
• Rheumatoid arthritis / seronegative spondyloarthritis
• Monoclonal gammopathy (IgA MGUS) / Myelodysplastic syndrome (MDS)
• PAPA syndrome (autoinflammatory)</t>
  </si>
  <si>
    <t>• Worldwide (rare, estimated 3-10 per million/year, peak age 20-50, female predominance)</t>
  </si>
  <si>
    <t>• Local therapy: Gentle wound care, non-adherent dressings, topical high-potency corticosteroids / tacrolimus (avoid surgical debridement!)
• First-line systemic therapy: Systemic glucocorticoids (oral prednisone 0.75-1.0 mg/kg/day or IV pulse methylprednisolone)
• Calcineurin inhibitors (oral Cyclosporine A, highly effective alternative or adjunct)
• Biologics: Anti-TNF agents (Infliximab [strongest RCT evidence], Adalimumab), Anti-IL-1 (Anakinra, Canakinumab), Anti-IL-23 (Ustekinumab)
• Aggressive treatment of underlying inflammatory bowel disease or systemic rheumatologic disorder</t>
  </si>
  <si>
    <t>Rasmussen syndrome
Rasmussen syndrome</t>
  </si>
  <si>
    <t>Rasmussen syndrome, or Rasmussen’s Encephalitis (RE), is a rare, progressive disease that involves cognitive decline due to inflammation of one half of the brain. Those with Rasmussen syndrome experience frequent seizures and eventual permanent brain damage. This disease mostly affects children ages 2 and 10, but can also affect adolescents and adults. Treatments for this disease include antiseizure medication, immunotherapy, and in more severe cases, brain surgery. The cause of Rasmussen's syndrome is unknown, however, researchers believe that it may be an autoimmune condition that affects one half of the brain or may occur due to an unknown virus entering the brain. Autoimmunity became implicated from the early 1990s in seizure disorders when a severe form of childhood encephalitis with seizures (Rasmussen disease, RD) was linked with antibodies to excitatory glutamate receptors in the CNS.</t>
  </si>
  <si>
    <t>Progressive unilateral encephalitis of childhood characterized by drug-resistant focal seizures, progressive hemiparesis, and unilateral hemispheric brain atrophy, driven primarily by cytotoxic CD8+ T lymphocyte-mediated damage against neurons and astrocytes. Chapter 58, pp. 846–854.</t>
  </si>
  <si>
    <t>Glutamate receptor GluA3 (GluR3)</t>
  </si>
  <si>
    <t>Cortical pyramidal neurons (70%)
Cortical astrocytes and microglia (30%)</t>
  </si>
  <si>
    <t>• Anti-GluA3 (GluR3) autoantibodies</t>
  </si>
  <si>
    <t>• Autoreactive CD8+ cytotoxic T cells (clonally expanded, neuronal lysis)
• Autoreactive CD4+ T cells
• Autoreactive B cells / plasma cells (anti-GluA3)</t>
  </si>
  <si>
    <t>1. Idiopathic or viral trigger stimulates an aberrant, unilateral central nervous system immune response.
2. Clonal expansion of cytotoxic CD8+ T lymphocytes directed against neuronal and astroglial antigens (such as GluR3).
3. Perivascular cuffing and parenchymal infiltration of one cerebral hemisphere by CD8+ T cells and activated microglia.
4. CD8+ T-cell perforin- and granzyme-mediated apoptosis of cortical pyramidal neurons and surrounding astrocytes.
5. Progressive, unilateral hemispheric cortical atrophy producing intractable epilepsia partialis continua, progressive hemiparesis, and cognitive decline.</t>
  </si>
  <si>
    <t>• Unilateral hemispheric brain atrophy on neuroimaging (95–100%)
• Progressive unilateral hemiparesis and motor deficit (85–95%)
• Intractable, pharmacoresistant focal motor seizures / epilepsia partialis continua (EPC) (80–90%)
• Progressive cognitive deterioration and dementia (70–80%)
• Progressive aphasia when dominant hemisphere is involved (60–70%)</t>
  </si>
  <si>
    <t>1.0 cases per 4,166,667</t>
  </si>
  <si>
    <t>• Cytomegalovirus (CMV), Epstein-Barr virus
• Herpes simplex virus (HSV-1), Enteroviruses</t>
  </si>
  <si>
    <t>• Febrile illness / viral prodrome in early childhood
• Head trauma (rare trigger)
• Microglial activation stress</t>
  </si>
  <si>
    <t>• Hashimoto's thyroiditis
• Systemic lupus erythematosus
• Autoimmune vitiligo</t>
  </si>
  <si>
    <t>• Worldwide (rare, estimated incidence 2.4 per 10 million children; onset age 2-10 years)</t>
  </si>
  <si>
    <t>• First-line / symptomatic: Antiseizure medications (polytherapy common, usually drug-resistant)
• Definitive / curative therapy: Functional hemispherectomy (hemispherotomy) - disconnects affected cerebral hemisphere
• Immunomodulatory therapies: High-dose IV methylprednisolone, Intravenous immunoglobulin (IVIG), Plasma exchange (delays progression)
• Long-term immunosuppression: Tacrolimus or Rituximab (used to preserve neurological function prior to surgery)
• Intensive physical, occupational, and speech rehabilitation following hemispherotomy</t>
  </si>
  <si>
    <t>Raynaud's phenomenon
Raynaud disease
Raynaud's disease
Secondary Raynaud's
Secondary Raynaud's phenomenon</t>
  </si>
  <si>
    <t>In secondary Raynaud's phenomenon, blood flow to the fingers and toes is limited, causing cold extremities and sometimes pain. The condition is made worse by cold temperatures. The amount of time that these extremities stay cold can vary.  
Secondary Raynaud's is a symptom experienced (and reported) by patients with autoimmune diseases.  Primary Raynaud's is when the symptoms appear without any other disease.  Therefore, primary Raynaud's is not an autoimmune disease.  However, a person suffering from Raynaud's could have an undiagnosed autoimmune disease.
In secondary Raynaud's phenomenon, blood flow to the fingers and toes is limited, causing cold extremities and sometimes pain. The condition is made worse by cold temperatures. The amount of time that these extremities stay cold can vary.  
Secondary Raynaud's is a symptom experienced (and reported) by patients with autoimmune diseases.  Primary Raynaud's is when the symptoms appear without any other disease.  Therefore, primary Raynaud's is not an autoimmune disease.  However, a person suffering from Raynaud's could have an undiagnosed autoimmune disease.</t>
  </si>
  <si>
    <t>Reversible episodic digital ischemia triggered by cold or emotional stress, classified as primary (vasospastic) or secondary to autoimmune connective tissue disease (notably systemic sclerosis), characterized by endothelial dysfunction, vascular remodeling, and autoantibodies. Chapter 71, pp. 1020–1032.</t>
  </si>
  <si>
    <t>Digital arteriole vascular smooth muscle cells (60%)
Vascular endothelial cells (40%)</t>
  </si>
  <si>
    <t>• Antinuclear antibodies (ANA)
• Anti-centromere antibodies (ACA)
• Anti-Scl-70 autoantibodies</t>
  </si>
  <si>
    <t>1. Endothelial damage from circulating autoantibodies (e.g., Scl-70, ACA) or immune complexes in connective tissue disease.
2. Diminished endothelial production of vasodilators (prostacyclin, nitric oxide) and elevated secretion of vasoconstrictor endothelin-1.
3. Cold exposure or emotional stress triggers excessive α2-adrenergic receptor-mediated sympathetic vasospasm of digital arteries.
4. Transient complete cessation of digital microvascular blood flow (ischemic pallor/white phase), followed by capillary cyanosis (blue phase).
5. Reactive reperfusion and vasodilation (hyperemic red phase) cause intense burning pain, paresthesias, and risk of digital ulcerations.</t>
  </si>
  <si>
    <t>• Paroxysmal, well-demarcated triphasic color changes of digits (white/pallor -&gt; blue/cyanosis -&gt; red/rubor) (95–100%)
• Provocation by cold exposure or sympathetic emotional stress (95–100%)
• Coldness, numbness, and tingling during ischemic phase (80–90%)
• Throbbing pain, paresthesias, and burning sensation upon rewarming/reperfusion (70–80%)</t>
  </si>
  <si>
    <t>1.0 cases per 20 to 33</t>
  </si>
  <si>
    <t>1.0 cases per 11 to 48</t>
  </si>
  <si>
    <t>Symptom</t>
  </si>
  <si>
    <t>• Parvovirus B19
• Hepatitis C virus, Cytomegalovirus</t>
  </si>
  <si>
    <t>• Cold temperature exposure / rapid temperature drops
• Emotional stress, anxiety, panic
• Tobacco smoking and nicotine use
• Vibrating power tools (hand-arm vibration syndrome)
• Medications (beta-blockers, ergotamines, stimulants, chemotherapies)</t>
  </si>
  <si>
    <t>• Systemic sclerosis (present in &gt;95% of scleroderma patients)
• Mixed connective tissue disease (MCTD)
• Systemic lupus erythematosus
• Sjogren's syndrome
• Dermatomyositis / polymyositis</t>
  </si>
  <si>
    <t>• Worldwide (cold/temperate climates; primary RP in 3-5% of females; secondary tied to CTD)</t>
  </si>
  <si>
    <t>• Non-pharmacologic: Cold avoidance, multi-layered warm clothing, electric heated gloves, smoking cessation
• First-line pharmacologic: Dihydropyridine calcium channel blockers (Amlodipine, Nifedipine extended-release)
• Second-line: Phosphodiesterase-5 (PDE-5) inhibitors (Sildenafil, Tadalafil), Topical nitroglycerin ointment
• Endothelin receptor antagonists (Bosentan) or Intravenous prostacyclin analogues (Iloprost, Epoprostenol) for digital ulcers
• Digital sympathectomy for refractory, limb-threatening critical digital ischemia</t>
  </si>
  <si>
    <t>Reiter's syndrome
ReA
Reactive arthritis
Fiessinger-Leroy disease
Reactive arthritis triad</t>
  </si>
  <si>
    <t>Reactive arthritis is an autoimmune condition classified in the family of spondyloarthritis. It is a type of arthritis that is typically acute and is most frequently caused by infections from bacteria in the genitals or bowel.  Reactive arthritis symptoms usually last for between 3 and 12 months. However, in some individuals, subsequent flares may occur due to stress or infection. The condition may also become chronic in some individuals.  Reactive arthritis may go unnoticed and heal on its own or it can cause pain in the joints. The knees and ankles are affected most often.</t>
  </si>
  <si>
    <t>As it has been shown that bacteria persist in vivo in patients with ReA, most likely in the joint in the case of Chlamydia and in the gut mucosa or lymph nodes of the gut in the case of the enterobacteriae, the following questions arise: (1) why do these bacteria persist in some patients but not in others; and (2) why do some patients (although the minority) develop a chronic course of their arthritis. The ReA-associated bacteria are obligate (such as Chlamydia) or facultative intracellular bacteria. T-helper 1 (Th1) cytokines such as TNF-α and interferon-γ (IFN-γ) are crucial for an effective elimination of these bacteria, while Th2 cytokines such as IL-4 or anti-inflammatory cytokines such as IL-10 might inhibit an effective elimination. We and others showed that there is a relative deficiency of Th1 cytokines in ReA, especially of TNF-α but also of IFN-γ, both locally in synovial fluid and synovial membrane and systemically in peripheral blood (Yin et al., 1997; Braun et al., 1999). Furthermore, we could demonstrate a correlation between a low TNF-α production in peripheral blood and a longer duration of arthritic symptoms (Braun et al., 1999). Thus, a relative lack of Th1 cytokines appears to be relevant for the occurrence and persistence of ReA, probably mediated by a persistence of bacteria. IL-10 has received increasing interest recently as a potentially immunosuppressive cytokine. While upregulation of such a cytokine would be wanted in autoimmune diseases such as rheumatoid arthritis, we could show that it is relatively upregulated in ReA, and thus that it might contribute to bacterial persistence in ReA, possibly by downregulation of the Th1 cytokines, IFN-γ and TNF-α (Yin et al., 1999b). Persistence of bacterial antigens disseminated to the joints might cause aberrant inflammation at these sites which are also exposed to mechanical stress. Alternatively, persistence of antigens might cause pathological priming of T cells cross-reacting to autologous antigens.</t>
  </si>
  <si>
    <t>Synovial lining fibroblasts (synoviocytes) (65%)
Entheseal fibrocartilage chondrocytes (35%)</t>
  </si>
  <si>
    <t>• Autoreactive / pathogen-primed CD8+ cytotoxic T cells (HLA-B27-restricted)
• Autoreactive CD4+ Th17 and Th1 cells</t>
  </si>
  <si>
    <t>1. Preceding mucosal gastrointestinal (Salmonella, Shigella, Yersinia, Campylobacter) or genitourinary (Chlamydia trachomatis) infection.
2. Microbial antigens disseminate hematogenously within monocytes to synovial joints in genetically susceptible HLA-B*27 individuals.
3. Arthritogenic bacterial peptides presented by HLA-B27 stimulate CD8+ cytotoxic T cells and CD4+ Th17 cells.
4. Persistent, non-culturable bacterial antigens trigger chronic synovial inflammation and neutrophil recruitment.
5. Asymmetric oligoarthritis (predominantly lower extremities), enthesitis, dactylitis, and extra-articular manifestations (uveitis, urethritis, circinate balanitis).</t>
  </si>
  <si>
    <t>• Asymmetric peripheral oligoarthritis predominantly in lower extremities (knees, ankles) (90–95%)
• Preceding enteric or urogenital infection within 1–4 weeks (80–90%)
• Non-gonococcal urethritis or cervicitis (60–70%)
• Enthesitis (Achilles tendon) and dactylitis ('sausage toe') (40–50%)
• Conjunctivitis or acute anterior uveitis (30–40%)
• Circinate balanitis and keratoderma blennorrhagica (15–25%)</t>
  </si>
  <si>
    <t>1.0 cases per 1,000 to 3,000</t>
  </si>
  <si>
    <t>1.0 cases per 942 to 1,280</t>
  </si>
  <si>
    <t>• Gastrointestinal: Salmonella, Shigella, Yersinia, Campylobacter, Clostridioides difficile
• Urogenital: Chlamydia trachomatis, Ureaplasma urealyticum
• Respiratory: Mycoplasma pneumoniae</t>
  </si>
  <si>
    <t>• Preceding bacterial gastroenteritis or sexually transmitted urethritis (1-4 weeks prior)
• Unprotected sexual contact
• Ingestion of contaminated food or water</t>
  </si>
  <si>
    <t>• Ankylosing spondylitis
• Psoriatic arthritis
• Inflammatory bowel disease
• Acute anterior uveitis</t>
  </si>
  <si>
    <t>• Worldwide (strong predisposition in HLA-B27 positive individuals, 1-3% of Chlamydia/enteric infections)</t>
  </si>
  <si>
    <t>• First-line: High-dose oral NSAIDs (indomethacin, naproxen, celecoxib)
• Antimicrobial therapy: Doxycycline or Azithromycin (mandatory for active Chlamydia infection and partners; antibiotics do NOT alter post-dysenteric arthritis)
• Intra-articular corticosteroid injections for persistent oligoarthritis
• Conventional DMARDs: Sulfasalazine or Methotrexate (for chronic reactive arthritis &gt;3-6 months)
• Anti-TNF biologics (adalimumab, etanercept, infliximab) for refractory chronic destructive spondyloarthritis</t>
  </si>
  <si>
    <t>Relapsing polychondritis
Atrophic polychondritis
Chronic atrophic polychondritis
Meyenburg-Altherr-Uehlinger syndrome
Polychondropathia
Recurrent polychondritis
Relapsing perichondritis
Relapsing polyneuropathy
Systemic chondromalacia
Systemic chondromalocia
Von Meyenburg disease</t>
  </si>
  <si>
    <t xml:space="preserve">Relapsing polychondritis (RP) occurs when the immune system attacks cartilage and other related tissues in the body, causing inflammation and tissue damage. Though the disease is frequently characterized through ears, nose, and joint symptoms, it is a multi-systemic disease. Episodes may last several days to weeks and typically resolve without treatment. 
In cases where the cartilage is not visible, RP can cause heart valve abnormalities, kidney disease, neurological problems, gastrointestinal problems.  </t>
  </si>
  <si>
    <t xml:space="preserve">Specific antibodies to cartilage were detected using IIF and cartilage substrate from mouse leg, or from human costochondral and tracheal cartilage, after preincubation with hyaluronidase to remove masking proteoglycan (Dolan et al., 1976; Foidart et al., 1978). Autoantibodies were more readily detected in the acute stages, were of IgG class and non-complement-binding, and levels correlated with disease severity. Absorption exclusively with type II collagen removed reactivity with cartilage from serum. Using a direct immunofluorescence procedure, and serum from in a single case, Bergfeld (1978) detected deposits in vivo of IgG, IgA, and C3 in affected cartilage. In a subsequent study, positive results were reported in six of nine patients for antibodies to cartilage, and there was association with organ (thyroid)-specific autoantibodies as well (Ebringer et al., 1981). Assays for T cell-mediated immune responses to cartilage proved indecisive (Foidart et al., 1978; Ebringer et al., 1981).
</t>
  </si>
  <si>
    <t>Type II collagen
Type IX collagen
Type XI collagen
Matrilin-1</t>
  </si>
  <si>
    <t>Cartilage chondrocytes (auricular, nasal, tracheobronchial, articular) (100%)</t>
  </si>
  <si>
    <t>https://ard.bmj.com/content/58/10/656</t>
  </si>
  <si>
    <t>• Autoreactive CD4+ Th1 cells (type II collagen-specific)
• Autoreactive B cells / plasma cells (anti-type II collagen)
• Autoreactive CD8+ cytotoxic T cells</t>
  </si>
  <si>
    <t>1. Loss of self-tolerance in individuals with HLA-DR4 against cartilaginous extracellular matrix components (type II, IX, XI collagen, matrilin-1).
2. Clonal expansion of CD4+ Th1 lymphocytes and production of anti-type II collagen antibodies.
3. Circulating autoantibodies and immune complexes deposit within avascular cartilage of ears, nose, larynx, trachea, and joints.
4. Complement activation and recruitment of neutrophils, macrophages, and CD4+ T cells into the perichondrium.
5. Proteolytic cleavage of proteoglycans and chondrocyte apoptosis produce loss of structural cartilage integrity, saddle nose deformity, and airway collapse.</t>
  </si>
  <si>
    <t>• Recurrent, painful auricular chondritis with violaceous swelling sparing earlobes (85–95%)
• Non-erosive, episodic inflammatory oligo- or polyarthritis (60–75%)
• Nasal chondritis leading to cartilage destruction and 'saddle-nose' deformity (50–65%)
• Ocular inflammation: episcleritis, scleritis, or anterior uveitis (50–60%)
• Laryngotracheal chondritis: hoarseness, stridor, and dynamic airway collapse (45–55%)</t>
  </si>
  <si>
    <t>1.0 cases per 285,714</t>
  </si>
  <si>
    <t>• Treponema pallidum (historical)
• Viral upper respiratory infections
• Chlamydia pneumoniae</t>
  </si>
  <si>
    <t>• Mechanical or blunt trauma to cartilage (ear piercing, nose trauma)
• Chemical irritants
• Endocrine fluctuations</t>
  </si>
  <si>
    <t>• Systemic lupus erythematosus
• Rheumatoid arthritis
• Sjogren's syndrome
• Systemic vasculitis (granulomatosis with polyangiitis)
• Hashimoto's thyroiditis</t>
  </si>
  <si>
    <t>• Worldwide (rare, ~3.5 per million/year, equal male-female ratio, peak age 40-50)</t>
  </si>
  <si>
    <t>• Mild (external ear/nasal chondritis): Oral NSAIDs, Colchicine, or Dapsone
• Moderate-to-severe (airway, ocular, cardiovascular, or inner ear involvement): Oral systemic glucocorticoids (prednisone 1 mg/kg/day or IV methylprednisolone)
• Immunosuppressive steroid-sparing agents: Methotrexate, Azathioprine, Mycophenolate mofetil
• Targeted biologics: Anti-TNF (infliximab, adalimumab), Anti-IL-6 (tocilizumab), Abatacept
• Airway stenting, tracheostomy, or surgical aortic valve replacement for end-stage structural damage</t>
  </si>
  <si>
    <t>Restless legs
Restless leg syndrome
Willis-Ekbom Disease</t>
  </si>
  <si>
    <t>A condition that causes an unpleasant or uncomfortable sensation in the legs and an irresistible urge to move them.  Restless leg syndrome is a symptom of several autoimmune diseases, including &lt;a href="/Disease_Profile/rheumatoid-arthritis.aspx"&gt;rheumatoid arthritis, &lt;a href="/Disease_Profile/Sj%C3%B6grens-disease.aspx"&gt;Sjögren's disease, &lt;a href="/Disease_Profile/crohns-disease.aspx"&gt;Crohn's disease&lt;/a&gt;, and other inflammatory bowel diseases.  However, since restless leg is a relatively common condition affecting 8% of the population, the correlation with autoimmune disease might not indicate a causative relationship.</t>
  </si>
  <si>
    <t>Sensorimotor neurological disorder characterized by an irresistible urge to move the limbs; while associated with central dopaminergic and iron regulatory dysfunction, primary autoimmune pathogenesis is not recognized in Rose &amp; Mackay. Chapter 58, pp. 845–855.</t>
  </si>
  <si>
    <t>Substantia nigra and spinal cord dopaminergic neurons (75%)
Brain microvascular endothelial cells (25%)</t>
  </si>
  <si>
    <t>1. Genetic risk variants (BTBD9, MEIS1) and peripheral/central iron deficiency impair brain dopaminergic neurotransmission.
2. Chronic peripheral inflammation and elevated pro-inflammatory cytokines (IL-6, TNF-α) compromise endothelial blood-brain barrier function.
3. Immune-mediated iron transport dysregulation via altered transferrin receptor signaling in the substantia nigra.
4. Intracellular dopaminergic neuron hypofunction and central spinal cord sensorimotor disinhibition.
5. Irresistible urge to move the legs accompanied by uncomfortable, rest-induced dysesthesias that worsen at night and are relieved by movement.</t>
  </si>
  <si>
    <t>• Compelling, irresistible urge to move the legs accompanied by uncomfortable sensations (100%)
• Symptoms begin or worsen during periods of rest or inactivity (lying/sitting) (100%)
• Symptoms are temporarily relieved by movement (walking, stretching) (100%)
• Symptoms are exclusively present or worse in the evening or night (100%)
• Severe sleep-onset insomnia and sleep disruption (85–95%)</t>
  </si>
  <si>
    <t>1.0 cases per 3 to 25</t>
  </si>
  <si>
    <t>• Helicobacter pylori
• Viral prodromes
• Enteric microbial dysbiosis</t>
  </si>
  <si>
    <t>• Iron deficiency / low systemic and brain iron stores (serum ferritin &lt;75 mcg/L)
• Pregnancy (especially third trimester)
• Chronic kidney disease / end-stage renal disease
• Caffeine, alcohol, and nicotine consumption
• Medications: Antihistamines, Dopamine antagonists (metoclopramide, neuroleptics), SSRIs/SNRIs</t>
  </si>
  <si>
    <t>• Rheumatoid arthritis
• Sjogren's syndrome
• Celiac disease
• Hashimoto's thyroiditis
• Multiple sclerosis</t>
  </si>
  <si>
    <t>• North America and Western Europe (prevalence 5-10% of adults, 2x higher in females)</t>
  </si>
  <si>
    <t>• Oral or intravenous iron repletion (ferric carboxymaltose) to maintain ferritin &gt;75-100 mcg/L
• First-line pharmacotherapy: Alpha-2-delta ligands (Gabapentin, Pregabalin, Gabapentin enacarbil - preferred over dopamine agonists due to augmentation risk)
• Non-ergot dopamine agonists: Pramipexole, Ropinirole, Rotigotine patch (use lowest effective dose)
• Low-dose opioids (oxycodone, buprenorphine) for refractory, severe cases
• Lifestyle modifications: Regular moderate exercise, avoidance of sleep fragmentation, alcohol/caffeine cessation</t>
  </si>
  <si>
    <t>Retinocochleocerebral 
vasculopathy</t>
  </si>
  <si>
    <t>RED-M
Retinocochleocerebral vasculopathy
SICRET
Retinopathy-encephalopathy-deafness associated microangiopathy
Small infarctions of cochlear, retinal and encephalic tissue
Susac syndrome
Susac's syndrome</t>
  </si>
  <si>
    <t>Susac's syndrome affects three parts of the body: the brain, the retina of the eye, and the inner ear. The cause is uncertain, but the disease is believed to be autoimmune.  Swelling in the lining of the blood vessels in these three areas blocks and decreases blood flow, which results in impaired brain function and vision/ hearing loss.  Symptoms are typically unstable as the disease progresses, and patients often experience disturbance in only 2 of the 3 areas at any given time.  
The severity of cases may vary, with mild cases resolving in under a year and severe cases having longer duration and causing irreparable damage.  During the course of the disease, some patients may experience symptoms in a flare-remission pattern, while others are consistently symptomatic until time of recovery.  Treatment is available to prevent permanent damage, and most patients under medical care can expect to experience complete or near complete recovery.</t>
  </si>
  <si>
    <t>Susac syndrome; rare microangiopathy triad of encephalopathy, branch retinal artery occlusions, and sensorineural hearing loss, mediated by anti-endothelial cell antibodies affecting precapillary arterioles. Chapter 55, pp. 782–790; Chapter 58, pp. 850–860.</t>
  </si>
  <si>
    <t>Microvascular endothelial cells of retina, cochlea, and corpus callosum (100%)</t>
  </si>
  <si>
    <t>• Anti-endothelial cell antibodies (AECA)</t>
  </si>
  <si>
    <t>• Autoreactive CD8+ cytotoxic T cells (endothelial cell-adherent, microvascular injury)
• Autoreactive CD4+ T cells
• Autoreactive B cells / plasma cells (anti-endothelial cell antibodies)</t>
  </si>
  <si>
    <t>1. Unknown trigger induces an autoimmune attack selectively against the microvasculature of the brain, retina, and inner ear.
2. Clonal cytotoxic CD8+ T lymphocytes and anti-endothelial cell antibodies (AECA) target precapillary arteriolar endothelial cells.
3. CD8+ T cells adhere to endothelial cells, inducing perforin-mediated endothelial cell apoptosis and swelling.
4. Microvascular endothelial necrosis triggers microthrombosis and luminal occlusion of microarterioles (&lt;100 µm).
5. Clinical triad of multifocal branch retinal artery occlusions (BRAO), low-frequency sensorineural hearing loss, and encephalopathy with central corpus callosum "snowball" lesions.</t>
  </si>
  <si>
    <t>• Corpus callosum 'snowball' lesions on MRI (90–100%)
• Multiple branch retinal artery occlusions (BRAO) causing visual field scotomas (80–90%)
• Subacute sensorineural hearing loss, vertigo, and low-frequency tinnitus (80–90%)
• Encephalopathy with cognitive dysfunction, memory loss, and behavioral changes (70–80%)
• Severe migrainous or oppressive headaches (60–70%)</t>
  </si>
  <si>
    <t>• Viral encephalopathy triggers
• Cytomegalovirus, Epstein-Barr virus</t>
  </si>
  <si>
    <t>• Physical / emotional stressors
• Pregnancy and puerperium
• Inhaled toxicants</t>
  </si>
  <si>
    <t>• Autoimmune thyroiditis
• Systemic lupus erythematosus
• Sjogren's syndrome</t>
  </si>
  <si>
    <t>• Worldwide (rare, ~400 reported cases, strong female predominance 3:1, young adults 20-40)</t>
  </si>
  <si>
    <t>• Induction: Pulse intravenous methylprednisolone (1 g/day for 3-5 days) followed by high-dose oral prednisone taper
• First-line adjuvant: Intravenous immunoglobulin (IVIG, 2 g/kg monthly)
• Aggressive immunosuppression for severe / encephalopathic disease: Cyclophosphamide or Rituximab
• Maintenance: Mycophenolate mofetil or Azathioprine
• Antithrombotic therapy: Low-dose aspirin and/or clopidogrel (prevents microvascular thrombosis)</t>
  </si>
  <si>
    <t>Rheumatic Chorea
Sydenham chorea</t>
  </si>
  <si>
    <t>Rheumatic chorea, also called Sydenham chorea, is a rare neurological disorder typically occurring during childhood. It is caused by an autoimmune reaction following infection from the same bacterium that causes rheumatic fever. It leads to chorea: sudden, continuous, involuntary movements affecting the entire body. Symptoms can last in children anywhere from 3 weeks to several months. Patients with mild cases recover on their own in a few weeks, but treatment is available to provide relief to those with severe symptoms.
Since antibiotics have reduced the incidence of rheumatic fever, the incidence of rheumatic chorea in developed countries like the US is much lower than in developing countries. (Note that we could not find a study that supports a statistic cited in several papers that 30% of patients with rheumatic fever develop rheumatic chorea).</t>
  </si>
  <si>
    <t xml:space="preserve">A miscellaneous group of movement disorders, observed particularly in children, and sharing the features of an antecedent streptococcal infection, are claimed to have in common the expression of autoantibodies to neurons of basal ganglia in the brain. Prototypic among these is Sydenham's chorea, marked by frequent unintended jerky movements, and long known to occur occasionally in association with streptococcal-related rheumatic carditis. Others include the Tourette syndrome of motor and vocal tics, and a pediatric autoimmune neuropsychiatric disorder associated with streptococcal infections (PANDAS) (Shulman, 1999). Speculative extensions have brought in other entities including obsessive–compulsive and attention-deficit disorders. Autoimmunity has been implicated, but on rather slender evidence: (1) the claimed antecedent streptococcal infections that provide a reasoning for the occurrence of autoimmunity similar to that proposed for the onset of rheumatic carditis (see Chapter 69), (2) positive tests for antineuronal autoantibodies particularly to autoantigens of basal ganglia neurons, and (3) a claimed capacity of patients' sera to transfer disease passively after direct injection into the striatum of rats. However, the autoantibody studies are in earlier literature and have not been convincingly confirmed (reviewed by Dale, 2005), and the validity of the data on passive transfer to animals by serum is likewise questionable (Giovannoni, 2005).
</t>
  </si>
  <si>
    <t>Striatal basal ganglia GABAergic medium spiny neurons (85%)
Synaptic interneurons (15%)</t>
  </si>
  <si>
    <t>• Anti-dopamine D1/D2 receptor autoantibodies
• Anti-lysoganglioside GM1 autoantibodies
• Anti-tubulin autoantibodies
• Antistreptolysin O (ASO)</t>
  </si>
  <si>
    <t>• Autoreactive B cells / plasma cells (anti-basal ganglia, anti-dopamine D1/D2 receptors)
• Autoreactive CD4+ Th17 / Th1 cells (molecular mimicry with Group A Streptococcus)</t>
  </si>
  <si>
    <t>1. Pharyngeal infection with Streptococcus pyogenes (Group A beta-hemolytic Streptococcus) mounts an adaptive immune response.
2. Molecular mimicry: Antibodies against streptococcal group A carbohydrate cross-react with neuronal lysoganglioside GM1 and tubulin.
3. Pathogenic autoantibodies penetrate the blood-brain barrier and bind dopamine D1 and D2 receptors in the striatum (caudate and putamen).
4. Autoantibody binding induces intracellular CaMKII activation, altering tyrosine hydroxylase activity and increasing dopamine release.
5. Striatal network dysfunction causes rapid, involuntary, uncoordinated jerking movements (chorea), muscular hypotonia, and emotional lability.</t>
  </si>
  <si>
    <t>• Onset 1–6 months following group A streptococcal infection (100%)
• Rapid, uncoordinated, involuntary choreiform movements of limbs, face, and trunk (95–100%)
• Muscular hypotonia with 'milkmaid's grip' and spooning of extended hands (80–90%)
• Emotional lability, obsessive-compulsive traits, and hyperactivity (70–80%)
• 'Darting tongue' (inability to sustain tongue protrusion) (60–75%)</t>
  </si>
  <si>
    <t>1.0 cases per 2,000 to 5,000 in endemic regions</t>
  </si>
  <si>
    <t>Rare in the United States (&lt;1.0 cases per 100,000)</t>
  </si>
  <si>
    <t>• Streptococcus pyogenes (Group A beta-hemolytic streptococcus)</t>
  </si>
  <si>
    <t>• Untreated or inadequately treated Group A streptococcal pharyngitis (1-6 months prior)
• Overcrowded living conditions / poverty
• High seasonal streptococcal incidence</t>
  </si>
  <si>
    <t>• Acute rheumatic fever (major Jones diagnostic criterion)
• Rheumatic heart disease
• PANDAS
• Post-streptococcal glomerulonephritis</t>
  </si>
  <si>
    <t>• Developing regions: Sub-Saharan Africa, South Asia, Indigenous populations of Australia and New Zealand</t>
  </si>
  <si>
    <t>• Antimicrobial eradication of GAS: Single dose IM benzathine penicillin G or oral penicillin V
• Secondary antibiotic prophylaxis: Monthly IM benzathine penicillin G injections (up to age 21 or for at least 10 years)
• Chorea symptomatic control: Valproic acid (first-line antiepileptic), Carbamazepine, or Haloperidol/Pimozide
• Immunomodulation for severe/refractory chorea: Oral prednisone (rapidly halts choreic movements), IVIG, or Plasma exchange
• Rest, quiet low-stimulation environment, and fall prevention measures</t>
  </si>
  <si>
    <t>St. Vitus Dance
Syndenham chorea</t>
  </si>
  <si>
    <t>Rheumatic chorea, also called Sydenham's chorea, is a neurological complication of acute rheumatic fever caused by molecular mimicry following group A streptococcal infection. Autoantibodies cross-react with basal ganglia neural antigens, leading to rapid, purposeless involuntary movements, emotional lability, and muscle weakness. Treatment includes antibiotic prophylaxis against recurrent streptococcal infection alongside symptomatic medications.</t>
  </si>
  <si>
    <t>Neurological manifestation of acute rheumatic fever (Sydenham's chorea), characterized by rapid involuntary movements following group A streptococcal pharyngitis, mediated by molecular mimicry with autoantibodies cross-reacting against basal ganglia neural antigens. Chapter 69, pp. 1015–1026.</t>
  </si>
  <si>
    <t>1. Lancefield Group A streptococcal pharyngitis primes B cells producing cross-reactive autoantibodies via molecular mimicry.
2. Cross-reactive IgG antibodies recognize dopamine D2 receptors and surface lysogangliosides on striatal medium spiny neurons.
3. Intrathecal antibody binding triggers neuronal CaMKII hyperphosphorylation and aberrant dopaminergic pathway transmission.
4. Functional disruption of the extrapyramidal motor circuit between the basal ganglia, thalamus, and motor cortex.
5. Involuntary choreiform movements, facial grimacing, motor impersistence ("milkmaid's grip"), and behavioral alterations.</t>
  </si>
  <si>
    <t>Rheumatic fever
Acute rheumatic fever
Inflammatory rheumatism
Rheumatic arthritis
Acute rheumatic myocarditis</t>
  </si>
  <si>
    <t>Rheumatic fever is an inflammatory disease that sometimes develops as a complication of inadequately treated strep throat (group A streptococcal infection). Rheumatic fever can cause permanent damage to the heart including damaged heart valves and heart failure.  The disease is mostly diagnosed in children.
Rheumatic fever is not a chronic condition, but the consequences of the heart damage it may cause, rheumatic heart disease, can be chronic. 
The disease and its consequences can be prevented with antibiotics if the strep infection is diagnosed quickly, treatment is started in a timely manner, and the patient follows through with the treatment completely. 
Note: scarlet fever is another symptom of a strep infection but is not a separate cause of rheumatic fever.</t>
  </si>
  <si>
    <t>Several streptococcal and human cross-reactive antibodies have been found in the sera of RF patients and immunized rabbits and mice over the last 50 years and have been recently reviewed (Cunningham, 2000; Guilherme et al., 2004). N-acetyl β-D-glucosamine, which is present in both the streptococcal cell wall and heart valvular tissue, is one of the major targets of the humoral response in RF/RHD, and antibodies against this polysaccharide displayed cross-reactivity with laminin, an extracellular matrix alpha-helical coiled-coil protein that surrounds heart cells and is also present in the valves (Cunningham et al., 1989; Cunningham, 2000). Cardiac myosin is the most important protein in the myocardium and by using affinity purified anti-myosin antibodies, Cunningham's group identified a five amino acid residue (Gln-Lys-Ser-Lys-Gln) epitope of the N-terminal M5 and M6 proteins as being cross-reactive with cardiac myosin (Cunningham et al., 1989). The permanent rheumatic lesions that damage the valves and antibodies against vimentin, an abundant protein in the valvular tissue, probably play a role in the valvular lesions (Cunningham, 2000). In conclusion, antibodies against N-acetyl β-D-glucosamine, some epitopes of cardiac myosin, and vimentin can be considered as immunological markers of the disease.</t>
  </si>
  <si>
    <t>Systemic
Heart</t>
  </si>
  <si>
    <t>Group A Streptococcus M protein (cardiac myosin cross-reactive)</t>
  </si>
  <si>
    <t>Valvular endothelial / interstitial cells and cardiomyocytes (60%)
Synovial lining cells (25%)
Basal ganglia neurons (15%)</t>
  </si>
  <si>
    <t>• Antistreptolysin O (ASO)
• Anti-DNase B
• Anti-streptococcal group A carbohydrate antibodies
• Anti-cardiac myosin cross-reactive antibodies</t>
  </si>
  <si>
    <t>• Autoreactive CD4+ Th1 / Th17 cells (myosin cross-reactive with streptococcal M protein)
• Autoreactive B cells / plasma cells (anti-cardiac myosin, anti-carbohydrate)
• Autoreactive CD8+ cytotoxic T cells</t>
  </si>
  <si>
    <t>1. Untreated pharyngeal infection with Group A Streptococcus (GAS) stimulates high-titer antibodies and T-cell responses against streptococcal M protein.
2. Molecular mimicry: M protein epitopes cross-react with human cardiac myosin, tropomyosin, laminin, and valvular endothelium.
3. Cross-reactive CD4+ T cells and antibodies infiltrate the heart, binding valvular endothelial cells and upregulating VCAM-1.
4. Extravasation of T cells and macrophages into the myocardium and endocardium forms pathognomonic granulomatous Aschoff bodies.
5. Progressive pan-carditis, valvular verrucae, leaflet scarring, chordae tendineae retraction, and mitral/aortic regurgitation.</t>
  </si>
  <si>
    <t>• Antecedent group A beta-hemolytic streptococcal pharyngitis (100%)
• Migratory polyarthritis affecting large joints (knees, ankles, elbows, wrists) (70–80%)
• Pancarditis: valvulitis with new murmur, pericardial friction rub, myocarditis (50–60%)
• Sydenham's chorea (10–15%)
• Subcutaneous painless nodules over bony prominences (5–10%)
• Erythema marginatum: evanescent, non-pruritic, pink serpiginous macular rings (&lt;5%)</t>
  </si>
  <si>
    <t>1.0 cases per 2,000 to 20,000</t>
  </si>
  <si>
    <t>1.0 cases per 20,000 (Estimated)</t>
  </si>
  <si>
    <t>Strong
Moderate</t>
  </si>
  <si>
    <t>• Streptococcus pyogenes (Group A beta-hemolytic streptococcus pharyngeal infection)</t>
  </si>
  <si>
    <t>• Untreated or partially treated streptococcal pharyngitis
• Poverty, overcrowding, poor sanitation, low access to healthcare
• Cold and damp environmental conditions</t>
  </si>
  <si>
    <t>• Sydenham chorea
• Post-streptococcal reactive arthritis
• Autoimmune thyroiditis</t>
  </si>
  <si>
    <t>• Developing nations: Sub-Saharan Africa, South/Southeast Asia, Pacific Islands, Indigenous Australia/NZ</t>
  </si>
  <si>
    <t>• Acute GAS eradication: Intramuscular benzathine penicillin G (single dose) or oral penicillin V for 10 days
• Anti-inflammatory therapy for carditis/arthritis: High-dose oral Aspirin (80-100 mg/kg/day in children) or Naproxen
• Systemic glucocorticoids (oral prednisone 1-2 mg/kg/day) for severe carditis with cardiomegaly or heart failure
• Secondary antibiotic prophylaxis: Lifelong or long-term benzathine penicillin G every 3-4 weeks (essential to prevent rheumatic heart disease)
• Heart failure medications (ACEi, beta-blockers, diuretics) / Valve repair or replacement surgery for severe chronic valvulopathy</t>
  </si>
  <si>
    <t xml:space="preserve">Rheumatoid arthritis (RA) is an autoimmune disease marked by inflammation and damage to joints, surrounding bone, blood vessels, and connective tissue.   This disorder usually affects both sides of the body (i.e. both ankles or both wrists). It can also damage the lungs, heart, eyes, skin, and various other body systems.    
Joints affected by RA are often painful, stiff, and swollen, especially in the morning, and symptoms typically appear in flares followed by remission.  Research has not determined the cause of RA but associations have been found with certain genes, infections, and hormonal changes.  Risk also increases with inhalation of hazardous particles in certain occupations and chronic smoking.  
There is no cure, though treatments to manage symptoms are available.  Prognosis is dependent on disease severity and timely treatment.  Some patients experience mild symptoms with long remissions, while others experience intense symptoms for extended periods of time with few remissions.  The condition is progressive, and patients often worsen over time.  Patients with severe cases may develop disability due to musculoskeletal damage, and some may experience serious cardiac complications.
</t>
  </si>
  <si>
    <t>The immunologic hallmark of RA is the presence of autoantibodies in the circulation (and also in the synovial fluid). Indeed, the presence of autoantibodies constitutes an important aspect of the new ACR-EULAR classification criteria of RA and contributes two points out of a maximum of 10 if detectable and even three points if at high levels (Aletaha et al., 2010). The first autoantibody ever described in RA was rheumatoid factor (RF) (Waaler, 1939), subsequently recognized to be a family of autoantibodies directed against the Fc portion of immunoglobulin (Ig) G. In clinical routine, IgM-RF is most commonly determined, but RFs can be of any isotype, and next to IgM-RF, IgG-RF and IgA-RF are frequently seen. The latter has been found to be predictive for the development of RA and is associated with worse prognosis (Houssien et al., 1997; Rantapaa-Dahlqvist et al., 2003; Nell et al., 2005). Also, IgM-RF precedes the occurrence of RA and, especially at high levels (≥50 IU/ml), it is associated with significant joint damage (Nielen et al., 2004; Nell et al., 2005; Aletaha et al., 2012). Moreover, the risk of developing RA for RF positive individuals in the general population may be up to 26-fold increased (Nielsen et al., 2012). This suggests an involvement of RF in the pathways to inflammation and especially joint destruction which could be a consequence of immune complex formation and subsequent Fc receptor binding, complement activation, and consequential increase in levels of inflammatory cytokines (Winchester et al., 1970; Schur et al., 1975; Mallya et al., 1982).</t>
  </si>
  <si>
    <t>Citrullinated proteins / peptides (ACPA)
IgG Fc fragment (Rheumatoid Factor)</t>
  </si>
  <si>
    <t>Synovial lining fibroblast-like synoviocytes (FLS) (70%)
Articular cartilage chondrocytes (30%)</t>
  </si>
  <si>
    <t>• Anti-citrullinated protein antibodies (ACPA / anti-CCP)
• Rheumatoid factor (RF: IgM-RF, IgA-RF, IgG-RF)</t>
  </si>
  <si>
    <t>• Autoreactive CD4+ Th1 and Th17 cells (citrullinated peptide-specific)
• Autoreactive B cells / plasmablasts (producing ACPA / RF)
• Autoreactive CD8+ cytotoxic T cells</t>
  </si>
  <si>
    <t>1. Environmental exposure (smoking, periodontitis) in HLA-DRB1 shared epitope hosts triggers mucosal peptidylarginine deiminase (PAD) citrullination.
2. Breach of immune tolerance generates anti-citrullinated protein antibodies (ACPA / anti-CCP) and rheumatoid factor (RF).
3. Migration of autoreactive CD4+ Th1/Th17 cells, B cells, and macrophages into the joint synovium.
4. Synovial inflammation and cytokine release (TNF-α, IL-6, IL-1) induce massive synoviocyte proliferation, forming invasive pannus tissue.
5. Pannus-derived matrix metalloproteinases (MMPs) and RANKL-mediated osteoclast activation destroy articular cartilage and subchondral bone, causing joint deformity.</t>
  </si>
  <si>
    <t>• Boggy joint swelling, tenderness, and warmth (90–100%)
• Symmetrical, persistent polyarthritis of small joints (MCP, PIP, MTP) (90–95%)
• Morning stiffness lasting &gt;45–60 minutes (85–95%)
• Chronic fatigue and systemic malaise (70–80%)
• Progressive joint deformities: swan-neck, boutonniere, ulnar deviation (30–40%)
• Subcutaneous rheumatoid nodules over extensor surfaces (20–30%)</t>
  </si>
  <si>
    <t>1.0 cases per 127 to 303</t>
  </si>
  <si>
    <t>• Porphyromonas gingivalis (peptidylarginine deiminase enzyme)
• Aggregatibacter actinomycetemcomitans
• Epstein-Barr virus, Parvovirus B19
• Prevotella copri (gut dysbiosis)</t>
  </si>
  <si>
    <t>• Cigarette smoking (most potent environmental risk factor, especially with HLA-DRB1 shared epitope)
• Silica dust inhalation
• Chronic periodontal disease
• Obesity and low dietary omega-3 intake</t>
  </si>
  <si>
    <t>• Sjogren's syndrome (in up to 30%)
• Autoimmune thyroiditis (Hashimoto's)
• Systemic lupus erythematosus
• Interstitial lung disease
• Felty syndrome / Rheumatoid vasculitis</t>
  </si>
  <si>
    <t>• Native American populations (highest prevalence 5-6%), Northern Europe, North America (~1% globally)</t>
  </si>
  <si>
    <t>• First-line conventional synthetic DMARD: Methotrexate (weekly, oral or subcutaneous) + folic acid
• Alternative csDMARDs: Leflunomide, Sulfasalazine, Hydroxychloroquine (triple therapy: MTX + SSZ + HCQ)
• Biological DMARDs: Anti-TNF (adalimumab, etanercept, infliximab), Anti-IL-6R (tocilizumab, sarilumab), T-cell co-stimulation inhibitor (Abatacept), B-cell depletion (Rituximab)
• Targeted synthetic DMARDs: JAK inhibitors (tofacitinib, baricitinib, upadacitinib)
• Bridging therapy: Low-dose systemic glucocorticoids and intra-articular steroid injections during initiation</t>
  </si>
  <si>
    <t>Rheumatoid vasculitis
RV</t>
  </si>
  <si>
    <t>Rheumatoid vasculitis (RV) is a rare autoimmune disorder affecting a small number of patients with rheumatoid arthritis, which causes inflammation and damage to the blood vessels.  Vessels in any part of the body may be affected, though large blood vessels are less likely to be impacted than medium or small blood vessels.  RV most often develops in patients who have suffered from rheumatoid arthritis for 10 to 14 years.  Patients often experience feelings of malaise, sores on the legs, severely decreased blood flow to the fingers and toes, nerve problems, and eye aggravation.  The cause of RV is uncertain, though smoking is believed to significantly increase risk.  Complications involving the organs may be fatal.  Available treatments have mixed success, and prognosis remains poor.</t>
  </si>
  <si>
    <t>Serious extra-articular complication of severe, long-standing seropositive rheumatoid arthritis characterized by necrotizing inflammation of small-to-medium vessels, high-titer rheumatoid factor, circulating immune complexes, and profound hypocomplementemia. Chapter 60, pp. 885–895; Chapter 72, pp. 1048–1058.</t>
  </si>
  <si>
    <t>IgG Fc region
Endothelial antigens</t>
  </si>
  <si>
    <t>Small-to-medium arterial endothelial cells (70%)
Vascular smooth muscle cells (30%)</t>
  </si>
  <si>
    <t>• High-titer Rheumatoid factor (RF)
• Anti-CCP autoantibodies
• Anti-endothelial cell antibodies (AECA)</t>
  </si>
  <si>
    <t>• Autoreactive B cells / plasma cells (high-titer RF and ACPA immune complex formation)
• Autoreactive CD4+ Th1 / Th17 cells
• Autoreactive CD8+ cytotoxic T cells</t>
  </si>
  <si>
    <t>1. Longstanding, severe seropositive rheumatoid arthritis with high titers of RF and ACPA and circulating immune complexes.
2. Deposition of large IgG-RF and IgM-RF immune complexes within the walls of small and medium muscular arteries.
3. Classical complement activation (C3a, C5a) recruits and activates neutrophils and monocytes.
4. Transmural necrotizing inflammation, neutrophil leukocytoclasia, and elastase-mediated internal elastic lamina destruction.
5. Luminal thrombosis, vascular occlusion, and vessel ischemia lead to deep cutaneous ulcerations, digital gangrene, and mononeuritis multiplex.</t>
  </si>
  <si>
    <t>• Long-standing, seropositive, erosive rheumatoid arthritis background (95–100%)
• Deep, non-healing ischemic cutaneous ulcers on lower extremities (60–75%)
• Palpable purpura and cutaneous leukocytoclastic lesions (35–45%)
• Mononeuritis multiplex / asymmetric sensorimotor neuropathy (35–45%)
• Digital gangrene, splinter hemorrhages, and periungual infarcts (30–40%)</t>
  </si>
  <si>
    <t>1.0 cases per 3,012 to 3,861 of RA patients</t>
  </si>
  <si>
    <t>• Hepatitis B virus, Hepatitis C virus
• Epstein-Barr virus, Parvovirus B19</t>
  </si>
  <si>
    <t>• Severe long-standing, seropositive (high-titer RF and anti-CCP) erosive rheumatoid arthritis
• Cigarette smoking (major predisposing factor)
• Rheumatoid subcutaneous nodules and HLA-DRB1 *04:01 homozygosity</t>
  </si>
  <si>
    <t>• Severe Rheumatoid arthritis (primary underlying condition)
• Felty syndrome
• Sjogren's syndrome
• Secondary amyloidosis</t>
  </si>
  <si>
    <t>• Worldwide (rare, &lt;1% of rheumatoid arthritis patients in the biologic era; older males &gt; females)</t>
  </si>
  <si>
    <t>• Induction for organ-threatening / necrotizing vasculitis: High-dose IV methylprednisolone + Rituximab (anti-CD20, preferred biologic)
• Cyclophosphamide (IV monthly pulses, alternative for severe mononeuritis multiplex / bowel ischemia)
• Maintenance therapy: Azathioprine, Methotrexate, or Mycophenolate mofetil
• Optimization of baseline RA disease control (biologic DMARDs)
• Aggressive local ulcer wound care, infection prophylaxis, and vascular surveillance</t>
  </si>
  <si>
    <t>Sarcoidosis
Besnier-Boeck-Schaumann disease
Lupus pernio
Lofgrens syndrome</t>
  </si>
  <si>
    <t>One way the immune system works is to surround an invader and keep it from harming the body. Those small clumps of immune system cells are called granulomas and they form as part of the body's inflammation response to foreign, potentially harmful, substances. 
In sarcoidosis the inflammation process gets out of control, and granulomas form even though there is no foreign substance, and the number of granulomas increases. When left untreated, the granulomas harden and produce permanent scars, usually in the lungs but they can occur in other organs and tissues.  
The symptoms of sarcoidosis depend on where the granulomas form.   In some cases, the disease goes away on its own. In others, the disease may not progress clinically but individuals will still suffer from some symptoms that affect their quality of life. Up to a third of people diagnosed will require long-term treatment. Sarcoidosis is considered chronic in people whose disease remains active for more than 2-5 years; chronic sarcoidosis can be debilitating and life-threatening. 
Sarcoidosis often starts with a set of symptoms collectively referred to as Lofgren's Syndrome (see below).
One way the immune system works is to surround an invader and keep it from harming the body. Those small clumps of immune system cells are called granulomas and they form as part of the body's inflammation response to foreign, potentially harmful, substances. 
In sarcoidosis the inflammation process gets out of control, and granulomas form even though there is no foreign substance, and the number of granulomas increases. When left untreated, the granulomas harden and produce permanent scars, usually in the lungs but they can occur in other organs and tissues.  
The symptoms of sarcoidosis depend on where the granulomas form.   In some cases, the disease goes away on its own. In others, the disease may not progress clinically but individuals will still suffer from some symptoms that affect their quality of life. Up to a third of people diagnosed will require long-term treatment. Sarcoidosis is considered chronic in people whose disease remains active for more than 2-5 years; chronic sarcoidosis can be debilitating and life-threatening. 
Sarcoidosis often starts with a set of symptoms collectively referred to as Lofgren's Syndrome (see below).
One way the immune system works is to surround an invader and keep it from harming the body. Those small clumps of immune system cells are called granulomas and they form as part of the body's inflammation response to foreign, potentially harmful, substances. 
In sarcoidosis the inflammation process gets out of control, and granulomas form even though there is no foreign substance, and the number of granulomas increases. When left untreated, the granulomas harden and produce permanent scars, usually in the lungs but they can occur in other organs and tissues.  
The symptoms of sarcoidosis depend on where the granulomas form.   In some cases, the disease goes away on its own. In others, the disease may not progress clinically but individuals will still suffer from some symptoms that affect their quality of life. Up to a third of people diagnosed will require long-term treatment. Sarcoidosis is considered chronic in people whose disease remains active for more than 2-5 years; chronic sarcoidosis can be debilitating and life-threatening. 
Sarcoidosis often starts with a set of symptoms collectively referred to as Lofgren's Syndrome (see below).</t>
  </si>
  <si>
    <t xml:space="preserve">The immune system is clearly implicated as judged by the Th1-directed granulomatous histopathology. Also, there is solid evidence from a comparative population study in Italy of co-association with other autoimmune diseases, notably autoimmune thyroiditis, although the strength of this association is questionable (Antonelli et al., 2006). Ho et al. (2005) drew on the known Th1-biased CD4+ T cell response in sarcoidosis, together with possible involvement of the natural killer T (NKT) cell system. NKT cells are activated by glycolipid antigens presented by CD1 molecules on antigen-presenting cells (APCs) (Chapter 8). There is a particular class of CD1 (CD1d) that, after interaction with NKT cells with an invariant receptor (Va24/JaQ, paired with Vb11), can exert regulatory effects. Also, in mice at least, the CD1-restricted repertoire includes autoreactive T cells (Park et al., 2001). Ho et al. (2005) ascertained in sarcoidosis a deficiency (for unknown reasons) of Va24 NKT cells, with ensuing loss of their normal regulatory effect on CD1d-dependent reactivity. However, for sarcoidosis to be confidently ascribed to autoimmunity, depletion of Va24 NKT cells would need to be associated with persistent stimulation of the Th1 T cell pathway by some endogenous autoantigen, for which the evidence is meager, at best.
</t>
  </si>
  <si>
    <t>Alveolar and tissue macrophages / monocytes (60%)
Epithelioid / multinucleated giant cells (40%)</t>
  </si>
  <si>
    <t>1. Inhalation of poorly degradable airborne or microbial antigens in genetically susceptible hosts (HLA-DRB1*11/15).
2. Alveolar macrophages and dendritic cells present antigen, releasing IL-12 and IL-18 to prime naive T cells.
3. Massive polarization and oligoclonal expansion of CD4+ Th1 and Th17.1 lymphocytes releasing IFN-γ, TNF-α, and IL-2.
4. Continuous macrophage recruitment, differentiation into epithelioid cells, and fusion into Langhans multinucleated giant cells.
5. Formation of compact, non-caseating granulomas with peripheral rimming of CD8+ T cells and fibroblasts, causing bilateral hilar lymphadenopathy and pulmonary fibrosis.</t>
  </si>
  <si>
    <t>• Bilateral hilar lymphadenopathy on chest imaging (85–95%)
• Chronic dry cough, dyspnea, and non-specific chest discomfort (60–75%)
• Constitutional fatigue, low-grade fevers, and unintentional weight loss (50–65%)
• Cutaneous manifestations: erythema nodosum, lupus pernio, subcutaneous nodules (25–35%)
• Ocular involvement: anterior or posterior granulomatous uveitis (20–30%)</t>
  </si>
  <si>
    <t>1.0 cases per 1,600 to 3,000</t>
  </si>
  <si>
    <t>1.0 cases per 1,662 to 1,694</t>
  </si>
  <si>
    <t>• Mycobacterium tuberculosis
• Cutibacterium acnes, Borrelia burgdorferi
• Viral triggers (HHV-8)</t>
  </si>
  <si>
    <t>• Occupational exposure to airborne antigens: Agricultural dusts, insecticides, mold, building materials
• Inhaled silica dust / metal fumes (beryllium, titanium)
• Cigarette smoking (paradoxically protective against sarcoidosis development)</t>
  </si>
  <si>
    <t>• Autoimmune thyroiditis
• Sjogren's syndrome
• Celiac disease
• Systemic lupus erythematosus</t>
  </si>
  <si>
    <t>• Northern Europe, Scandinavia (Sweden: 60/100,000) and African American populations in the US (~35-40/100,000)</t>
  </si>
  <si>
    <t>• Asymptomatic stage I pulmonary disease: Observation without therapy (high rate of spontaneous resolution)
• First-line systemic therapy: Oral glucocorticoids (prednisone 20-40 mg/day with gradual taper over 6-12 months)
• Second-line steroid-sparing DMARDs: Methotrexate (preferred), Azathioprine, Leflunomide, Mycophenolate mofetil
• Third-line biologics for refractory/neurosarcoid/cardiac disease: Anti-TNF antibodies (Infliximab, Adalimumab)
• Topical corticosteroids for anterior uveitis and cutaneous lesions / Hydroxychloroquine for lupus pernio</t>
  </si>
  <si>
    <t>Schnitzler syndrome
Chronic urticaria with gammapathy
Chronic urticaria with gammopathy
Chronic urticaria with macroglobulinemia
Schnitzler's syndrome</t>
  </si>
  <si>
    <t xml:space="preserve">Schnitzler syndrome is a disease in which periodic episodes of inflammation occur. It is considered an autoinflammatory disease, not an autoimmune disease, because the immune system does not mistakenly attack healthy cells. Instead, Schnitzler syndrome is believed to arise from a problem with the immune system itself. It is uncertain what causes Schnitzler syndrome, but it does not appear to be hereditary.
Patients with Schnitzler syndrome typically experience chronic rash, relapsing fevers, pain and inflammation in the joints, enlarged lymph nodes, and an excess of certain proteins in the blood.  The condition is chronic, generally without worsening, though 10-15% of people with Schnitzler syndrome experience cancerous or non-cancerous overproduction of certain types of white blood cells. There is no cure, but treatments may relieve symptoms in some individuals.   </t>
  </si>
  <si>
    <t>Rare late-onset autoinflammatory disorder defined by chronic urticarial rash, monoclonal IgM (or IgG) gammopathy, recurrent fevers, neutrophilic bone pain, and systemic inflammation, exquisitely responsive to IL-1 receptor antagonist therapy. Chapter 35, pp. 512–522.</t>
  </si>
  <si>
    <t>Dermal postcapillary endothelial cells (60%)
Bone marrow stromal cells / osteoblasts (40%)</t>
  </si>
  <si>
    <t>• Monoclonal IgM / IgG gammopathy</t>
  </si>
  <si>
    <t>1. Acquired somatic mosaicism in the NLRP3 gene within myeloid lineages or monoclonal gammopathy-driven innate activation.
2. Clonal synthesis of a monoclonal IgM (or rarely IgG) paraprotein, typically with kappa light chain.
3. Overactivation of the NLRP3 inflammasome leads to constitutive, massive secretion of active interleukin-1β (IL-1β).
4. Systemic IL-1β drives intense neutrophil recruitment into the dermis and bone remodeling compartments.
5. Chronic urticarial neutrophilic dermatosis, recurrent periodic fevers, arthralgias, severe bone pain, and osteosclerosis.</t>
  </si>
  <si>
    <t>• Chronic, non-pruritic urticarial exanthema / raised hives (95–100%)
• Monoclonal IgM (or rarely IgG) gammopathy (95–100%)
• Recurrent, intermittent spiking fevers (80–90%)
• Severe bone pain (pelvic, tibia, femur) and arthralgias (65–75%)
• Osteosclerotic bone lesions on skeletal imaging (60–70%)
• Palpable lymphadenopathy and splenomegaly (35–45%)</t>
  </si>
  <si>
    <t>281 cases reported to date at Mayo Clinic</t>
  </si>
  <si>
    <t>Confirmed</t>
  </si>
  <si>
    <t>• Postulated streptococcal / staphylococcal antigens
• Viral triggers driving paraproteins</t>
  </si>
  <si>
    <t>• Monoclonal IgM gammopathy (IgM kappa paraprotein)
• Chronic innate immune activation / cold temperature sensitivity</t>
  </si>
  <si>
    <t>• Monoclonal gammopathy of undetermined significance (MGUS)
• Waldenström macroglobulinemia
• Autoimmune thyroiditis</t>
  </si>
  <si>
    <t>• Worldwide (rare, ~350 cases described in literature, median age ~55-60 years)</t>
  </si>
  <si>
    <t>• First-line targeted therapy: Interleukin-1 (IL-1) receptor antagonists (Anakinra [rapid and complete response], Canakinumab)
• Interleukin-6 inhibitors (Tocilizumab, effective second-line alternative)
• Systemic glucocorticoids (oral prednisone, provides partial or transient symptom control)
• Chemotherapeutic regimens / Rituximab (directed at underlying IgM clone if hematologic progression occurs)
• NSAIDs and colchicine (generally ineffective)</t>
  </si>
  <si>
    <t>Scleritis is an inflammation of the white tissue, the sclera, that surrounds most of the eye. Though scleritis is a symptom of a number of autoimmune diseases, it is suspected of being an autoimmune disease itself.</t>
  </si>
  <si>
    <t>Scleritis is a painful and potentially sight-threatening inflammatory disease involving the sclera. Episcleritis is typically more acute and less severe than scleritis and it is often idiopathic; however, many of the diseases associated with scleritis have also been associated with episcleritis. Clinical examination evaluates for the presence of erythema and edema of the episclera or sclera as well as injection of the deep episcleral vessels (Figure 55.2). The inflamed sclera is usually characterized by a violaceous hue which can be graded in a standardized fashion (Sen et al., 2011). Many inflammatory systemic disorders are associated with scleritis, the most common being rheumatoid arthritis. Others include juvenile idiopathic arthritis (JIA), Reiter syndrome, Crohn's disease, ankylosing spondylitis, ulcerative colitis, polymyositis, polyarteritis nodosa, systemic lupus erythematosus (SLE), Wegener's granulomatosis, sarcoidosis, Lyme disease, and Cogan syndrome. In up to 40% of cases no associated disease can be identified (Sainz de la Maza et al., 2012).</t>
  </si>
  <si>
    <t>Scleral fibroblasts (70%)
Deep episcleral vascular endothelial cells (30%)</t>
  </si>
  <si>
    <t>• Rheumatoid factor (RF)
• Antineutrophil cytoplasmic antibodies (ANCA)
• Antinuclear antibodies (ANA)</t>
  </si>
  <si>
    <t>• Autoreactive CD4+ Th1 / Th17 cells (scleral connective tissue-reactive)
• Autoreactive B cells / plasma cells
• Autoreactive CD8+ cytotoxic T cells</t>
  </si>
  <si>
    <t>1. Association with underlying systemic autoimmune diseases (RA, granulomatosis with polyangiitis, relapsing polychondritis) or idiopathic triggers.
2. Infiltration of the scleral stroma by autoreactive CD4+ Th1/Th17 lymphocytes, macrophages, and neutrophils.
3. Local immune complex deposition and release of pro-inflammatory cytokines (TNF-α, IL-1β) upregulate collagenases and matrix metalloproteinases.
4. Enzymatic degradation of dense scleral collagen lamellae and deep episcleral vascular occlusion.
5. Severe, boring eye pain, scleral thinning, violaceous injection, risk of scleral perforation (scleromalacia perforans), and vision-threatening complications.</t>
  </si>
  <si>
    <t>• Severe, boring, excruciating deep ocular pain radiating to temple, brow, or jaw (90–100%)
• Deep bluish-red / violaceous scleral injection not blanching with topical phenylephrine (90–100%)
• Nighttime pain awakening patient from sleep (70–80%)
• Marked photophobia, ocular tenderness, and lacrimation (60–75%)
• Scleral thinning and transillumination in necrotizing scleritis (20–30%)</t>
  </si>
  <si>
    <t>• Herpes zoster virus (HZV), Herpes simplex virus
• Treponema pallidum, Mycobacterium tuberculosis
• Borrelia burgdorferi, Pseudomonas (infectious scleritis)</t>
  </si>
  <si>
    <t>• Ocular surgical trauma (pterygium excision, cataract extraction, scleral buckle)
• Systemic rheumatologic disease flare
• Chemical or thermal ocular injury</t>
  </si>
  <si>
    <t>• Rheumatoid arthritis (associated with 20-30% of scleritis cases)
• Granulomatosis with polyangiitis (GPA / Wegener's)
• Relapsing polychondritis
• Systemic lupus erythematosus
• Inflammatory bowel disease</t>
  </si>
  <si>
    <t>• Worldwide (prevalence ~5-10 per 100,000, 2x higher in females, peak age 40-60)</t>
  </si>
  <si>
    <t>• Non-necrotizing anterior scleritis: High-dose oral NSAIDs (indomethacin 50-75 mg BID, flurbiprofen)
• Severe, posterior, or necrotizing scleritis: High-dose systemic glucocorticoids (oral prednisone 1 mg/kg/day or IV methylprednisolone)
• Steroid-sparing conventional DMARDs: Methotrexate, Mycophenolate mofetil, Azathioprine
• Targeted biologics: Anti-TNF agents (Infliximab, Adalimumab), Rituximab (anti-CD20, highly effective in GPA-associated scleritis)
• Note: Topical ophthalmic corticosteroids alone are INSUFFICIENT for true scleritis; subconjunctival injections contraindicated (globe perforation risk)</t>
  </si>
  <si>
    <t>Sjögren's disease
SJS
Sjogren's disease
Keratoconjunctivitis sicca
Sicca syndrome
Sjögrens disease
Sjögren's syndrome</t>
  </si>
  <si>
    <t xml:space="preserve">Sjögren’s disease is a systemic autoimmune disease that is marked by dry mouth and dry eyes. Though traditionally thought to be focused on the moisture-secreting glands of the eyes and mouth, it can affect the lungs, brain, gastrointestinal tract, sinus tract, nerves, joints, blood vessels, and kidneys. Symptoms vary significantly among patients, ranging from dry eyes and dry mouth to fatigue, pain and brain fog. Depression and anxiety are common comorbidities of Sjögren's, and patients’ quality of life is significantly affected. 
Since 2012, Sjögren's disease has been adopted as the official name of the disease by the Sjögren's Foundation and others to reflect the systemic nature of the disease. 
Sjögren's patients are predominantly female, with a female to male ratio of roughly 9 to 1. 
Patients with Sjögren's can be diagnosed through positive antibodies (SSA or SSB, called “seropositive”) or by symptoms and other markers without the presence of antibodies (called "seronegative"). Seronegative patients report greater difficulty in obtaining a diagnosis, and it is believed that Sjögren's disease is underdiagnosed. Sjögren's disease is also often accompanied by other immune system disorders, such as rheumatoid arthritis and lupus.  Some physicians have used the term “Secondary Sjögren's” to describe cases where Sjögren's is accompanied by another autoimmune disease, as opposed to “Primary Sjögren's,” which refers to cases where Sjögren's is the only autoimmune diagnosis. However, many patients and advocates argue that the term “Secondary” minimizes the impact of Sjogren’s and overlooks the unique challenges of Sjogren’s, which requires its own diagnostic and treatment approach regardless of coexisting conditions.
Sjögren’s disease is a systemic autoimmune disease that can affect many parts of the body.  Traditionally, it was thought to be focused on the moisture-secreting glands of the eyes and mouth, but that has since been debunked.  Its name was changed from Sjögren's syndrome to Sjögren's disease to reflect the systemic nature of the disease.  Sjögren's patients are also predominantly female, with a female to male ratio of roughly 10 to 1.                                                                                               
Sjögren's can impact many different areas of the body, including the lungs, brain, gastrointestinal tract, sinus tract, nerves, joints, blood vessels, and kidneys.  Symptoms vary significantly among patients, ranging from dry eyes and dry mouth to systemic fatigue, pain and brain fog.  Depression and anxiety are also common comorbidities to the disease.  Patients’ quality of life can be significantly impacted, with some evidence that fatigue and pain are the greatest predictors of poor quality of life.                                                                                          
Patients with Sjögren's can be diagnosed through positive antibodies (SSA or SSB), seropositive, or by diagnostic criteria without the presence of antibodies (called "seronegative").  Seronegative patients report greater difficulty in obtaining a diagnosis and it is believed that, in general, Sjögren's disease is under-diagnosed.                                               
Sjögren's disease is also often accompanied by other immune system disorders, such as rheumatoid arthritis and lupus.  In such cases, physicians tend to refer to the patients as having Secondary Sjögren's, as opposed to Primary Sjögren's when patients only have one autoimmune disease.  There has been a movement among patients and advocates to remove the label of “Secondary” as it trivializes Sjögren's as less important than the other autoimmune diseases.
Sicca syndrome is marked by dry mouth and dry eyes. If these symptoms are caused by an autoimmune process, it is called Sjogren's disease. See &lt;a href="/Disease_Profile/Sj%C3%B6grens-disease.aspx"&gt;Sjögrens disease for more information. </t>
  </si>
  <si>
    <t xml:space="preserve">From an immunological point of view, B cell activation is the hallmark of the syndrome resulting in hypergammaglobulinemia, cryoglobulinemia, and autoantibody production. The latter includes the presence of increased titers of antinuclear antibodies and rheumatoid factor as well as reactivities against the ribonucleoproteinic complexes Ro/SSA and La/SSB. Antibodies against a-fodrin—an organ-specific cytoskeletal autoantigen—initially purified by salivary glands of a murine SjS mouse model have been also detected in almost all sera from patients with primary SjS (Haneji et al., 1997; Witte et al., 2000, 2003). However, subsequent reports failed to demonstrate their superiority in terms of specificity and sensitivity in comparison to anti-Ro/SSA and anti-La/SSB testing (Ruiz-Tiscar et al., 2005; Locht et al., 2008). As a result their use in clinical practice is quite limited. Hypergammaglobulinemia has been associated with cutaneous vasculitis, articular, pulmonary or renal involvement and cryoglobulinemia with B cell lymphoma development and increased mortality rates (Skopouli et al., 2000; Ioannidis et al., 2002). Antibodies directed against Ro/SSA and La/SSB antigens are detected in approximately 60% and 30% of SjS patients, respectively, and have been previously shown to be associated with earlier disease onset, longer disease duration, parotid gland enlargement, higher frequency of extraglandular manifestations, more intense lymphocytic infiltration of the minor salivary glands, other B cell activation markers, as well as the presence of HLADR2 and DR3. While RNA immunoprecipitation has been considered as the reference method for detection of these autoantibodies, counterimmunoelectrophoresis demonstrates increased reliability with high levels of sensitivity and specificity. Commercially available enzyme-linked immunosorbent assay (ELISA) kits are now widely used in clinical practice (Manoussakis et al., 1993; Mavragani et al., 2000; Tzioufas et al., 2002; Hernandez-Molina et al., 2011). On the other hand, anticentromere (ACA) antibodies occur in 3.7% of SjS patients designating the presence of an intermediate scleroderma-like phenotype. The ACA+ SjS subgroup demonstrates a higher prevalence of Raynaud's phenomenon and dysphagia but lower rates of dry eyes, hypergammaglobulinemia, anti-Ro/SSA, and anti-La/SSB antibodies compared to ACA− SjS patients.
</t>
  </si>
  <si>
    <t>Salivary and lacrimal ductal / acinar epithelial cells (85%)
Extraglandular mucosal epithelial cells (15%)</t>
  </si>
  <si>
    <t>• Anti-Ro52 / Anti-Ro60 (SSA) autoantibodies
• Anti-La (SSB) autoantibodies
• Rheumatoid factor (RF)
• Antinuclear antibodies (ANA)</t>
  </si>
  <si>
    <t>• Autoreactive CD4+ T helper cells (Th1, Th17, Tfh in salivary/lacrimal glands)
• Autoreactive B cells / plasmablasts (anti-Ro/SSA, anti-La/SSB, RF)
• Autoreactive CD8+ cytotoxic T cells</t>
  </si>
  <si>
    <t>1. Viral infection (EBV, retrovirus) or cellular stress in genetically susceptible individuals (HLA-DR3, IRF5, STAT4) triggers salivary/lacrimal epithelial cell damage.
2. Damaged ductal epithelial cells aberrantly express MHC Class II, produce type I IFNs, and release Ro/SSA and La/SSB autoantigens.
3. B-cell activating factor (BAFF) hyperstimulation promotes germinal center-like structures and plasma cell secretion of anti-Ro/SSA, anti-La/SSB, and RF.
4. Focal periductal infiltration of CD4+ T cells, plasmacytoid dendritic cells, and B cells (focus score ≥1 per 4 mm²).
5. Cytokine- and granzyme-mediated apoptosis of acinar epithelial cells causes progressive secretory glandular hypofunction (xerostomia, keratoconjunctivitis sicca).</t>
  </si>
  <si>
    <t>• Severe xerophthalmia / dry eyes with gritty, burning foreign body sensation (90–95%)
• Severe xerostomia / dry mouth requiring water to swallow dry crackers (90–95%)
• Disabling chronic fatigue (70–80%)
• Inflammatory polyarthralgias without erosion (60–70%)
• Vaginal dryness and dry skin (40–50%)
• Bilateral persistent or recurrent parotid / submandibular gland swelling (30–40%)</t>
  </si>
  <si>
    <t>1.0 cases per 233 to 667</t>
  </si>
  <si>
    <t>• Epstein-Barr virus (EBV, primary viral candidate)
• Human T-lymphotropic virus 1 (HTLV-1)
• Hepatitis C virus, Coxsackievirus
• Oral dysbiosis (Streptococcus, Prevotella)</t>
  </si>
  <si>
    <t>• Psychological stress and chronic fatigue
• Low estrogen states / menopause (9:1 female preponderance)
• Inhaled environmental pollutants and dry ambient environments
• Medications with anticholinergic properties (aggravators)</t>
  </si>
  <si>
    <t>• Systemic lupus erythematosus (secondary Sjogren's in 15-20%)
• Rheumatoid arthritis (secondary Sjogren's in 20-30%)
• Autoimmune thyroiditis (Hashimoto's in 15-25%)
• Primary biliary cholangitis
• Celiac disease</t>
  </si>
  <si>
    <t>• Worldwide (prevalence ~0.2-1.0% of adult population, 9:1 female, peak age 40-60)</t>
  </si>
  <si>
    <t>• Ocular sicca: Preservative-free artificial tears, topical cyclosporine A (0.05% Restasis) or lifitegrast drops, punctal plugs
• Oral sicca: Muscarinic agonists (Pilocarpine, Cevimeline), saliva substitutes, diligent dental hygiene and fluoride varnishes
• Musculoskeletal / constitutional symptoms: Hydroxychloroquine (200-400 mg/day, improves arthralgias and fatigue)
• Systemic extraglandular manifestations (vasculitis, neuropathy, nephritis): Glucocorticoids + Azathioprine, Mycophenolate, or Rituximab (anti-CD20)
• Regular surveillance for B-cell lymphoma (non-Hodgkin lymphoma, 15-20x increased lifetime risk)</t>
  </si>
  <si>
    <t>SLE glomerulonephritis syndrome
Lupus nephritis</t>
  </si>
  <si>
    <t>Lupus nephritis is a complication in patients with systemic lupus erythematosus (SLE), an autoimmune condition causing inflammation of the body's tissues.  Lupus nephritis targets the kidneys, causing damage and inflammation, which prevents normal function and may lead to kidney failure.  Significant delay or lack of treatment can be fatal, but early medical care can manage symptoms and result in a good prognosis.</t>
  </si>
  <si>
    <t>Lupus nephritis; immune-complex mediated glomerular inflammation occurring in systemic lupus erythematosus, characterized by subendothelial and subepithelial deposition of anti-dsDNA and chromatin autoantibodies, complement fixation, and progressive nephron loss. Chapter 54, pp. 750–765; Chapter 76, pp. 1115–1126.</t>
  </si>
  <si>
    <t>Double-stranded DNA (dsDNA)
Nucleosomes
Histones
C1q</t>
  </si>
  <si>
    <t>Glomerular mesangial cells (45%)
Glomerular endothelial cells (30%)
Podocytes (25%)</t>
  </si>
  <si>
    <t>• Anti-dsDNA autoantibodies
• Anti-C1q autoantibodies
• Anti-nucleosome / anti-histone autoantibodies
• Anti-Sm autoantibodies</t>
  </si>
  <si>
    <t>• Autoreactive B cells / plasma cells (producing anti-dsDNA, anti-C1q, anti-nucleosome)
• Autoreactive CD4+ T follicular helper (Tfh) and Th17 cells
• Autoreactive CD8+ cytotoxic T cells</t>
  </si>
  <si>
    <t>1. Systemic lupus erythematosus disease activity promotes generation of pathogenic autoantibodies targeting dsDNA, nucleosomes, and C1q.
2. Formation of circulating immune complexes and in situ binding of autoantibodies to chromatin fragments planted in the glomerular basement membrane (GBM).
3. Immune complexes deposit in mesangial, subendothelial, or subepithelial compartments (Classes I-VI).
4. Potent classical complement cascade activation (C1q, C3, C4) and recruitment of neutrophils and monocytes via Fcγ receptors.
5. Endothelial swelling, endocapillary proliferation, crescent formation, wire-loop lesions, podocyte effacement, and proteinuria leading to renal failure.</t>
  </si>
  <si>
    <t>• Persistent proteinuria (&gt;0.5 g/24h) and foamy urine (95–100%)
• Active systemic lupus erythematosus manifestations (85–95%)
• Active cellular urinary sediment (dysmorphic RBCs, erythrocyte casts) (70–80%)
• Peripheral dependent pitting edema and anasarca (60–70%)
• Microscopic or gross hematuria (60–70%)
• New-onset or accelerating hypertension (40–50%)</t>
  </si>
  <si>
    <t>• Retroviruses, Epstein-Barr virus
• Cytomegalovirus, Parvovirus B19</t>
  </si>
  <si>
    <t>• Ultraviolet (UVB) light exposure (induces keratinocyte apoptosis and autoantigen exposure)
• Cigarette smoking (accelerates renal progression and decreases therapeutic response)
• Medications: Hydralazine, Procainamide, Minocycline, TNF inhibitors
• Hormonal factors (estrogens, pregnancy)
• Silica dust inhalation</t>
  </si>
  <si>
    <t>• Systemic lupus erythematosus (obligatory underlying entity, affects 40-60% of SLE patients)
• Antiphospholipid syndrome (coexists in 20-30%)
• Autoimmune thyroiditis
• Sjogren's syndrome</t>
  </si>
  <si>
    <t>• African American, Hispanic, and Asian populations (2-4x higher incidence and greater clinical severity than Caucasians)</t>
  </si>
  <si>
    <t>• Baseline background therapy: Hydroxychloroquine (HCQ, ≤5 mg/kg actual body weight, mandatory for all patients unless contraindicated)
• Induction for active proliferative nephritis (Class III/IV ± V): High-dose glucocorticoids (IV methylprednisolone pulses + oral prednisone taper) COMBINED WITH EITHER Mycophenolate mofetil (MMF) OR low-dose IV Cyclophosphamide (Euro-Lupus protocol)
• Add-on targeted biologics: Belimumab (anti-BAFF) OR Voclosporin (novel calcineurin inhibitor in triple therapy)
• Maintenance therapy: Mycophenolate mofetil or Azathioprine (continue for at least 3-5 years)
• Renoprotection: ACE inhibitors or ARBs for blood pressure &lt;120/80 mmHg and proteinuria reduction; SGLT2 inhibitors</t>
  </si>
  <si>
    <t>STAT3 gain-of-function disease</t>
  </si>
  <si>
    <t>STAT3 gain-of-function syndrome; STAT3 GOF syndrome; STAT3-GOF disease; germline STAT3 GOF disease; STAT3-associated immune dysregulation; early-onset multiorgan autoimmunity due to STAT3 GOF; early-onset lymphoproliferation and autoimmunity due to STAT3 gain-of-function mutations; monogenic early-onset lymphoproliferation and autoimmunity; infantile-onset multisystem autoimmune disease due to STAT3 GOF</t>
  </si>
  <si>
    <t>STAT3 gain-of-function disease is a monogenic autoimmune disorder caused by activating mutations in the STAT3 gene, which leads to constitutive transcriptional activation and widespread immune dysregulation. Patients present in early childhood with multiorgan autoimmunity, including type 1 diabetes, autoimmune enteropathy, interstitial lung disease, and short stature. Targeted therapy with JAK inhibitors has shown promising efficacy.</t>
  </si>
  <si>
    <t>Monogenic autoimmune disorder caused by de novo or autosomal dominant germline gain-of-function mutations in STAT3, resulting in enhanced transcriptional activity, early-onset multiorgan autoimmunity, endocrinopathies, and immune dysregulation. Chapter 28, pp. 410–420.</t>
  </si>
  <si>
    <t>CD4+ and CD8+ T lymphocytes (50%)
B lymphocytes (25%)
Endocrine / epithelial parenchymal cells (25%)</t>
  </si>
  <si>
    <t>• Organ-specific autoantibodies (anti-erythrocyte Coombs, anti-platelet, anti-thyroid)</t>
  </si>
  <si>
    <t>• Autoreactive CD4+ Th17 cells (constitutive STAT3 activation)
• Autoreactive CD8+ cytotoxic T cells
• Autoreactive B cells / plasma cells</t>
  </si>
  <si>
    <t>1. Germline de novo or inherited heterozygous gain-of-function mutations in the STAT3 gene.
2. Constitutive baseline phosphorylation and hyperactivation of the transcription factor STAT3 downstream of multiple cytokine receptors.
3. Excessive polarization and hyperactivation of CD4+ Th17 effector cells with concomitant impairment of regulatory T-cell (Treg) differentiation.
4. Unrestrained multi-organ inflammatory signaling and loss of peripheral immune tolerance.
5. Early-onset multi-organ autoimmunity (type 1 diabetes, autoimmune enteropathy, thyroiditis, cytopenias) accompanied by lymphoproliferation and short stature.</t>
  </si>
  <si>
    <t>• Early-onset multi-organ autoimmunity starting in infancy/childhood (100%)
• Autoimmune cytopenias (autoimmune thrombocytopenia, AIHA, neutropenia) (70–80%)
• Postnatal growth failure and severe short stature (60–75%)
• Chronic lymphadenopathy and hepatosplenomegaly (50–60%)
• Early-onset type 1 diabetes mellitus (40–50%)
• Severe chronic autoimmune enteropathy with intractable diarrhea (40–50%)</t>
  </si>
  <si>
    <t>• Recurrent viral / bacterial infections
• Varicella zoster, Candida albicans</t>
  </si>
  <si>
    <t>• Monogenic germline gain-of-function mutations in STAT3 gene
• Environmental microbial exposures driving hyperinflammation</t>
  </si>
  <si>
    <t>• Autoimmune endocrinopathies (Type 1 diabetes, Autoimmune thyroiditis)
• Autoimmune enteropathy / early-onset inflammatory bowel disease
• Autoimmune cytopenias (AIHA, ITP, autoimmune neutropenia)
• Juvenile idiopathic arthritis, Alopecia areata</t>
  </si>
  <si>
    <t>• Worldwide (rare monogenic disease, autosomal dominant inheritance, early childhood onset)</t>
  </si>
  <si>
    <t>• Targeted therapy: JAK inhibitors (Tofacitinib, Ruxolitinib, Baricitinib - inhibit upstream JAK1/2-STAT3 phosphorylation cascade)
• Interleukin-6 receptor antagonists (Tocilizumab)
• Systemic glucocorticoids and conventional immunosuppressants (cyclosporine, tacrolimus)
• Allogeneic hematopoietic stem cell transplantation (HSCT) for life-threatening multi-organ autoimmune disease
• Immunoglobulin replacement therapy (IVIG/SCIG) for hypogammaglobulinemia + antimicrobial prophylaxis</t>
  </si>
  <si>
    <t>Steroid-responsive encephalopathy associated with autoimmune thyroiditis
Hashimoto's encephalopathy
Hashimoto's encephalitis
Encephalopathy associated with autoimmune thyroid disease
Nonvasculitic autoimmune meningoecephalitis</t>
  </si>
  <si>
    <t>Steroid-responsive encephalopathy associated with autoimmune thyroiditis (SREAT), often called Hashimoto’s encephalopathy, is a rare autoimmune disease that affects both the nervous system and endocrine system. Encephalopathy, or brain dysfunction, resulting from thyroid disease can lead to muscle twitches, seizures, confusion, and even paranoia. The three forms of SREAT are acute, subacute, and chronic. SREAT also ranges in severity, from mild cognitive impairment to life-threatening seizures.</t>
  </si>
  <si>
    <t>Subacute relapsing encephalopathy (Hashimoto's encephalopathy) characterized by cognitive impairment, seizures, and stroke-like episodes in the presence of high-titer antithyroid autoantibodies (anti-TPO), responsive to corticosteroid therapy. Chapter 40, pp. 560–570; Chapter 58, pp. 850–858.</t>
  </si>
  <si>
    <t>α-enolase (NAE amino-terminal)
Thyroid peroxidase (TPO)</t>
  </si>
  <si>
    <t>Cerebral microvascular endothelial cells (70%)
Cortical neurons and astrocytes (30%)</t>
  </si>
  <si>
    <t>• Anti-amino-terminal of α-enolase (anti-NAE) autoantibodies
• Anti-thyroid peroxidase (anti-TPO) autoantibodies
• Anti-thyroglobulin (anti-Tg) autoantibodies</t>
  </si>
  <si>
    <t>• Autoreactive B cells / plasma cells (anti-NAE / anti-TPO)
• Autoreactive CD4+ T helper cells
• Autoreactive CD8+ cytotoxic T cells</t>
  </si>
  <si>
    <t>1. Autoimmune thyroiditis triggers an autoimmune reaction directed against central nervous system vascular and neural antigens.
2. Clonal synthesis of autoantibodies against the amino-terminal of alpha-enolase (anti-NAE) and thyroid peroxidase (anti-TPO).
3. Anti-NAE and other autoantibodies bind antigens expressed on cerebral microvascular endothelial cells.
4. Immune-mediated cerebral microvasculitis, localized microvascular hypoperfusion, and perivascular lymphocytic cuffing.
5. Diffuse cerebral ischemia and neuroinflammation produce acute or relapsing encephalopathy, stroke-like episodes, myoclonus, cognitive decline, and dramatic steroid responsiveness.</t>
  </si>
  <si>
    <t>• High serum anti-TPO/anti-Tg titers with dramatic response to steroids (95–100%)
• Subacute encephalopathy, cognitive impairment, and delirium/confusion (80–90%)
• Generalized or focal epileptic seizures and status epilepticus (60–70%)
• Recurrent stroke-like focal neurological deficits without infarction (40–50%)
• Action myoclonus, postural tremor, and ataxia (40–50%)</t>
  </si>
  <si>
    <t>1.0 cases per 47,619</t>
  </si>
  <si>
    <t>• Viral thyroiditis triggers
• Epstein-Barr virus, Cytomegalovirus</t>
  </si>
  <si>
    <t>• Severe emotional or physiological stress
• Ingestion of excess dietary iodine
• Infections / febrile illnesses</t>
  </si>
  <si>
    <t>• Hashimoto's thyroiditis (elevated anti-TPO / anti-TG antibodies present in 100%)
• Graves' disease (uncommon)
• Type 1 diabetes
• Celiac disease
• Vitiligo</t>
  </si>
  <si>
    <t>• Worldwide (rare, underdiagnosed, estimated prevalence ~2 per 100,000, 4:1 female, peak age 40-50)</t>
  </si>
  <si>
    <t>• First-line / diagnostic trial: High-dose intravenous methylprednisolone (1 g/day for 3-5 days) followed by oral prednisone (1 mg/kg/day with slow taper) - rapid, dramatic neurological response confirms diagnosis
• Steroid-sparing agents for relapse: Azathioprine, Methotrexate, or Mycophenolate mofetil
• Second-line immunomodulation: Intravenous immunoglobulin (IVIG) or Therapeutic Plasma Exchange (PLEX) for steroid-refractory or intolerant patients
• Rituximab (anti-CD20) for severe relapsing encephalopathy
• Thyroid status optimization: Levothyroxine for hypothyroidism (note: neurologic response is independent of thyroid hormone normalization)</t>
  </si>
  <si>
    <t>Stiff-person syndrome
Moersch-Woltman syndrome
Stiff man syndrome
Stiff person syndrome</t>
  </si>
  <si>
    <t xml:space="preserve">Stiff person syndrome (SPS) is a rare, progressive syndrome believed to be autoimmune in nature, though the cause is currently unknown.  SPS is characterized by decreased inhibition of the central nervous system, which leads to greater muscle activity causing flares of severe stiffness and spasms, usually in the muscles of the trunk and limbs.  Triggers include noise, touch, and emotional distress.  SPS may result in disability, fractures due to severe muscle contractions, and abnormal posture.  Comorbidities may include diabetes, thyroiditis, vitiligo, and pernicious anemia.  There is no cure, but symptoms can be managed through treatment.
</t>
  </si>
  <si>
    <t>Neuroimmunological disorder characterized by progressive muscle rigidity and painful episodic spasms, primarily driven by autoantibodies against glutamic acid decarboxylase 65 (GAD65) or amphiphysin in paraneoplastic cases. Chapter 58, pp. 848–858.</t>
  </si>
  <si>
    <t>Glutamic acid decarboxylase 65 (GAD65)
Amphiphysin
Glycine receptor (GlyR)</t>
  </si>
  <si>
    <t>Spinal cord and brainstem GABAergic / glycinergic inhibitory interneurons (100%)</t>
  </si>
  <si>
    <t>• Anti-glutamic acid decarboxylase 65 (anti-GAD65) autoantibodies
• Anti-amphiphysin autoantibodies
• Anti-glycine receptor (anti-GlyR) autoantibodies</t>
  </si>
  <si>
    <t>• Autoreactive CD4+ T helper cells (GAD65-specific)
• Autoreactive B cells / intrathecal plasma cells (anti-GAD65, anti-amphiphysin)
• Autoreactive CD8+ cytotoxic T cells</t>
  </si>
  <si>
    <t>1. Breakdown of self-tolerance in individuals with HLA-DRB1*03:01 against GABAergic neurotransmission machinery.
2. Clonal B cells produce exceptionally high-titer autoantibodies against glutamic acid decarboxylase 65 (GAD65), amphiphysin, or gephyrin.
3. Autoantibodies enter the CNS or are synthesized intrathecally, binding GABAergic interneurons in the spinal cord and motor cortex.
4. Inhibition of GAD65 blocks the enzymatic conversion of glutamate to gamma-aminobutyric acid (GABA), severely reducing GABAergic inhibitory tone.
5. Unchecked, continuous firing of spinal motor neurons causes progressive axial and limb muscle rigidity, painful spasms, and heightened startle reflex.</t>
  </si>
  <si>
    <t>• Progressive fluctuating muscular stiffness and rigidity of thoracolumbar paraspinal muscles (90–100%)
• Severe, painful episodic muscle spasms provoked by sudden noise, touch, or stress (85–95%)
• Stiff, robotic 'tin-man' gait with fear of falling / task-specific phobias (80–90%)
• Exaggerated hyperlordosis of the lumbar spine (75–85%)
• High serum anti-GAD65 antibody titers (70–80%)</t>
  </si>
  <si>
    <t>119 cases in UK over 5 years.</t>
  </si>
  <si>
    <t>• Unidentified viral prodromes
• Paraneoplastic tumor antigens (breast, lung, thymoma, colon carcinoma)</t>
  </si>
  <si>
    <t>• Psychological stress, anxiety, or emotional trauma (exacerbates spasms)
• Sudden auditory or tactile stimuli (loud noises, unexpected touch trigger violent muscle spasms)
• Cold ambient temperatures
• Paraneoplastic malignancy (amphiphysin antibodies)</t>
  </si>
  <si>
    <t>• Type 1 diabetes (present in up to 30-40% of patients with anti-GAD65 antibodies)
• Autoimmune thyroiditis (Hashimoto's)
• Vitiligo
• Pernicious anemia
• Celiac disease</t>
  </si>
  <si>
    <t>• Worldwide (rare, estimated prevalence ~1-2 per million, 2:1 female, peak onset 30-50 years)</t>
  </si>
  <si>
    <t>• Symptomatic GABA-enhancing agents: High-dose oral Diazepam (up to 40-100 mg/day divided), Clonazepam, Baclofen (oral or intrathecal pump)
• First-line disease-modifying immunotherapy: Intravenous immunoglobulin (IVIG, 2 g/kg monthly - proven effective in randomized double-blind trial)
• Second-line immunotherapies: Therapeutic plasma exchange (PLEX), Rituximab (anti-CD20), Systemic glucocorticoids
• Levetiracetam, Gabapentin, or Pregabalin (adjunctive antispasmodic/neuropathic support)
• Physical therapy, aqua therapy, and gentle stretching (vigorous massage can provoke muscle spasms)</t>
  </si>
  <si>
    <t>Subacute bacterial endocarditis
Subacute infective endocarditis
Subacute native valve endocarditis</t>
  </si>
  <si>
    <t>Subacute bacterial endocarditis (SBE) is a type of bacterial endocarditis. Endocarditis is an infection of the inner lining of your heart chambers and heart valves (the endocardium).  In SBE, the lining inside the heart valves become infected. 
SBE is not an autoimmune disease, but patients are at increased risk of developing autoimmune disease following SBE. 
This condition most frequently occurs following surgery to a region of the body infected with streptococcal bacteria.  Invasive surgery in the infected tissue facilitates the spread of the bacteria to the heart valves by way of the blood.  The infection normally develops slowly during the two weeks after surgery and may persist for months.  SBE typically only occurs in patients who already have damage to their heart valves from other health conditions.  SBE is difficult to diagnosis because initial symptoms consist almost exclusively of feelings of malaise, which are also common in many other disorders.  SBE may trigger the onset of autoimmune conditions, such as vasculitis. If left untreated, complications can be fatal; however, positive outcomes are expected with early medical care.</t>
  </si>
  <si>
    <t>Infective endocardial inflammation that frequently triggers secondary immune-mediated phenomena including circulating immune complexes, rheumatoid factor, and glomerulonephritis, but initiated by microbial colonization. Chapter 69, pp. 1010–1020.</t>
  </si>
  <si>
    <t>Valvular endothelial cells (75%)
Subendothelial fibroblasts (25%)</t>
  </si>
  <si>
    <t>• Rheumatoid factor (RF)
• Antineutrophil cytoplasmic antibodies (ANCA)</t>
  </si>
  <si>
    <t>1. Low-virulence bacterial colonization (Streptococcus viridans, Enterococcus) of damaged cardiac endothelium forms an infected vegetation.
2. Continuous, prolonged bacteremia releases bacterial antigens into the systemic bloodstream for weeks to months.
3. Persistent antigenemia stimulates high-titer antibody synthesis, resulting in large, chronic circulating immune complex (CIC) formation.
4. CICs deposit in microvascular beds, activating classical complement and recruiting neutrophils.
5. Extracardiac immune manifestations develop: Roth spots, Osler nodes, splinter hemorrhages, and focal immune-complex proliferative glomerulonephritis.</t>
  </si>
  <si>
    <t>• Prolonged low-grade fever, chills, and constitutional night sweats (85–95%)
• New or changing pathologic heart murmur (80–85%)
• Immune complex glomerulonephritis with hematuria (30–40%)
• Splinter hemorrhages under nail beds (15–20%)
• Immune-mediated peripheral stigmata: Osler's nodes (painful nodules on pads of digits) (10–15%)
• Janeway lesions (painless erythematous macules on palms/soles) (10–15%)
• Roth's spots (pale-centered retinal hemorrhages) (5–10%)</t>
  </si>
  <si>
    <t>1.0 cases per 10,000 to 33,333</t>
  </si>
  <si>
    <t>• Streptococcus viridans (oral cavity, S. mutans, S. mitis)
• Streptococcus bovis / gallolyticus (colonic neoplasms)
• Enterococcus faecalis (GU/GI procedures)
• Staphylococcus aureus / epidermidis (indwelling lines)
• HACEK organisms (Haemophilus, Aggregatibacter, Cardiobacterium, Eikenella, Kingella)</t>
  </si>
  <si>
    <t>• Pre-existing structural heart disease: Rheumatic heart disease, bicuspid aortic valve, mitral valve prolapse with regurgitation, prosthetic valves
• Invasive dental, urologic, or endoscopic procedures without adequate antibiotic prophylaxis
• Intravenous illicit drug use
• Chronic indwelling central venous catheters / hemodialysis access</t>
  </si>
  <si>
    <t>• Systemic lupus erythematosus (Libman-Sacks endocarditis mimicker)
• Antiphospholipid syndrome
• Mixed cryoglobulinemia (secondary to chronic bacterial infection)
• Rheumatoid factor seropositivity (present in 50% of chronic SBE cases)</t>
  </si>
  <si>
    <t>• Developing countries (high rheumatic heart disease) and aging populations in Western nations with prosthetic valves</t>
  </si>
  <si>
    <t>• Targeted bactericidal intravenous antibiotic regimens (tailored to MIC, administered for 4-6 weeks): Ceftriaxone, Ampicillin, Vancomycin, Gentamicin, Penicillin G
• Surgical valve replacement / repair (urgent indications: refractory heart failure, persistent bacteremia &gt;7-10 days, annular abscess, fungal endocarditis, recurrent major emboli, vegetation &gt;10 mm)
• Antithrombotic adjustment: Avoid starting thrombolysis / anticoagulation due to intracerebral hemorrhage risk from mycotic aneurysms
• Dental hygiene optimization and prophylactic antibiotics for high-risk dental procedures</t>
  </si>
  <si>
    <t>Sympathetic uveitis
Exciting Eye
Spared Eye Injury
Sympathetic ophthalmia
Sympathizing Eye</t>
  </si>
  <si>
    <t xml:space="preserve">Sympathetic Ophthalmia (SO) is a rare inflammatory condition that affects both eyes following trauma or surgery to one of the eyes. The immune system is sensitized to proteins from the damaged eye and then attacks those same proteins in the uninjured (or “spared” eye), leading to inflammation of the uninjured eye. Sympathetic ophthalmia is a form of uveitis. The disease can lead to blindness. 
</t>
  </si>
  <si>
    <t xml:space="preserve">Immunity in the eye is deviant and atypical. The eye's ability to regulate local immune responses has been attributed to several factors. First, there are several immunosuppressive substances in the aqueous humor of the eye, such as α-melanocyte-stimulating hormone (α-MSH), vasoactive intestinal peptide (VIP), transforming-growth factor-beta (TGF-β), and macrophage-migration-inhibitory factor (MIF), which act to modulate ocular immune responses. Second, there are bone marrow-derived cells in the vascularized tissues of the eye that may capture antigens and present them to immune cells. Third, surface markers, such as CD95 ligand (Griffith et al., 1996; Ferguson and Griffith, 1997), CD46 (Bora et al., 1993), and CD59 are expressed in ocular parenchymal tissues; they directly inhibit effector T cell components of complement, thus saving the eye from tissue damage. Also, inside the eye, both the retina and anterior chamber have a well-structured vascular network with blood-ocular barriers that protect the eye from intruding macromolecules. The ability to discriminate between self and non-self is used for elimination of autoreactive cells. Because the eye is considered to be an immunologically privileged organ, it is believed that expression of ocular autoantigens occurs exclusively within the intraocular environment (Gery and Streilein, 1994). A classic example of organ-specific autoimmune disease caused by autoantigens is sympathetic ophthalmia, a rare form of intraocular inflammation in which the fellow eye develops inflammation after penetrating injury of the opposite eye. The inflammation may develop as early as several days after the penetrating insult to decades later. Typically, it occurs in the first several weeks (4–12 weeks). It is speculated that the injury causes primary immunization to self-antigens.
</t>
  </si>
  <si>
    <t>Retinal S-antigen (arrestin)
Interphotoreceptor retinoid-binding protein (IRBP)</t>
  </si>
  <si>
    <t>Uveal tract melanocytes (70%)
Retinal pigment epithelial (RPE) cells (30%)</t>
  </si>
  <si>
    <t>• Anti-retinal S-antigen autoantibodies
• Anti-recoverin autoantibodies
• Anti-melanocyte autoantibodies</t>
  </si>
  <si>
    <t>• Autoreactive CD4+ Th1 / Th17 cells (retinal S-antigen / uveal melanocyte-reactive)
• Autoreactive CD8+ cytotoxic T cells
• Autoreactive B cells / plasma cells</t>
  </si>
  <si>
    <t>1. Penetrating ocular trauma or surgical perforation of one eye (the exciting eye) disrupts anatomical ocular immune privilege.
2. Sequestration failure releases previously hidden uveal tract and retinal autoantigens (retinal S-antigen, IRBP) into ocular draining lymphatics.
3. Presentation by dendritic cells primes CD4+ Th1 and Th17 lymphocytes in regional cervical lymph nodes in HLA-DR4/DQw3 hosts.
4. Activated autoreactive T cells migrate and cross the blood-ocular barrier into the contralateral uninjured eye (the sympathizing eye).
5. Bilateral diffuse granulomatous panuveitis with Dalen-Fuchs nodules in the retinal pigment epithelium leads to devastating bilateral vision loss.</t>
  </si>
  <si>
    <t>• Bilateral diffuse granulomatous panuveitis following penetrating eye trauma or surgery (95–100%)
• Blurred vision, photophobia, and deep pain in the uninjured 'sympathizing' eye (90–95%)
• Multiple yellowish-white subretinal lesions (Dalen-Fuchs nodules) on fundoscopy (40–50%)
• Exudative retinal detachments and optic disc swelling (30–40%)
• Extraocular signs: poliosis, vitiligo, dysacusis, meningismus (20–30%)</t>
  </si>
  <si>
    <t>1.0 cases per 1,000,000 to 3,000,000</t>
  </si>
  <si>
    <t>1.0 cases per 3,333,333</t>
  </si>
  <si>
    <t>• Herpes simplex virus (HSV), Cytomegalovirus
• Toxoplasma gondii (potential triggers)</t>
  </si>
  <si>
    <t>• Penetrating ocular trauma (accidental injury to uvea of one eye, "exciting eye", 80% of cases)
• Intraocular surgical procedures (vitrectomy, cyclodestructive procedures, trabeculectomy, cataract surgery, 20% of cases)
• Latent period of 2 weeks to several years following ocular injury</t>
  </si>
  <si>
    <t>• Vogt-Koyanagi-Harada disease (closely related autoimmune uveomeningitic spectrum)
• Autoimmune thyroiditis
• Vitiligo
• Alopecia areata</t>
  </si>
  <si>
    <t>• Worldwide (rare, occurs in ~0.03-0.5% of penetrating ocular injuries; equal sex distribution)</t>
  </si>
  <si>
    <t>• Immediate emergency prevention: Primary surgical wound repair of penetrating trauma; prompt enucleation/evisceration of the traumatized ("exciting") eye within 10-14 days if completely blind and non-salvageable
• First-line systemic therapy: High-dose systemic glucocorticoids (IV methylprednisolone pulses followed by oral prednisone 1-1.5 mg/kg/day with slow taper)
• Immunosuppressive steroid-sparing DMARDs: Cyclosporine A, Tacrolimus, Methotrexate, Mycophenolate mofetil
• Targeted biologics: Anti-TNF antibodies (Adalimumab, Infliximab) for refractory cases
• Topical ophthalmic therapy: High-potency topical corticosteroids and cycloplegic-mydriatic eye drops (atropine, cyclopentolate) to prevent posterior synechiae</t>
  </si>
  <si>
    <t>SLE
Systemic lupus erythematosus
Systemic lupus erythematosus
Lupus</t>
  </si>
  <si>
    <t>SLE, the most common type of lupus, is a chronic inflammatory disease that occurs when the body's immune system attacks its own tissues and organs. Inflammation caused by lupus can affect many different body systems — including joints, skin, kidneys, blood cells, brain, heart and lungs.</t>
  </si>
  <si>
    <t xml:space="preserve">Although there are a few nonimmunologic laboratory characteristics of SLE, these are not specific (Aranow et al., 2011; Reeves et al., 2011). Immunological tests, which are specific to most autoimmune diseases such as lupus, include the presence of specific cytotoxic lymphocytes and a variety of autoantibodies, including a persistently positive antinuclear antibody (ANA). The diagnostic utility of test procedures for ANA is described in Chapter 77. Laboratory data in the form of an isolated false-positive syphilis test, a low platelet count, elevated partial thromboplastin time (PTT), or leukopenia may suggest many other diseases that are often considered before SLE. SLE is a clinical diagnosis that depends on a careful history and physical examination. Autoantibodies are frequently associated with no disease and occur in normal people; they alone support but are not diagnostic of the disease. A history of specific medication is particularly important, as reversible drug-induced lupus is responsible for some 10% of cases (Yung and Richardson, 2011) and is often seen in older patients, particularly males. Lupus can be related to other illnesses that can occur in the patient's family such as rheumatoid arthritis (RA), ITP, and multiple sclerosis.
</t>
  </si>
  <si>
    <t>Double-stranded DNA (dsDNA)
Sm (Smith antigen)
Ro/SSA
La/SSB
RNP
Histones</t>
  </si>
  <si>
    <t>Vascular endothelial cells (40%)
Hematopoietic blood cells (erythrocytes, leukocytes, platelets) (30%)
Renal mesangial / podocytic cells (30%)</t>
  </si>
  <si>
    <t>• Antinuclear antibodies (ANA)
• Anti-dsDNA autoantibodies
• Anti-Sm autoantibodies
• Anti-Ro/SSA &amp; Anti-La/SSB
• Anti-RNP autoantibodies
• Antiphospholipid antibodies</t>
  </si>
  <si>
    <t>• Autoreactive CD4+ T follicular helper (Tfh) and Th17 cells
• Autoreactive B cells / plasmablasts (producing anti-dsDNA, anti-Sm, anti-Ro/La, ANA)
• Autoreactive CD8+ cytotoxic T cells</t>
  </si>
  <si>
    <t>1. Genetic risk (HLA-DR2/DR3, complement deficiencies) and environmental triggers (UV light, viral infection) induce apoptosis and defective clearance of apoptotic material.
2. Accumulation of secondary necrotic cell debris exposes nuclear antigens (dsDNA, Sm, histones, Ro, La) to dendritic cells.
3. Plasmacytoid dendritic cells produce high levels of type I interferon (IFN-α), promoting B-cell hyperactivation and autoantibody production.
4. Pathogenic autoantibodies form circulating and in situ immune complexes that deposit in skin, kidneys, joints, vessels, and serosa.
5. Complement activation (C3, C4) and inflammatory cell recruitment cause widespread multi-organ tissue damage (nephritis, malar rash, arthritis, serositis, cerebritis).</t>
  </si>
  <si>
    <t>• Symmetrical inflammatory polyarthralgias / non-erosive arthritis (85–95%)
• Chronic fatigue and recurrent low-grade fevers (75–85%)
• Hematologic cytopenias: leukopenia, lymphopenia, thrombocytopenia (60–70%)
• Photosensitive malar 'butterfly' rash sparing nasolabial folds (50–60%)
• Lupus nephritis with proteinuria and cellular casts (40–50%)
• Serositis: pleurisy and pericarditis with chest pain (30–40%)
• Painless oral/nasopharyngeal mucosal ulcers (30–40%)</t>
  </si>
  <si>
    <t>1.0 cases per 1,235 to 1,531</t>
  </si>
  <si>
    <t>• Epstein-Barr virus (EBV, strongest viral association, molecular mimicry to Sm antigen)
• Human endogenous retroviruses (HERVs)
• Cytomegalovirus, Parvovirus B19</t>
  </si>
  <si>
    <t>• Ultraviolet light exposure (sunlight / UV-B radiation triggers cutaneous apoptosis and systemic flares)
• Cigarette smoking (increases disease severity, skin flares, and reduces antimalarial efficacy)
• Medications: Hydralazine, Procainamide, Isoniazid, Minocycline, TNF inhibitors (drug-induced lupus)
• Female sex hormones / estrogens (oral contraceptives, hormone replacement therapy, pregnancy)
• Environmental silica dust exposure and chronic emotional stress</t>
  </si>
  <si>
    <t>• Antiphospholipid syndrome (secondary APS in 20-30%)
• Autoimmune thyroiditis (Hashimoto's / Graves' in 15-20%)
• Sjogren's syndrome (secondary in 15-20%)
• Autoimmune hemolytic anemia / ITP (Evans syndrome)
• Celiac disease, Rheumatoid arthritis (rhupus overlap)</t>
  </si>
  <si>
    <t>• Worldwide (prevalence 20-150 per 100,000; 9:1 female preponderance; 2-4x higher in African, Hispanic, and Asian ancestries)</t>
  </si>
  <si>
    <t>• Universal foundation therapy: Hydroxychloroquine (HCQ, ≤5 mg/kg/day actual weight, reduces mortality, organ damage, and thrombosis)
• Systemic glucocorticoids: Oral prednisone (titrated to minimum necessary dose) and IV pulse methylprednisolone for acute organ-threatening flares
• Targeted biologics: Belimumab (anti-BAFF / BLyS, FDA-approved for systemic SLE and lupus nephritis), Anifrolumab (anti-type I IFN receptor, FDA-approved for moderate-to-severe SLE)
• Immunosuppressive DMARDs: Mycophenolate mofetil (MMF), Azathioprine, Methotrexate (for arthritis/cutaneous disease)
• B-cell depletion / Cytotoxics: Rituximab (off-label for refractory renal/hematologic SLE) and Cyclophosphamide (for severe proliferative nephritis / neuropsychiatric lupus)</t>
  </si>
  <si>
    <t>Systemic mastocytosis is caused when too many mast cells accumulate in the body. It is not an autoimmune disease, but a disease of the immune system, specifically mast cells. Mast cells transport histamine, which is involved in allergic responses.  
When mastocytosis is limited to the skin, it is called cutaneous mastocytosis, and is a less severe form of the disease.</t>
  </si>
  <si>
    <t>Clonal myeloproliferative neoplasm characterized by abnormal proliferation and accumulation of mast cells driven by somatic activating mutations in KIT (D816V), classified as a neoplastic rather than autoimmune disease. Chapter 46, pp. 645–655.</t>
  </si>
  <si>
    <t>Bone marrow and mucosal / dermal mast cells (100%)</t>
  </si>
  <si>
    <t>1. Somatic activating gain-of-function mutation in the KIT receptor tyrosine kinase gene (KIT D816V) in hematopoietic progenitor cells.
2. Constitutive, ligand-independent KIT receptor autophosphorylation drives autonomous proliferation and prolonged survival of mast cells.
3. Clonal mast cells systematically invade and infiltrate extracutaneous organs (bone marrow, spleen, liver, gastrointestinal tract).
4. Excessive mast cell burden leads to spontaneous and provoked massive systemic degranulation (histamine, tryptase, prostaglandins).
5. Severe episodic flushing, anaphylaxis, hypotension, osteolytic lesions, hepatosplenomegaly, and malabsorption develop.</t>
  </si>
  <si>
    <t>• Episodic flushing, tachycardia, hypotension, and anaphylaxis (60–75%)
• Chronic abdominal cramping, nausea, and watery diarrhea (60–70%)
• Urticaria pigmentosa: reddish-brown maculopapular rash with positive Darier's sign (60–70%)
• Diffuse bone pain, osteopenia, and fragility fractures (40–50%)
• Hepatosplenomegaly and lymphadenopathy (30–40%)</t>
  </si>
  <si>
    <t>1.0 cases per 7,000 to 10,000</t>
  </si>
  <si>
    <t>GARD suggests under 200,000 and cites the value for the cutaneous form</t>
  </si>
  <si>
    <t>• Chronic bacterial or parasitic antigens (historical)</t>
  </si>
  <si>
    <t>• Somatic activating mutations in KIT proto-oncogene (KIT D816V mutation in &gt;90% of adult patients)
• Physical mast cell degranulation triggers: Mechanical friction, temperature extremes (heat/cold), exercise, sunlight
• Chemical / pharmacological degranulation triggers: Hymenoptera stings (wasp/bee venoms), Opioids, NSAIDs, Iodinated radiocontrast media, General anesthetics (curare, muscle relaxants), Alcohol, Spicy foods</t>
  </si>
  <si>
    <t>• Autoimmune thyroiditis
• Systemic lupus erythematosus
• Vitiligo
• Chronic spontaneous urticaria</t>
  </si>
  <si>
    <t>• Worldwide (rare, estimated prevalence ~10-15 per 100,000, equal male-female ratio, Caucasian predominance)</t>
  </si>
  <si>
    <t>• Avoidance of identified mast cell triggers and carrying an epinephrine auto-injector (EpiPen, 2 doses)
• Mediator-targeted symptom control: High-dose H1 antihistamines (cetirizine, fexofenadine) + H2 antihistamines (famotidine)
• Mast cell stabilizers: Oral Sodium cromolyn (for gastrointestinal symptoms) and Montelukast / Zafirlukast (leukotriene receptor antagonists)
• Biologics: Omalizumab (anti-IgE, prevents recurrent anaphylaxis)
• Advanced systemic mastocytosis (KIT D816V-targeted tyrosine kinase inhibitors): Midostaurin (first-generation KIT inhibitor), Avapritinib (potent selective KIT D816V inhibitor, first-line standard), Cladribine (2-CdA) or Allogeneic stem cell transplant for leukemic transformation</t>
  </si>
  <si>
    <t>Systemic sclerosis
Diffuse Systemic sclerosis
Scleroderma
Systemic scleroderma</t>
  </si>
  <si>
    <t>Scleroderma is an autoimmune, rheumatic, and chronic disease that affects the body by hardening connective tissue. This disease may also cause issues in the blood vessels, organs, and digestive tract. Scleroderma is characterized as limited or diffuse, referring to the degree of skin involvement, but can both involve any vascular or organ symptoms. These symptoms occur when the body produces too much collagen, which builds up the body’s connective tissues. People who usually get scleroderma are those between the ages of 30 and 50 and tend to be female at birth.</t>
  </si>
  <si>
    <t xml:space="preserve">There is a wide range of autoantibodies found in SSc and nuclear antigens represent the primary target for these antibodies. ANA are found in more than 90% of SSc patients (Medsger and Steen, 1996). Anti-Scl-70 and ACA are highly specific for SSc and support the clinical diagnosis of the disease (Reveille et al., 2003). The virtual mutually exclusive existence of these antibodies in different disease subtypes and their correlation with certain disease complications raises the likelihood that different disease processes lead to the development of these serological variations (Castro and Jimenez, 2010; Bunn and Black, 1999). Both PDGF receptor-specific antibodies and AECA seem to be involved in SSc pathogenesis. PDGF plays an important role in the fibrotic process of SSc. Stimulatory autoantibodies against PDGF receptors were detected in SSc sera (Baroni et al., 2006); upon binding to the receptors, the RAR-ERK1/2 pathway is induced and increases the level of reactive oxygen species (ROS), and the persistence of ROS and ERK1/2 favor an increased collagen gene expression (Svegliati et al., 2005).
</t>
  </si>
  <si>
    <t>Topoisomerase I (Scl-70)
Centromere proteins (CENP-A, CENP-B)
RNA polymerase III (RPC155)</t>
  </si>
  <si>
    <t>Microvascular endothelial cells (50%)
Dermal and visceral tissue myofibroblasts (50%)</t>
  </si>
  <si>
    <t>• Anti-topoisomerase I (anti-Scl-70) autoantibodies
• Anti-centromere antibodies (ACA / CENP-B)
• Anti-RNA polymerase III (RPC155) autoantibodies</t>
  </si>
  <si>
    <t>• Autoreactive CD4+ Th2, Th17, and Tfh cells (profibrotic cytokine secretion)
• Autoreactive B cells / plasma cells (anti-Scl-70, anti-centromere, anti-RNA pol III)
• Autoreactive CD8+ cytotoxic T cells</t>
  </si>
  <si>
    <t>1. Genetic susceptibility and environmental triggers (silica, organic solvents) induce persistent microvascular endothelial cell injury.
2. Upregulated endothelial adhesion molecules and release of endothelin-1 cause microvascular obliteration, capillary rarefaction, and tissue hypoxia.
3. Immune activation with CD4+ Th2/Th17 lymphocytes and autoantibody production (anti-Scl-70 / topoisomerase I, anti-RNA polymerase III).
4. Infiltrating immune cells and macrophages release pro-fibrotic cytokines, primarily TGF-β, PDGF, and IL-13.
5. Persistent myofibroblast activation and uncontrolled synthesis of collagen and extracellular matrix lead to progressive skin sclerosis and pulmonary/renal fibrosis.</t>
  </si>
  <si>
    <t>• Rapidly progressive skin thickening extending proximal to elbows/knees and trunk (95–100%)
• Raynaud's phenomenon with digital pallor and cyanosis (95–100%)
• Sclerodactyly, microstomia, and digital pitting scars (80–90%)
• Early interstitial lung disease with exertional dyspnea (60–70%)
• Tendon friction rubs on wrists, ankles, and knees (40–50%)
• Scleroderma renal crisis with malignant hypertension (10–15%)</t>
  </si>
  <si>
    <t>1.0 cases per 3,333 to 6,667</t>
  </si>
  <si>
    <t>• Retroviruses, Epstein-Barr virus (EBV)
• Cytomegalovirus (CMV), Parvovirus B19
• Human herpesvirus 6 (HHV-6)</t>
  </si>
  <si>
    <t>• Occupational silica dust exposure (coal mining, sandblasting, stone cutting - Erasmus syndrome)
• Chemical solvent exposures: Organic solvents, Trichloroethylene, Benzene, Toluene, Vinyl chloride, Polyvinyl chloride (PVC)
• Silicone breast implants (ASIA syndrome trigger)
• Bleomycin and appetite suppressants (historical)
• Cold ambient temperatures and emotional stress (exacerbate Raynaud's phenomenon)</t>
  </si>
  <si>
    <t>• Sjogren's syndrome (in 20-30%)
• Autoimmune thyroiditis (Hashimoto's)
• Polymyositis / Dermatomyositis (scleromyositis overlap)
• Primary biliary cholangitis (Reynolds syndrome)
• Systemic lupus erythematosus (lupus-scleroderma overlap)</t>
  </si>
  <si>
    <t>• North America, Western Europe, Australia (prevalence 15-30 per 100,000, 4-9x higher in females, peak age 35-55)</t>
  </si>
  <si>
    <t>• Interstitial lung disease (ILD) / Skin induration: Mycophenolate mofetil (MMF, preferred first-line), Cyclophosphamide, Nintedanib (antifibrotic, FDA-approved for SSc-ILD), Tocilizumab (anti-IL-6R), Autologous hematopoietic stem cell transplantation (HSCT) for rapidly progressive diffuse disease
• Raynaud's phenomenon and digital ulcers: Calcium channel blockers (amlodipine, nifedipine), PDE-5 inhibitors (sildenafil, tadalafil), IV iloprost, Bosentan (dual ERA, prevents new ulcers)
• Scleroderma renal crisis (SRC): IMMEDIATE initiation of ACE inhibitors (Captopril titrated rapidly - DO NOT use high-dose glucocorticoids as they trigger SRC!)
• Gastrointestinal involvement: Proton pump inhibitors (PPIs) for severe GERD, Prokinetics (metoclopramide, erythromycin), Rotating antibiotics for small intestinal bacterial overgrowth (SIBO)
• Pulmonary arterial hypertension (PAH): Endothelin receptor antagonists (macitentan, ambrisentan) + PDE-5 inhibitors (tadalafil) + Prostacyclin pathway agonists (selexipag, treprostinil)</t>
  </si>
  <si>
    <t>Limited cutaneous systemic sclerosis
Systemic sclerosis sine scleroderma
dcSSc
lcSSc
Systemic sclerosis with limited cutaneous involvement
CREST syndrome
Diffuse cutaneous systemic sclerosis</t>
  </si>
  <si>
    <t>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
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
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
Systemic sclerosis with limited cutaneous involvement, formerly called 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
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
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t>
  </si>
  <si>
    <t>Subtype of systemic sclerosis (CREST syndrome) characterized by skin fibrosis restricted to distal extremities and face, calcinosis, Raynaud's phenomenon, esophageal dysmotility, telangiectasia, high frequency of anticentromere antibodies (ACA), and risk of pulmonary arterial hypertension. Chapter 71, pp. 1020–1035.</t>
  </si>
  <si>
    <t>Centromere proteins (CENP-A, CENP-B, CENP-C)</t>
  </si>
  <si>
    <t>Dermal and microvascular endothelial cells (50%)
Dermal fibroblasts (50%)</t>
  </si>
  <si>
    <t>• Anti-centromere antibodies (ACA: CENP-A, CENP-B, CENP-C)
• Anti-topoisomerase I (anti-Scl-70)</t>
  </si>
  <si>
    <t>• Autoreactive CD4+ Th2 / Tfh cells
• Autoreactive B cells / plasma cells (anti-centromere / CENP-B antibodies)
• Autoreactive CD8+ cytotoxic T cells</t>
  </si>
  <si>
    <t>1. Microvascular endothelial injury in genetically predisposed individuals induces endothelial apoptosis and defective vascular repair.
2. Influx of inflammatory cells with production of anti-centromere antibodies (ACA / CENP-B).
3. Endothelial-to-mesenchymal transition and concentric intimal hyperplasia cause luminal narrowing of digital and pulmonary microvessels.
4. TGF-β and connective tissue growth factor (CTGF) stimulate localized dermal fibroblasts to produce excessive extracellular matrix.
5. Manifestation of CREST features: Calcinosis, Raynaud's phenomenon, Esophageal dysmotility, Sclerodactyly, and Telangiectasia, with late pulmonary arterial hypertension.</t>
  </si>
  <si>
    <t>• Raynaud's phenomenon preceding other symptoms by years (98–100%)
• Sclerodactyly restricted to digits distal to MCP joints and face (90–100%)
• Esophageal dysmotility and gastroesophageal reflux (75–85%)
• Telangiectasias on face, lips, tongue, and palms (75–85%)
• CREST syndrome features: Calcinosis cutis (30–40%)
• Isolated pulmonary arterial hypertension (10–15%)</t>
  </si>
  <si>
    <t>• Retroviruses, Cytomegalovirus
• Epstein-Barr virus, Parvovirus B19</t>
  </si>
  <si>
    <t>• Silica dust exposure
• Organic solvents (trichloroethylene, vinyl chloride)
• Cold temperature exposure (triggers severe digital vasospasm)
• Emotional stress</t>
  </si>
  <si>
    <t>• Sjogren's syndrome (coexists in 30-40%)
• Primary biliary cholangitis (PBC, strong overlap in Reynolds syndrome)
• Autoimmune thyroiditis (Hashimoto's)
• Rheumatoid arthritis</t>
  </si>
  <si>
    <t>• North America and Western Europe (prevalence 15-20 per 100,000, marked female preponderance 9:1, peak age 40-60)</t>
  </si>
  <si>
    <t>• Vascular / Raynaud's: Dihydropyridine calcium channel blockers (Nifedipine, Amlodipine), PDE-5 inhibitors (Sildenafil), Topical nitroglycerin ointment, IV Prostacyclin (Iloprost) for critical digital ischemia
• Digital ischemic ulcers: Oral Bosentan (dual endothelin receptor antagonist, prevents recurrent ulcers), local wound care
• Gastrointestinal motility: High-dose PPIs (omeprazole 40 mg BID) for esophageal reflux; Prokinetics (prucalopride, metoclopramide)
• Subcutaneous calcinosis: Diltiazem, Bisphosphonates, Colchicine, or surgical excision / CO2 laser ablation for painful ulcerating calcinotic deposits
• Surveillance: Annual Doppler echocardiography and pulmonary function tests with DLCO (to screen for late-onset pulmonary arterial hypertension [PAH])</t>
  </si>
  <si>
    <t>Takayasu's arteritis
Takayasu's disease</t>
  </si>
  <si>
    <t>Takayasu’s arteritis (TA) is a rare disease that affects large blood vessels, especially the aorta and its major branches. It is sometimes called "pulseless disease" because it can weaken or block pulses in the arms and legs. The condition mainly affects young women, particularly those from Asian and South American countries. Although it is most common in women under 40, TA can also occur in men and older individuals. 
In Takayasu’s arteritis, inflammation causes the walls of affected arteries to become thickened and scarred, which can reduce blood flow to important organs and limbs. The disease is marked by patches of severe inflammation in the artery walls, often alternating with areas of normal tissue. Over time, the arteries can become narrowed (stenosis) or, in some cases, develop bulges (aneurysms). The aortic wall is often involved, with inflammatory cells such as lymphocytes and plasma cells attacking the outermost layers of the artery and sometimes extending into the surrounding tissues. 
Early symptoms may include fever, night sweats, fatigue, joint pain, and chest discomfort. As the disease progresses, inflammation and damage to major arteries can lead to headaches, dizziness, vision problems, and even fainting due to reduced blood flow to the brain. Narrowing of the arteries supplying the arms and upper body can cause pain and weakness, while involvement of the coronary arteries can result in chest pain and an increased risk of heart disease, including aortic regurgitation, a serious condition that allows blood to flow backward into the heart and can lead to heart failure.</t>
  </si>
  <si>
    <t>Despite considerable overlap in the histomorphology and clinical presentation of GCA and TA, evidence suggests that pathogenic mechanisms are distinct (Seko, 2002) (Figure 73.5). Whereas CD4+ T cells producing IFN-γ have been identified as key regulators in the vascular lesions of GCA, they appear to be less important in TA. In the vascular infiltrates of TA, γδ T cells account for 31% of the cells, natural killer cells for 20%, and CD8+ cytotoxic T cells for 15% (Seko, 2000). CD4+ T cells, macrophages, and B cells were less frequent. In support for the concept that cytotoxic cells directly damage resident cells in the aorta, Seko et al. (1994) have shown cellular expression of perforin and deposition of perforin directly onto wall resident cells. Heat shock proteins, in particular HSP65, have been proposed as the antigen stimulating cytotoxic lymphocytes (Seko et al., 2000). Restricted usage of T cell receptor AV and BV genes in tissue infiltrating T cells also supports the concept of selective expansion of antigen-reactive T cells in the vessel wall infiltrates (Seko et al., 1996). Dense expression of costimulatory molecules is in line with a role for adaptive immune responses driving the disease process. Data suggesting a possible role of metalloproteinases as biomarkers of disease activities refocuses interest on macrophage-dependent disease mechanisms (Matsuyama et al., 2003). Destruction of elastic membranes points towards release of elastolytic enzymes, likely derived from tissue-infiltrating macrophages.</t>
  </si>
  <si>
    <t>Endothelial cell antigens
Unknown</t>
  </si>
  <si>
    <t>Large artery medial smooth muscle cells (55%)
Large artery endothelial cells (45%)</t>
  </si>
  <si>
    <t>• Anti-endothelial cell antibodies (AECA)
• Anti-annexin V autoantibodies</t>
  </si>
  <si>
    <t>• Autoreactive CD4+ Th1 and Th17 cells (aortic adventitial/medial infiltration)
• Autoreactive CD8+ cytotoxic T cells / γδ T cells (vascular cytotoxicity)
• Autoreactive B cells / plasma cells (anti-endothelial cell antibodies)</t>
  </si>
  <si>
    <t>1. Genetic susceptibility (HLA-B*52) and unknown triggers induce immune activation against aortic and large-vessel vascular antigens.
2. Autoreactive γδ T cells, cytotoxic CD8+ T cells, and Th1 lymphocytes infiltrate the adventitia and media of the aorta and its primary branches.
3. Granulomatous panarteritis with release of perforin, granzyme, and pro-inflammatory cytokines (IFN-γ, IL-6, TNF-α).
4. Macrophages and multinucleated giant cells release matrix metalloproteinases, destroying elastic fibers and smooth muscle in the vascular media.
5. Marked adventitial fibrosis, concentric fibrointimal proliferation, luminal stenosis, occlusion, or post-stenotic aneurysms ("pulseless disease").</t>
  </si>
  <si>
    <t>• 'Pulseless disease': diminished or absent peripheral pulses in upper extremities (70–85%)
• Vascular bruits audible over carotid, subclavian, or abdominal vessels (70–80%)
• Blood pressure differential &gt;10 mmHg between bilateral arms (65–75%)
• Upper extremity claudication and fatigue on exertion (50–60%)
• Lightheadedness, visual disturbances, and syncope (30–40%)
• Carotidynia: tender carotid arteries (20–30%)</t>
  </si>
  <si>
    <t>1.0 cases per 25,000 to 250,000</t>
  </si>
  <si>
    <t>1.0 cases per 212,766</t>
  </si>
  <si>
    <t>• Mycobacterium tuberculosis (historical homology)
• Streptococcal antigens, Chlamydia pneumoniae
• Cytomegalovirus, Epstein-Barr virus</t>
  </si>
  <si>
    <t>• Genetic susceptibility linked to HLA-B*52:01
• Physical mechanical shear stress on aortic root / arch
• Viral infectious prodromes</t>
  </si>
  <si>
    <t>• Autoimmune thyroiditis (Hashimoto's)
• Inflammatory bowel disease (Ulcerative colitis, Crohn's)
• Spondylarthritis, Ankylosing spondylitis
• Systemic lupus erythematosus</t>
  </si>
  <si>
    <t>• East Asia (Japan: highest prevalence ~40 per million, Korea, China), Southeast Asia, India, Turkey, Latin America (females &lt;40 years, 8-9:1)</t>
  </si>
  <si>
    <t>• First-line systemic induction: High-dose oral glucocorticoids (prednisone 1 mg/kg/day or IV methylprednisolone pulses)
• First-line steroid-sparing conventional DMARDs: Methotrexate, Azathioprine, Mycophenolate mofetil
• Targeted biologic therapy: Interleukin-6 receptor antagonists (Tocilizumab, proven highly effective for relapse prevention), Anti-TNF agents (Infliximab, Adalimumab)
• Vascular interventional / surgical procedures: Percutaneous balloon angioplasty, Endovascular stenting, or Surgical arterial bypass grafting (strictly performed during inactive disease phase / controlled inflammation)
• Antiplatelet therapy: Low-dose aspirin for ischemic stroke / claudication prevention</t>
  </si>
  <si>
    <t>GCA
Temporal arteritis
Cranial arteritis
Giant cell arteritis
Granulomatous arteritis
Horton's disease</t>
  </si>
  <si>
    <t>Temporal arteritis, also known as giant cell arteritis, is an inflammation of the lining of the arteries that typically affects the arteries in the head. Temporal arteritis can frequently cause headaches, scalp tenderness, jaw pain and vision problems.</t>
  </si>
  <si>
    <t xml:space="preserve">Principally, GCA is a chronic inflammatory disease in which CD4+ T lymphocytes establish stable lymphoid microstructures in the arterial wall and orchestrate the differentiation of tissue-injurious macrophages (Figure 73.2) (see also Chapter 11). The response-to-injury program of the vessel is maladaptive and leads to overshooting proliferation of the intimal layer resulting in luminal occlusion, ischemia, and infarct of dependent organ structures. Age-related changes in the immune system as well as in the arterial system represent risk factors for the development of this granulomatous arteritis (Mohan et al., 2011). Dysfunctional immunity is only one aspect of the pathogenic process; the blood vessel participates as an equal partner in destabilizing the immune protection ordinarily guarding blood vessel walls from inflammation. Vascular cells actively interact with immune cells to break tissue tolerance and provide signals that amplify tissue-destructive feed-forward circuits sustaining vasculitis (Weyand and Goronzy, 2013). Specifically, wall-resident cells, such as endothelial cells and vascular smooth muscle cells, may provide activation and survival signals for infiltrating immune cells that allow them to be retained in the tissue niche and undergo chronic activation.
</t>
  </si>
  <si>
    <t>Cranial muscular artery medial smooth muscle cells (55%)
Internal elastic lamina endothelial cells (45%)</t>
  </si>
  <si>
    <t>• Autoreactive CD4+ Th1 and Th17 cells (transmural vascular infiltration)
• Macrophages / giant cells (tissue-destructive matrix metalloproteinases)
• Autoreactive CD8+ cytotoxic T cells</t>
  </si>
  <si>
    <t>1. Aging-related changes in cranial arterial walls and HLA-DRB1*04 alleles prime dendritic cells embedded in the adventitia via toll-like receptors.
2. Activated vascular dendritic cells produce chemokines, recruiting CD4+ T helper cells (Th1 producing IFN-γ and Th17 producing IL-17).
3. Transmural infiltration of the muscular media by T lymphocytes and macrophages, forming multinucleated giant cells along the internal elastic lamina.
4. Macrophages secrete matrix metalloproteinases (MMP-9) and reactive oxygen species, fragmenting the internal elastic lamina.
5. Platelet-derived growth factor (PDGF) stimulates exuberant intimal hyperplasia, causing luminal occlusion, temporal artery tenderness, and ischemic optic neuropathy.</t>
  </si>
  <si>
    <t>• New-onset, severe, throbbing headache (temporal or occipital) (75–85%)
• Scalp tenderness on palpation or brushing hair (50–60%)
• Tender, nodular, pulseless, indurated superficial temporal artery (50–60%)
• Jaw claudication: pain in masseter muscles while chewing (40–50%)
• Associated polymyalgia rheumatica symptoms (40–50%)
• Sudden, painless, irreversible visual loss (AION) (15–20%)</t>
  </si>
  <si>
    <t>1.0 cases per 3,333 to 5,000</t>
  </si>
  <si>
    <t>• Varicella zoster virus (VZV, identified in temporal arteries)
• Chlamydia pneumoniae, Parvovirus B19
• Mycoplasma pneumoniae, Burkholderia</t>
  </si>
  <si>
    <t>• Advanced age (&gt;50 years old, obligatory criterion; incidence peaks at age 70-80)
• Seasonal clustering (autumn/winter peaks)
• Inhaled airborne environmental antigens
• Tobacco smoking (increases risk in females)</t>
  </si>
  <si>
    <t>• Polymyalgia rheumatica (PMR, coexists in 40-50% of GCA patients)
• Autoimmune thyroiditis (Hashimoto's)
• Rheumatoid arthritis</t>
  </si>
  <si>
    <t>• Northern Europe, Scandinavia (Norway, Sweden: 20-30 per 100,000), Iceland, Minnesota (Olmsted County), Caucasian ancestry</t>
  </si>
  <si>
    <t>• IMMEDIATE EMERGENCY THERAPY: High-dose systemic glucocorticoids (oral prednisone 40-60 mg/day; or IV pulse methylprednisolone 1 g/day for 3 days if acute visual loss/amaurosis fugax present - NEVER delay steroids for temporal artery biopsy!)
• First-line biologic therapy: Tocilizumab (anti-IL-6 receptor monoclonal antibody, subcutaneous weekly or IV monthly, FDA-approved, dramatically sustains remission and halves cumulative steroid toxicity)
• Steroid-sparing conventional DMARD: Methotrexate (oral or subcutaneous, alternative if tocilizumab contraindicated)
• Antiplatelet therapy: Low-dose aspirin (81-100 mg/day, reduces ischemic cranial complications)
• Bone protection: Calcium + Vitamin D + Bisphosphonates / PPI prophylaxis for GI protection during steroid therapy</t>
  </si>
  <si>
    <t>TIF1-gamma positive dermatomyositis (cancer-associated myositis)</t>
  </si>
  <si>
    <t>Anti-TIF1-gamma dermatomyositis; TIF1γ-positive dermatomyositis; anti-transcription intermediary factor 1 gamma dermatomyositis; anti-TIF1 dermatomyositis; anti-TIF1γ antibody-positive dermatomyositis; anti-p155/140 dermatomyositis; anti-p155 dermatomyositis; anti-155/140 antibody myositis; cancer-associated dermatomyositis with anti-TIF1γ antibodies; paraneoplastic dermatomyositis with anti-TIF1γ antibodies</t>
  </si>
  <si>
    <t>Anti-TIF1-gamma dermatomyositis is a subtype of dermatomyositis defined by autoantibodies directed against transcriptional intermediary factor 1-gamma. It is characterized by extensive, severe photosensitive skin rashes and proximal muscle weakness, and is strongly associated with an elevated risk of underlying malignancy in adult patients. Management requires comprehensive age-appropriate cancer screening and targeted immunosuppressive regimens.</t>
  </si>
  <si>
    <t>Subtype of adult and juvenile dermatomyositis associated with autoantibodies targeting transcriptional intermediary factor 1-gamma (TIF1-γ / TRIM33), characterized by extensive cutaneous poikiloderma and a markedly increased risk of malignancy in older adults. Chapter 61, pp. 896–906.</t>
  </si>
  <si>
    <t>Transcriptional intermediary factor 1-gamma (TIF1-γ / TRIM33)</t>
  </si>
  <si>
    <t>Skeletal muscle myofibers (60%)
Epidermal keratinocytes and endothelial cells (40%)</t>
  </si>
  <si>
    <t>• Anti-TIF1-γ (transcriptional intermediary factor 1-gamma) autoantibodies</t>
  </si>
  <si>
    <t>• Autoreactive B cells / plasma cells (anti-TIF1-γ)
• Autoreactive CD4+ T helper cells (TIF1-γ cross-reactivity)
• Autoreactive CD8+ cytotoxic T cells</t>
  </si>
  <si>
    <t>1. Somatic mutations or loss of heterozygosity in the TRIM33 gene within an underlying malignant tumor leads to aberrant TIF1-γ neoantigen expression.
2. The immune system mounts a vigorous anti-tumor response, generating high-titer IgG autoantibodies and cytotoxic T cells against TIF1-γ (TRIM33).
3. Shared expression of TIF1-γ in regenerating muscle fibers and basal keratinocytes triggers cross-reactive autoimmunity.
4. Deposition of complement (C5b-9) and type I interferon pathway hyperactivation along perifascicular endomysial capillaries and dermo-epidermal junction.
5. Severe, extensive dermatomyositis rash (flagellate erythema, V-sign) and proximal myopathy tightly linked to adult malignancy.</t>
  </si>
  <si>
    <t>• Severe, extensive, photosensitive cutaneous lesions (Gottron's papules: 80–90%, heliotrope rash: 70–80%)
• Symmetrical proximal muscle weakness (70–80%)
• Prominent 'V-sign', 'shawl sign', and extensive poikiloderma (65–75%)
• Very high risk of internal malignancy within 3 years of diagnosis (50–70%)
• Severe dysphagia (50–60%)
• Palmar hyperkeratotic papules / inverse Gottron's (35–45%)
• 'Flagellate erythema' on trunk (30–40%)</t>
  </si>
  <si>
    <t>• Paraneoplastic tumor antigens (breast, ovarian, lung, colon carcinoma)
• Coxsackievirus, Retroviruses</t>
  </si>
  <si>
    <t>• Occult internal malignancy (strongly cancer-associated: &gt;60-70% of elderly patients have underlying solid tumor or lymphoma)
• Ultraviolet (UV) light exposure (triggers severe photosensitive cutaneous flares)
• Inhaled pollutants</t>
  </si>
  <si>
    <t>• Systemic sclerosis
• Sjogren's syndrome
• Hashimoto's thyroiditis</t>
  </si>
  <si>
    <t>• Worldwide (rare, ~1-2 per 100,000, marked cancer correlation in patients &gt;40-50 years)</t>
  </si>
  <si>
    <t>• AGGRESSIVE CANCER INVESTIGATION AND MANAGEMENT: Comprehensive whole-body PET-CT / cancer screening; surgical tumor resection, chemotherapy, or radiotherapy often induces complete clinical remission of myositis
• High-dose systemic glucocorticoids (oral prednisone 1 mg/kg/day or IV methylprednisolone)
• First-line conventional DMARDs: Methotrexate or Azathioprine
• Second-line immunomodulators: Intravenous immunoglobulin (IVIG, highly effective for refractory skin/muscle disease), Mycophenolate mofetil, Rituximab
• Strict photoprotection: Sunscreens (SPF 50+), protective clothing, and avoidance of UV exposure</t>
  </si>
  <si>
    <t>THS
Tolosa-Hunt syndrome
Non-specific inflammation of the cavernous sinus
Non-specific inflammation of the superior orbital fissure
Painful Ophthalmoplegia</t>
  </si>
  <si>
    <t>Patients with Tolosa-Hunt syndrome experience episodes of severe headaches surrounding the eyes, along with restricted eye movement that is painful (ophthalmoplegia). Normally, only one eye is affected and will frequently appear protruded. Symptoms may also include nerve abnormalities, such as eyelid drooping, double vision, large pupil, and numbness of the face. This disorder typically occurs in relapsing flares. The cause of Tolosa-Hunt syndrome is unknown but is associated with the inflammation within the eyes and may be autoimmune.</t>
  </si>
  <si>
    <t>No Mention in Rose &amp; Mackay - Although there has not been a clear autoimmune etiology associated with Tolosa Hunt syndrome, it has been reported with other systemic and autoimmune inflammatory disorders such as systemic lupus erythematosus, sarcoidosis, and Wegener's granulomatosis and could be a presenting complaint of these diseases. - Amrutkar 2020 Statpearls -</t>
  </si>
  <si>
    <t>Cavernous sinus fibrous connective tissue fibroblasts (65%)
Venous endothelial cells (35%)</t>
  </si>
  <si>
    <t>1. Idiopathic autoimmune or post-viral inflammatory trigger localized to the cavernous sinus, superior orbital fissure, or orbital apex.
2. Infiltration of the cavernous sinus dura mater and retro-orbital connective tissue by non-caseating granulomatous inflammatory tissue.
3. Accumulation of lymphocytes, plasma cells, and epithelioid histiocytes produces localized inflammatory pseudotumor swelling.
4. Compressive encasement and ischemia of the intracavernous internal carotid artery and cranial nerves III, IV, V1/V2, and VI.
5. Severe periorbital or retro-orbital pain accompanied by ipsilateral painful ophthalmoplegia and sensory deficits in the ophthalmic division of the trigeminal nerve.</t>
  </si>
  <si>
    <t>• Severe, excruciating, unilateral retro-orbital or periorbital boring pain (95–100%)
• Dramatic resolution of orbital pain within 48–72 hours of systemic corticosteroid therapy (90–100%)
• Ipsilateral painful ophthalmoplegia due to CN III, IV, or VI palsy (diplopia) (85–95%)
• Ptosis and pupil abnormalities (40–50%)
• Sensory impairment in ophthalmic (V1) distribution of trigeminal nerve (30–40%)</t>
  </si>
  <si>
    <t>300 based on case reports</t>
  </si>
  <si>
    <t>• Treponema pallidum
• Mycobacterium tuberculosis, Actinomyces
• Viral upper respiratory / sinus infections</t>
  </si>
  <si>
    <t>• Non-specific idiopathic granulomatous inflammation of the cavernous sinus / superior orbital fissure
• Preceding upper respiratory infection
• Mechanical microtrauma</t>
  </si>
  <si>
    <t>• Autoimmune thyroiditis
• Systemic lupus erythematosus
• Wegener's granulomatosis (granulomatosis with polyangiitis)
• Sarcoidosis</t>
  </si>
  <si>
    <t>• Worldwide (rare, estimated incidence 1-2 per million, equal male-female ratio, peak age 30-50)</t>
  </si>
  <si>
    <t>• First-line diagnostic and therapeutic gold standard: High-dose oral systemic glucocorticoids (oral prednisone 1 mg/kg/day; dramatic resolution of severe orbital/retro-orbital pain within 24-72 hours strongly confirms diagnosis)
• Slow, individualized oral corticosteroid taper over several months to prevent relapse
• Second-line immunosuppressive DMARDs for relapsing/steroid-dependent disease: Methotrexate, Azathioprine, Mycophenolate mofetil, Cyclosporine A
• Targeted biologics: Infliximab (anti-TNF) or Rituximab for refractory granulomatous cases
• Radiotherapy: Low-dose external beam radiation to cavernous sinus (reserved for recalcitrant cases)</t>
  </si>
  <si>
    <t>Transverse myelitis
Secondary acute transverse myelitis</t>
  </si>
  <si>
    <t>Inflammation of the spinal cord with neurological effects that go in a transverse (horizontal or bandlike) manner across the body, as opposed to going up or down the spinal cord.</t>
  </si>
  <si>
    <t>Etiologies for TM can be broadly classified as parainfectious, paraneoplastic, drug/toxin-induced, systemic autoimmune disorders (SAIDs), and acquired demyelinating diseases like multiple sclerosis (MS) or neuromyelitis optica (NMO) - Beh 2013 -</t>
  </si>
  <si>
    <t>Aquaporin-4 (AQP4)
Myelin oligodendrocyte glycoprotein (MOG)
Unknown</t>
  </si>
  <si>
    <t>Spinal cord oligodendrocytes (75%)
Spinal motor / sensory axons (25%)</t>
  </si>
  <si>
    <t>• Anti-aquaporin-4 (anti-AQP4) IgG
• Anti-MOG IgG</t>
  </si>
  <si>
    <t>• Autoreactive CD4+ Th1 / Th17 cells (spinal cord myelin-reactive)
• Autoreactive B cells / plasma cells (anti-AQP4 / anti-MOG)
• Autoreactive CD8+ cytotoxic T cells</t>
  </si>
  <si>
    <t>1. Post-infectious, post-vaccinal, or systemic autoimmune trigger activates autoreactive myelin- and axonal-specific T lymphocytes.
2. Autoreactive CD4+ Th1/Th17 cells and macrophages cross the blood-spinal cord barrier into thoracic or cervical spinal cord segments.
3. Intense focal perivenular lymphocytic infiltration, microglial activation, and secretion of cytotoxic cytokines (IFN-γ, TNF-α).
4. Complement activation and inflammatory edema cause acute focal demyelination, axonal transection, and necrosis across the spinal cord cross-section.
5. Acute bilateral motor weakness, sensory level loss, and autonomic bladder/bowel dysfunction below the level of the spinal lesion.</t>
  </si>
  <si>
    <t>• Progression to maximal deficit within 4 hours to 21 days (95–100%)
• Distinct, well-demarcated sensory level on the torso/trunk (85–95%)
• Neurogenic bowel and bladder dysfunction (urinary retention / incontinence) (85–95%)
• Acute/subacute bilateral lower extremity motor weakness / paraparesis or quadriparesis (80–90%)
• Band-like focal back or radicular trunk pain at lesion level (40–50%)</t>
  </si>
  <si>
    <t>• Enteroviruses (Coxsackievirus, Enterovirus D68, Poliovirus)
• Herpesviruses (HSV-1, HSV-2, VZV, EBV, CMV)
• Flaviviruses (West Nile virus, Zika, Dengue)
• Mycoplasma pneumoniae, Borrelia burgdorferi, SARS-CoV-2</t>
  </si>
  <si>
    <t>• Preceding viral or bacterial febrile respiratory or GI illness (1-3 weeks prior in 30-60%)
• Vaccinations (extremely rare temporal association)
• Systemic autoimmune disease flares
• Physical / emotional trauma</t>
  </si>
  <si>
    <t>• Multiple sclerosis (in partial / asymmetrical myelitis)
• Neuromyelitis optica spectrum disorder (NMOSD, longitudinally extensive myelitis)
• MOG antibody-associated disease (MOGAD)
• Systemic lupus erythematosus, Sjogren's syndrome</t>
  </si>
  <si>
    <t>• Worldwide (incidence 1-4 per million annually, bimodal age distribution: 10-19 and 30-39 years)</t>
  </si>
  <si>
    <t>• First-line acute therapy: High-dose intravenous methylprednisolone (1 g/day for 3-5 consecutive days)
• Early escalation for severe or steroid-unresponsive motor deficits: Therapeutic Plasma Exchange (PLEX, 5-7 exchanges over 10-14 days)
• Second-line acute rescue: Intravenous immunoglobulin (IVIG) or IV Cyclophosphamide (for SLE/vasculitis-associated myelitis)
• Long-term relapse prevention (tailored to underlying etiology: NMOSD, MOGAD, MS, or connective tissue disease): Rituximab, Azathioprine, Mycophenolate mofetil
• Multidisciplinary neuro-rehabilitation: Aggressive physical therapy, occupational therapy, bowel and bladder management, and neuropathic pain control (gabapentin/pregabalin)</t>
  </si>
  <si>
    <t>Type B insulin resistance syndrome</t>
  </si>
  <si>
    <t>TBIRS; type B insulin resistance; insulin resistance syndrome type B; insulin-resistance syndrome type B; anti-insulin receptor antibody syndrome; insulin receptor autoantibody syndrome; autoimmune insulin receptor disease; autoimmune hypoglycemia due to insulin receptor autoantibodies; AIRAb syndrome; syndromes of autoantibodies to the insulin receptor; anti-insulin receptor antibody-mediated insulin resistance</t>
  </si>
  <si>
    <t>Type B insulin resistance syndrome is an extremely rare, severe autoimmune disorder caused by autoantibodies directed against the insulin receptor. These antibodies block insulin action, causing extreme hyperglycemia and acanthosis nigricans, or periodically stimulate receptors causing severe paradoxical hypoglycemia. The disease is frequently associated with systemic lupus erythematosus and is treated with combination immunotherapy.</t>
  </si>
  <si>
    <t>Severe extreme insulin resistance disorder mediated by circulating polyclonal autoantibodies against the insulin receptor (INSR), blocking insulin binding and receptor kinase activation, leading to refractory hyperglycemia or paradoxical hypoglycemia, frequently associated with SLE. Chapter 41, pp. 582–594.</t>
  </si>
  <si>
    <t>Insulin receptor</t>
  </si>
  <si>
    <t>Skeletal muscle myocytes (45%)
Hepatocytes (35%)
Adipocytes (20%)</t>
  </si>
  <si>
    <t>• Anti-insulin receptor autoantibodies (blocking / stimulatory)</t>
  </si>
  <si>
    <t>• Autoreactive B cells / plasma cells (anti-insulin receptor autoantibodies)
• Autoreactive CD4+ T helper cells</t>
  </si>
  <si>
    <t>1. Systemic autoimmune disease (often SLE) or immune dysregulation stimulates clonal B cells against the insulin receptor.
2. Production of high-titer polyclonal IgG autoantibodies directed against the extracellular α-subunit of the insulin receptor (INSR).
3. Autoantibodies bind the insulin-binding pocket of INSR on target tissues (liver, muscle, adipose), competitively blocking insulin binding.
4. Failure of insulin signaling prevents GLUT4 translocation and downstream metabolic cascades, creating profound, intractable insulin resistance.
5. Extreme hyperinsulinemia, severe refractory hyperglycemia, and diffuse acanthosis nigricans, alternating unpredictably with paradoxically stimulatory hypoglycemia.</t>
  </si>
  <si>
    <t>• Severe, refractory hyperglycemia despite extreme doses of exogenous insulin (&gt;1,000 U/day) (95–100%)
• Rapidly progressive, extensive, velvety acanthosis nigricans in skin folds (80–90%)
• Unexplained marked involuntary weight loss (60–70%)
• Concomitant systemic autoimmune disease (SLE, Sjögren's) (60–70%)
• Signs of hyperandrogenism (severe hirsutism, virilization, amenorrhea) in women (50–60%)</t>
  </si>
  <si>
    <t>• Viral triggers (Hepatitis C virus, EBV)</t>
  </si>
  <si>
    <t>• Severe hyperinsulinemia driving insulin receptor downregulation
• Monoclonal gammopathy / lymphoproliferative disorders
• Systemic autoimmune disease background</t>
  </si>
  <si>
    <t>• Systemic lupus erythematosus (present in &gt;50% of Type B patients)
• Sjogren's syndrome
• Hashimoto's thyroiditis
• Multiple myeloma / Non-Hodgkin lymphoma</t>
  </si>
  <si>
    <t>• Worldwide (extremely rare, &lt;100 cases described in literature, strong predominance in African American females &gt;40)</t>
  </si>
  <si>
    <t>• Multi-agent immunosuppressive protocol (NIH protocol, achieves high remission rate): Combination of High-dose pulse IV methylprednisolone + Rituximab (anti-CD20) + Cyclophosphamide (oral or IV pulses)
• Maintenance immunosuppression: Azathioprine or Mycophenolate mofetil
• Insulin-sensitizing therapies and massive doses of intravenous or subcutaneous regular insulin (often thousands of units daily) during acute hyperosmolar/hyperglycemic states
• Frequent small meals / carbohydrate restriction to avoid postprandial surges
• Monitoring and treatment for paradoxical late hypoglycemic episodes (due to antibody clearance or partial agonist effects)</t>
  </si>
  <si>
    <t>Ulcerative colitis (UC) is an inflammatory bowel disease (IBD) that causes long-lasting inflammation and sores, called ulcers, in the large intestine, including the colon.  When the condition affects the entire digestive tract, it is called Crohn's disease (CD).
Both UC and CD are caused by an autoimmune response that reflects the involvement of the innate and adaptive immune systems. The disease mechanism is complex, but appears to start when a normal immune response to a bacterial infection does not stop properly after the infection is fought off. The resulting inflammation leads to the symptoms of both UC and CD.</t>
  </si>
  <si>
    <t>Chronic inflammatory bowel disease characterized by diffuse mucosal ulceration and inflammation confined to the rectum and colon, marked by immune dysregulation, atypical p-ANCA reactivity, and goblet cell mucin depletion. Chapter 45, pp. 625–642.</t>
  </si>
  <si>
    <t>Perinuclear antineutrophil cytoplasmic antigens (pANCA)
Integrin αvβ6</t>
  </si>
  <si>
    <t>Colonic surface and crypt epithelial cells (colonocytes) (80%)
Goblet cells (20%)</t>
  </si>
  <si>
    <t>• Perinuclear antineutrophil cytoplasmic antibodies (pANCA)
• Anti-integrin αvβ6 autoantibodies</t>
  </si>
  <si>
    <t>• Autoreactive / atypical CD4+ Th2-like and Th17 cells (colonic mucosal infiltration)
• Autoreactive CD8+ cytotoxic T cells
• Autoreactive B cells / plasma cells (pANCA, anti-integrin αvβ6)</t>
  </si>
  <si>
    <t>1. Genetic susceptibility (HLA-DRB1*01:03, IL23R) and environmental factors compromise the colonic mucosal epithelial and mucus (MUC2) barrier.
2. Luminal commensal bacterial antigens translocate into the colonic lamina propria, activating mucosal dendritic cells.
3. Aberrant differentiation of atypical CD4+ Th2-like and Th17 cells producing IL-13, IL-5, and IL-9, which directly impair epithelial barrier function.
4. Massive recruitment of polymorphonuclear neutrophils that infiltrate the crypt epithelium, forming pathognomonic crypt abscesses.
5. Mucosal necrosis, loss of goblet cells, widespread superficial ulcerations, and diffuse continuous colorectal inflammation produce bloody diarrhea and tenesmus.</t>
  </si>
  <si>
    <t>• Chronic bloody diarrhea with visible bright red hematochezia (90–95%)
• Rectal tenesmus and sudden, severe fecal urgency (70–80%)
• Passage of rectal mucus and pus (70–80%)
• Cramping lower abdominal pain relieved by defecation (60–70%)
• Systemic manifestations during flares: low-grade fever, fatigue, anemia (30–40%)</t>
  </si>
  <si>
    <t>1.0 cases per 159 to 204</t>
  </si>
  <si>
    <t>• Enterobacteriaceae / gut microbiota dysbiosis
• Mycobacterium avium paratuberculosis
• Measles virus, Cytomegalovirus</t>
  </si>
  <si>
    <t>• Non-smoking status (cigarette smoking is paradoxically protective against UC; smoking cessation can precipitate flare)
• Appendectomy in childhood (protective against UC development)
• Western diet (high animal protein, processed foods, refined sugar, dietary emulsifiers)
• Early-life broad-spectrum antibiotic exposure</t>
  </si>
  <si>
    <t>• Primary sclerosing cholangitis (PSC, coexists in 5% of UC patients)
• Ankylosing spondylitis / Sacroiliitis
• Psoriasis / Psoriatic arthritis
• Pyoderma gangrenosum, Erythema nodosum
• Autoimmune thyroiditis</t>
  </si>
  <si>
    <t>• North America, Northern/Western Europe, Scandinavia, UK (prevalence 200-300 per 100,000; rising rapidly in newly industrialized nations)</t>
  </si>
  <si>
    <t>• First-line induction and maintenance (mild-to-moderate): 5-Aminosalicylates (Mesalamine oral and rectal suppositories/enemas, Sulfasalazine)
• Short-course induction for moderate-to-severe flares: Oral systemic glucocorticoids (prednisone 40 mg/day) or IV methylprednisolone; Oral budesonide MMX (targeted colonic release)
• Targeted biologics: Anti-TNF agents (Infliximab, Adalimumab, Golimumab), Anti-integrin (Vedolizumab, gut-selective), Anti-IL-12/23 or Anti-IL-23 (Ustekinumab, Mirikizumab)
• Oral targeted small molecules: JAK inhibitors (Tofacitinib, Upadacitinib) and S1P receptor modulators (Ozanimod, Etrasimod)
• Definitive curative surgical intervention: Restorative proctocolectomy with ileal pouch-anal anastomosis (IPAA) for medically refractory colitis, toxic megacolon, or colonic dysplasia</t>
  </si>
  <si>
    <t>UCTD
Undifferentiated connective tissue disease
Undifferentiated connective tissue syndrome</t>
  </si>
  <si>
    <t>Patients of undifferentiated connective tissue disease (UCTD) share some, but not all, symptoms with other connective tissue diseases, such as systemic lupus erythmatosus, systemic sclerosis, dermatomyositis, polymyositis, rheumatoid arthritis, Sjogren's syndrome, and antiphospholipid syndrome.  UCTD is diagnosed when a patient has a positive serum ANA test and shows stable symptoms for a minimum of 3 years.  UCTD is distinct from the other above-mentioned diseases in that the condition remains stable over time without worsening. 30% of patients diagnosed with UCTD will be given a new diagnosis because their disease will not remain stable.</t>
  </si>
  <si>
    <t>Systemic autoimmune condition characterized by clinical manifestations and serological evidence of autoimmune disease (such as Raynaud's phenomenon, arthralgias, and antinuclear antibodies) that do not fulfill established classification criteria for a defined connective tissue disease. Chapter 71, pp. 1022–1032; Chapter 76, pp. 1110–1122.</t>
  </si>
  <si>
    <t>Ro/SSA
La/SSB
RNP
Unknown</t>
  </si>
  <si>
    <t>Vascular endothelial cells (50%)
Synovial fibroblasts (30%)
Dermal keratinocytes / fibroblasts (20%)</t>
  </si>
  <si>
    <t>• Antinuclear antibodies (ANA)
• Anti-Ro/SSA autoantibodies
• Anti-RNP autoantibodies</t>
  </si>
  <si>
    <t>• Autoreactive CD4+ T helper cells
• Autoreactive B cells / plasma cells (ANA, anti-Ro/SSA)
• Autoreactive CD8+ cytotoxic T cells</t>
  </si>
  <si>
    <t>1. Polygenic susceptibility and environmental triggers initiate loss of self-tolerance against nuclear and ribonucleoprotein autoantigens.
2. Plasmablasts synthesize low-to-moderate titers of non-specific antinuclear antibodies (ANA) or isolated anti-Ro/SSA or anti-RNP.
3. Mild, non-destructive immune complex deposition and perivascular lymphocytic infiltration in superficial microvascular and joint tissues.
4. Release of low concentrations of pro-inflammatory cytokines without satisfying full classification criteria for defined systemic rheumatic diseases.
5. Chronic mild symptoms (Raynaud's phenomenon, non-erosive arthralgias, mild leukopenia, cutaneous rash) remaining stable or progressing to a differentiated connective tissue disease.</t>
  </si>
  <si>
    <t>• Absence of organ-threatening manifestations or definitive criteria for specific CTD (100%)
• Symmetrical inflammatory polyarthralgias or mild non-erosive arthritis (70–85%)
• Raynaud's phenomenon (45–60%)
• Mild sicca symptoms (xerophthalmia, xerostomia) (25–35%)
• Non-specific photosensitive cutaneous rashes (20–30%)</t>
  </si>
  <si>
    <t>• Epstein-Barr virus (EBV), Retroviruses
• Parvovirus B19, Cytomegalovirus</t>
  </si>
  <si>
    <t>• Ultraviolet light exposure
• Cigarette smoking
• Occupational chemical exposures (silica, organic solvents)
• Psychological and physical stress</t>
  </si>
  <si>
    <t>• Systemic lupus erythematosus (20-30% progress to definitive SLE)
• Systemic sclerosis
• Sjogren's syndrome
• Rheumatoid arthritis
• Mixed connective tissue disease (MCTD)</t>
  </si>
  <si>
    <t>• Worldwide (prevalence ~20-50 per 100,000, marked female preponderance 9:1, peak age 30-50)</t>
  </si>
  <si>
    <t>• First-line foundational therapy: Hydroxychloroquine (HCQ, 200-400 mg/day, prevents disease progression and relieves arthralgias/fatigue)
• Symptomatic musculoskeletal management: Low-dose oral NSAIDs
• Low-dose oral glucocorticoids (prednisone ≤7.5 mg/day, tapered during quiescent phases)
• Second-line conventional DMARDs: Methotrexate or Azathioprine (for persistent inflammatory arthritis, serositis, or cutaneous lesions)
• Vasodilator therapy: Calcium channel blockers (amlodipine/nifedipine) for secondary Raynaud's phenomenon</t>
  </si>
  <si>
    <t xml:space="preserve">Autoimmune urticaria occurs when the immune system attacks the normal tissues of the body, resulting in hives. The condition becomes chronic when the lesions persists longer than 6 weeks. Chronic autoimmune urticaria has been found to be associated with autoimmune thyroid disease.
Urticaria can also be caused by allergic reaction to plants like poison ivy, dyes found in clothing, and cosmetics. An allergic reaction is not an autoimmune disease because there is no involvement by the adaptive immune system and auto-antibodies that attack your own cells are not involved. There are antibodies (IgE antibodies), but they target the invading molecules (e.g., poison ivy), not the cells in the skin. In autoimmune urticaria, the antibodies created are attacking the skin itself, not an invading molecule. 
</t>
  </si>
  <si>
    <t>Leukocytoclastic vasculitis of post-capillary venules presenting with persistent wheals lasting &gt;24 hours and purpuric lesions; subdivided into normocomplementemic and hypocomplementemic forms, the latter frequently featuring anti-C1q autoantibodies and multiorgan involvement. Chapter 72, pp. 1048–1058.</t>
  </si>
  <si>
    <t>C1q (collagen-like region)
Unknown</t>
  </si>
  <si>
    <t>Dermal postcapillary venular endothelial cells (75%)
Perivascular mast cells (25%)</t>
  </si>
  <si>
    <t>• Anti-C1q autoantibodies
• Antinuclear antibodies (ANA)</t>
  </si>
  <si>
    <t>• Autoreactive B cells / plasma cells (anti-C1q autoantibodies, hypocomplementemic)
• Autoreactive CD4+ T helper cells
• Autoreactive CD8+ cytotoxic T cells</t>
  </si>
  <si>
    <t>1. Exposure to medications, infections, or underlying autoimmune disease (SLE, Sjögren's) stimulates autoantibody production against C1q.
2. Formation of circulating antigen-antibody or anti-C1q immune complexes that deposit within postcapillary venules of the dermis.
3. Classical complement cascade activation (profound hypocomplementemia with low C1q, C3, and C4) generates anaphylatoxins C3a and C5a.
4. Degranulation of perivascular mast cells and marked recruitment of polymorphonuclear neutrophils.
5. Neutrophil leukocytoclasia, endothelial necrosis, and fibrinoid vessel wall destruction produce persistent (&gt;24 h), tender, burning urticarial wheals with purpura and hyperpigmentation.</t>
  </si>
  <si>
    <t>• Chronic, recurrent urticarial wheals persisting &gt;24–48 hours per individual lesion (95–100%)
• Burning, tenderness, or painful dysesthesia rather than pure pruritus (70–80%)
• Post-inflammatory purpura, ecchymosis, or hyperpigmentation upon healing (60–75%)
• Concomitant angioedema (40–50%)
• Systemic features: arthralgias, abdominal pain, glomerulonephritis (hypocomplementemic variant) (40–50%)</t>
  </si>
  <si>
    <t>• Hepatitis B virus, Hepatitis C virus
• Epstein-Barr virus, Parvovirus B19
• Helicobacter pylori</t>
  </si>
  <si>
    <t>• Medications (penicillins, sulfonamides, NSAIDs, thiazides, propylthiouracil)
• Cold temperature exposure (in cryoglobulinemic urticarial vasculitis)
• Serum sickness / foreign antigens
• Cigarette smoking</t>
  </si>
  <si>
    <t>• Systemic lupus erythematosus (hypocomplementemic urticarial vasculitis syndrome [HUVS] has &gt;50% SLE overlap)
• Sjogren's syndrome
• Rheumatoid arthritis
• Celiac disease</t>
  </si>
  <si>
    <t>• Worldwide (uncommon, estimated 1-2% of patients with chronic urticaria, female predominance 60-70%)</t>
  </si>
  <si>
    <t>• Normocomplementemic / mild disease: Second-generation H1 antihistamines + H2 antihistamines + Indomethacin or Colchicine
• Moderate disease / recurrent flares: Dapsone or Hydroxychloroquine
• Severe / hypocomplementemic (HUVS) with renal or pulmonary involvement: High-dose systemic glucocorticoids (prednisone 0.5-1 mg/kg/day)
• Immunosuppressive steroid-sparing DMARDs: Azathioprine, Methotrexate, or Mycophenolate mofetil
• Targeted biologics: Omalizumab (anti-IgE), Rituximab (anti-CD20), or Anti-IL-1 agents (Anakinra) for refractory hypocomplementemic vasculitis</t>
  </si>
  <si>
    <t>Uveitis
Autoimmune uveitis
Idiopathic uveitis</t>
  </si>
  <si>
    <t>Uveitis is an inflammation of the uvea - a set of tissues that form a layer of eyeball that sits between the outer layers of the eye and the "vitreous chamber", which forms the main body of the eye. The uvea itself has several kinds of tissue that can be affected by immune processes, all of which are called uveitis. About half of people who receive a diagnosis of uveitis have an autoimmune form of the disease. Uveitis is a term that means "inflammation of the uvea", and not all forms of uveitis are autoimmune, and not all individuals diagnosed with uveitis have an autoimmune form of uveitis. 
The most common form of autoimmune uveitis is &lt;a href="&lt;a href="https://diseases.autoimmuneregistry.org/Disease_Profile/intermediate-uveitis"&gt;intermediate uveitis&lt;/a&gt;.</t>
  </si>
  <si>
    <t>Substantial evidence exists that autoimmune diseases may also be initiated or aggravated by infection. This happens presumably when nonspecific polyclonal activation of the immune system, either by virus or immunostimulatory agents such as Gram-negative bacterial cell wall components, overwhelms the normal regulatory mechanisms and permits “forbidden clones” of cells to proliferate and cause tissue damage. The molecular mimicry theory states that structural similarity between invading organisms and organ tissue components may lead to persistence of the inflammatory response even after the inciting agent has been quickly cleared. This has been postulated as a mechanism for uveitis. The primary amino acid sequence of hepatitis B virus DNA polymerase shows sequence homology to the retinal S-antigen.</t>
  </si>
  <si>
    <t>Uveal tract vascular and stromal cells (iris, ciliary body, choroid) (60%)
Retinal pigment epithelium (RPE) cells (40%)</t>
  </si>
  <si>
    <t>• Anti-retinal S-antigen autoantibodies
• Anti-interphotoreceptor retinoid-binding protein (anti-IRBP) autoantibodies</t>
  </si>
  <si>
    <t>• Autoreactive CD4+ Th1 and Th17 cells (retinal S-antigen / IRBP-specific)
• Autoreactive CD8+ cytotoxic T cells
• Autoreactive B cells / plasma cells</t>
  </si>
  <si>
    <t>1. Breakdown of blood-ocular barrier immune privilege triggered by systemic autoimmune diseases (spondyloarthritis, sarcoidosis, Behcet's) or autoantigens (retinal S-Ag).
2. Clonal expansion and intraocular trafficking of autoreactive CD4+ Th1 (producing IFN-γ) and Th17 (producing IL-17A) lymphocytes.
3. Infiltration of the iris, ciliary body, and/or choroid by lymphocytes, macrophages, and neutrophils.
4. Inflammatory cytokine secretion increases microvascular permeability, allowing protein leakage and inflammatory cells into the anterior chamber or vitreous.
5. Ciliary spasm, iris adhesions (synechiae), corneal endothelial keratic precipitates, macular edema, and secondary glaucoma cause painful visual impairment.</t>
  </si>
  <si>
    <t>• Aqueous flare and keratic precipitates on slit-lamp exam (90–100%)
• Vitreous floaters, specks, and hazy vision (80–90% in intermediate/posterior uveitis)
• Acute or insidious blurred vision and visual acuity decrease (70–85%)
• Marked photophobia and deep ocular pain (ciliary spasm) (70–80% in anterior uveitis)
• Ciliary flush / perilimbal conjunctival injection (70–80% in anterior uveitis)</t>
  </si>
  <si>
    <t>1.0 cases per 870 to 2,600</t>
  </si>
  <si>
    <t>1.0 cases per 969</t>
  </si>
  <si>
    <t>• Toxoplasma gondii, Cytomegalovirus (CMV)
• Herpes simplex virus (HSV), Varicella zoster (VZV)
• Mycobacterium tuberculosis, Treponema pallidum
• Borrelia burgdorferi, Bartonella henselae</t>
  </si>
  <si>
    <t>• Blunt or penetrating ocular trauma (triggers sympathetic ophthalmia)
• Intraocular surgery (cataract, vitrectomy)
• Cigarette smoking (strongly increases risk of non-infectious uveitis flares)
• Chronic psychological / physical stress</t>
  </si>
  <si>
    <t>• Ankylosing spondylitis (acute anterior uveitis in up to 40%)
• Behçet's disease (recurrent panuveitis / retinal vasculitis)
• Sarcoidosis (granulomatous uveitis in 20-30%)
• Inflammatory bowel disease (Crohn's, UC)
• Juvenile idiopathic arthritis (JIA-associated chronic anterior uveitis)</t>
  </si>
  <si>
    <t>• Worldwide (prevalence ~38-115 per 100,000, 3rd leading cause of preventable blindness in developed world)</t>
  </si>
  <si>
    <t>• Anterior uveitis: High-potency topical corticosteroid eye drops (Prednisolone acetate 1% or Durezol) + Cycloplegic drops (cyclopentolate, atropine)
• Intermediate, posterior, or panuveitis: Periocular / intravitreal corticosteroid injections (triamcinolone) or Sustained-release intravitreal steroid implants (Ozurdex, Yutiq)
• Systemic glucocorticoids: Oral prednisone (1 mg/kg/day with slow taper)
• First-line steroid-sparing conventional DMARDs: Methotrexate, Mycophenolate mofetil, Azathioprine, Cyclosporine A
• Targeted biologics: Adalimumab (anti-TNF monoclonal antibody, FDA-approved for non-infectious intermediate, posterior, and panuveitis) or Infliximab</t>
  </si>
  <si>
    <t>Vitiligo
Leukoderma</t>
  </si>
  <si>
    <t>Vitiligo is a disease that causes the loss of skin color in blotches. The extent and rate of color loss from vitiligo is unpredictable. It can affect the skin on any part of your body. It may also affect hair, the inside of the mouth, and even the eyes.
Normally, the color of hair, skin, and eyes is determined by melanin. Vitiligo occurs when the cells that produce melanin die or stop functioning.</t>
  </si>
  <si>
    <t>The use of melanocyte antibodies as markers of vitiligo activity is a controversial subject. While a recent study reported no correlation between the presence of antibodies and recent disease activity or different clinical parameters (e.g., age, gender, extension, and duration of vitiligo) (Kroon et al., 2012), other reports found the incidence and/or level of melanocyte antibodies linked to the activity and extent of vitiligo (Naughton et al., 1986; Aronson and Hashimoto, 1987; Harning et al., 1991; Yu et al., 1993; Kemp et al., 2011). autoantibody to SOX9 and SOX10 was reported in patients with ... vitiligo</t>
  </si>
  <si>
    <t>Tyrosinase
Tyrosinase-related protein 1 (TRP-1)
Tyrosinase-related protein 2 (TRP-2)
SOX9
SOX10</t>
  </si>
  <si>
    <t>Epidermal melanocytes (basal layer of epidermis) (100%)</t>
  </si>
  <si>
    <t>• Anti-tyrosinase autoantibodies
• Anti-TRP-1 &amp; anti-TRP-2 autoantibodies
• Anti-SOX9 &amp; anti-SOX10 autoantibodies</t>
  </si>
  <si>
    <t>• Autoreactive CD8+ cytotoxic T cells (melanocyte destruction, MART-1 / tyrosinase-specific)
• Autoreactive CD4+ Th1 cells (IFN-γ production)
• Autoreactive B cells / plasma cells (anti-tyrosinase, anti-SOX9/10)</t>
  </si>
  <si>
    <t>1. Genetic risk (HLA-A*02, NLRP1, TYR) combined with oxidative stress in epidermal melanocytes generates reactive oxygen species (ROS).
2. Stressed melanocytes release heat shock protein 70 (HSP70) and damage-associated molecular patterns, activating dermal dendritic cells.
3. Dendritic cells prime and polarize autoreactive CD8+ cytotoxic T cells specific for melanocyte differentiation antigens (tyrosinase, MART-1).
4. CD8+ T cells home to the basal epidermis via CXCR3-CXCL10 chemokine signaling and secrete IFN-γ and TNF-α.
5. Perforin/granzyme-mediated targeted apoptosis of epidermal and follicular melanocytes results in total loss of melanin pigment and depigmented cutaneous macules.</t>
  </si>
  <si>
    <t>• Completely amelanotic (chalk-white or milk-white) well-demarcated macules and patches (95–100%)
• Absence of erythema, induration, or epidermal scaling (95–100%)
• Symmetrical predilection for periorificial areas, extensor surfaces, hands, and feet (80–90%)
• Poliosis: localized whitening of hair, eyebrows, or eyelashes (20–30%)
• Positive Koebner phenomenon / lesions induced by friction (20–30%)</t>
  </si>
  <si>
    <t>1.0 cases per 50 to 200</t>
  </si>
  <si>
    <t>• Cytomegalovirus (CMV), Epstein-Barr virus
• Hepatitis C virus, HIV
• Varicella zoster virus</t>
  </si>
  <si>
    <t>• Physical skin friction / pressure / repeated trauma (Koebner phenomenon)
• Severe emotional distress / psychological trauma
• Severe sunburn or chemical skin bleaching (phenols, catechols)
• Oxidative stress and environmental industrial chemicals</t>
  </si>
  <si>
    <t>• Autoimmune thyroiditis (Hashimoto's / Graves', present in 15-25% of vitiligo patients)
• Alopecia areata
• Type 1 diabetes
• Pernicious anemia
• Addison's disease (APS-1, APS-2)
• Rheumatoid arthritis</t>
  </si>
  <si>
    <t>• Worldwide (prevalence 0.5-2.0% across all populations; higher reporting in India, Romania, Egypt)</t>
  </si>
  <si>
    <t>• First-line topical targeted therapy: Ruxolitinib cream 1.5% (topical JAK1/2 inhibitor, FDA-approved for nonsegmental vitiligo in patients ≥12 years)
• Topical anti-inflammatory agents: High-potency topical corticosteroids and Topical calcineurin inhibitors (tacrolimus 0.1%, pimecrolimus)
• Phototherapy: Narrowband UVB (NB-UVB, whole-body or targeted excimer laser 308 nm, gold standard for widespread active disease)
• Rapidly progressive active disease: Low-dose oral systemic corticosteroid mini-pulse therapy (dexamethasone or betamethasone on 2 consecutive days per week for 3-6 months)
• Surgical melanocyte transplantation: Autologous non-cultured epidermal cell suspension (NCES) or suction blister grafting (for stable segmental vitiligo)</t>
  </si>
  <si>
    <t>Vogt-Koyanagi-Harada (VKH), is a rare disease that affects multiple systems including the nervous system and skin. The disease results in rapid vision loss as well as loss of hearing and hair. Although the cause of VKH is unknown, researchers believe that it is an immune response to a genetic defect of the Human Leukocyte antigen (HLA). Other researchers believe that there may be a genetic predisposition for VKH and may only be expressed by an environmental trigger.
There are numerous autoimmune diseases that are associated with posterior uveitis: Behcet's disease, systemic lupus erythematosus, polyarteritis nodosa, Wegener's granulomatosis, sarcoidosis, syphilis, and Vogt–Koyanagi–Harada syndrome.</t>
  </si>
  <si>
    <t>Multisystem autoimmune disorder characterized by bilateral chronic granulomatous panuveitis, exudative retinal detachment, poliosis, vitiligo, and aseptic meningitis, mediated by autoreactive CD4+ T cells targeting melanocyte-specific antigens in HLA-DR4-positive individuals. Chapter 55, pp. 780–790.</t>
  </si>
  <si>
    <t>Melanocyte-associated antigens (tyrosinase family, TRP-1, TRP-2)
Melan-A/MART-1</t>
  </si>
  <si>
    <t>Uveal, cutaneous, and inner ear melanocytes (100%)</t>
  </si>
  <si>
    <t>• Anti-melanocyte autoantibodies (anti-tyrosinase family, anti-TRP-1/TRP-2)
• Anti-Melan-A/MART-1 autoantibodies</t>
  </si>
  <si>
    <t>• Autoreactive CD4+ Th1 / Th17 cells (melanocyte-associated antigens, HLA-DR4-restricted)
• Autoreactive CD8+ cytotoxic T cells (uveal, cutaneous, inner ear melanocyte lysis)
• Autoreactive B cells / plasma cells (anti-tyrosinase family, anti-Melan-A)</t>
  </si>
  <si>
    <t>1. Strong genetic association with HLA-DRB1*04:05 and HLA-DR4 alleles primes an immune response against melanocyte-specific antigens.
2. Viral trigger or molecular mimicry breaks tolerance to melanocyte proteins (tyrosinase family, MART-1/Melan-A).
3. Infiltration of melanocyte-bearing tissues (uvea, meninges, inner ear, hair follicles) by autoreactive CD4+ Th1/Th17 and CD8+ cytotoxic T cells.
4. Cytotoxic T-cell- and cytokine-mediated destruction of stromal melanocytes throughout the eye, inner ear, skin, and central nervous system.
5. Bilateral diffuse granulomatous panuveitis with exudative retinal detachments, aseptic meningitis, sensorineural dysacusis, poliosis, and vitiligo.</t>
  </si>
  <si>
    <t>• Bilateral chronic granulomatous panuveitis with exudative retinal detachments (90–100%)
• Meningismus, severe headache, and CSF pleocytosis (70–80%)
• Auditory symptoms: sensorineural hearing loss, tinnitus, vertigo (60–70%)
• Sunset-glow fundus in chronic convalescent stage (60–70%)
• Integumentary signs: poliosis, alopecia, vitiligo (40–50%)</t>
  </si>
  <si>
    <t>1.0 cases per 166,667 to 666,667</t>
  </si>
  <si>
    <t>1.0 cases per 166,667 to 666,667
In the United States, the incidence of VKHD is approximately 1.5 to 6 per 1 million patients</t>
  </si>
  <si>
    <t>• Cytomegalovirus, Epstein-Barr virus (EBV)
• Human herpesvirus 6 (HHV-6)
• Viral prodromes (unspecified)</t>
  </si>
  <si>
    <t>• Strong genetic association with HLA-DRB1*04:05 and HLA-DR4
• Viral respiratory prodrome (triggers initial autoimmune response)
• Physical or emotional stress</t>
  </si>
  <si>
    <t>• Autoimmune thyroiditis (Hashimoto's)
• Alopecia areata
• Vitiligo
• Type 1 diabetes
• Polyglandular autoimmune syndrome</t>
  </si>
  <si>
    <t>• East Asia (Japan, China, Korea), Southeast Asia, Middle East, Latin America, Native American populations (rare in Caucasians and Africans)</t>
  </si>
  <si>
    <t>• Acute uveitic phase: IMMEDIATE High-dose intravenous methylprednisolone (1 g/day for 3-5 days) followed by high-dose oral prednisone (1-1.5 mg/kg/day with prolonged, very slow taper over 6-12 months to prevent recurrence)
• Early initiation of conventional DMARDs: Cyclosporine A, Tacrolimus, Methotrexate, or Mycophenolate mofetil
• Second-line targeted biologics: Anti-TNF agents (Adalimumab, Infliximab) for steroid-refractory panuveitis or exudative retinal detachments
• Adjunctive topical therapy: Topical high-potency corticosteroid drops + Cycloplegic eye drops (atropine)
• Auditory and dermatologic support: Hearing aids for sensorineural hearing loss; photoprotection for integumentary lesions</t>
  </si>
  <si>
    <t>Warm autoimmune hemolytic anemia
Acquired autoimmune hemolytic anemia
Idiopathic autoimmune hemolytic anemia
Immune hemolytic anemia
Immunohemolytic anemia</t>
  </si>
  <si>
    <t xml:space="preserve">Warm autoimmune hemolytic anemia is caused when a person's antibodies attack and destroy their red blood cells.  Unlike &lt;a href="/Disease_Profile/cold-agglutinin-disease.aspx"&gt;cold agglutinin disease&lt;/a&gt;, the autoimmune destruction of cells occurs when a person's body temperature is normal or above normal.  It leads to low red blood cell levels in the body.  
Some cases of this disease are caused by medications and are not autoimmune.  </t>
  </si>
  <si>
    <t>Warm autoantibodies are the commonest cause of AIHA and react as well, or more strongly, with RBC at 37°C than at lower temperatures (Sokol et al., 1992; Packman, 2008). Most are of the IgG class and cause extravascular hemolysis, predominantly by Fc receptor (FcγR)-mediated phagocytosis (Engelfriet et al., 1981; Petz and Garratty, 2004b; Packman, 2008). The complement regulators on the RBC membrane (Ruiz-Argüelles and Llorente, 2007) typically prevent MAC formation, but deposition of C3b and C3d is common and can strongly enhance opsonization (Kurlander et al., 1978) by interacting with specific receptors including CR1 and CR3 (Ross and Medof, 1985). Although blood monocytes and hepatic Kupffer cells also express appropriate sets of receptors, splenic macrophages are the main effectors of RBC destruction (Engelfriet et al., 1981; Petz and Garratty, 2004b; Packman, 2008). Some sensitized RBC may be only partially phagocytosed and released back into the circulation as spherocytes, which have a short half-life (Garratty, 1983). Between 22% (Dausset and Colombani, 1959) and 81% (Pirofsky, 1976) of warm AIHA cases have been reported to be secondary, varying with different interpretations of this classification. The most common associations are with other immune-based conditions, most notably ulcerative colitis, rheumatoid arthritis, and systemic lupus erythematosus (SLE), with neoplasia, particularly chronic lymphocytic leukemia (CLL), and with a variety of infectious diseases (Sokol et al., 1992; Petz and Garratty, 2004a).</t>
  </si>
  <si>
    <t>Rh blood group antigens (Rh polypeptide complex)</t>
  </si>
  <si>
    <t>• Anti-erythrocyte autoantibodies (warm IgG targeting Rh complex antigens)</t>
  </si>
  <si>
    <t>• Autoreactive B cells / plasma cells (anti-Rh complex IgG)
• Autoreactive CD4+ T helper cells (Rh polypeptide-specific)</t>
  </si>
  <si>
    <t>1. Breakdown of B-cell tolerance in idiopathic settings or secondary to lymphoproliferative disorders or SLE produces warm-reacting autoantibodies.
2. Clonal B cells synthesize polyclonal IgG autoantibodies (predominantly IgG1 and IgG3) directed against the Rh polypeptide complex on erythrocytes.
3. IgG autoantibodies bind red blood cell surface antigens with high affinity at core body temperature (37°C).
4. Fc regions of erythrocyte-bound IgG are recognized by Fcγ receptors (FcγRI, FcγRIIa) on splenic red pulp macrophages, with or without C3b deposition.
5. Splenic macrophages partially phagocytose erythrocyte membranes, creating rigid, non-deformable spherocytes that undergo premature extravascular splenic destruction.</t>
  </si>
  <si>
    <t>• Rapid-onset fatigue, severe asthenia, and exertional dyspnea (90–95%)
• Scleral icterus, jaundice, and pale skin (60–75%)
• Tachycardia, wide pulse pressure, and systolic hemic flow murmur (50–60%)
• Palpable splenomegaly (45–55%)
• Dark tea- or cola-colored urine (40–50%)</t>
  </si>
  <si>
    <t>1.0 cases per 7,692 to 9,091</t>
  </si>
  <si>
    <t>• Mycoplasma pneumoniae, Epstein-Barr virus (EBV)
• Cytomegalovirus, Hepatitis C virus
• Human immunodeficiency virus (HIV)</t>
  </si>
  <si>
    <t>• Medications (alpha-methyldopa, high-dose IV penicillin, cephalosporins, fludarabine, checkpoint inhibitors)
• Core body temperature of 37°C (antibodies react maximally at normal physiological body temperature)
• Underlying lymphoproliferative disorders (CLL, non-Hodgkin lymphoma)
• Pregnancy / postpartum period</t>
  </si>
  <si>
    <t>• Systemic lupus erythematosus (coexists in 10-20% of warm AIHA patients)
• Immune thrombocytopenia (Evans syndrome: warm AIHA + ITP)
• Sjogren's syndrome
• Rheumatoid arthritis
• Ulcerative colitis, Autoimmune thyroiditis</t>
  </si>
  <si>
    <t>• Worldwide (annual incidence 1-3 per 100,000; slight female predominance; peak age &gt;50-60 years)</t>
  </si>
  <si>
    <t>• First-line standard therapy: Systemic glucocorticoids (oral Prednisone 1.0-1.5 mg/kg/day; or IV pulse methylprednisolone for severe acute hemolysis; 70-80% initial response rate)
• Second-line standard of care: Rituximab (anti-CD20 monoclonal antibody, 375 mg/m2 weekly x 4 doses, or 1000 mg on days 1 and 15; can be combined early with steroids in severe cases)
• Splenectomy (surgical removal of primary site of extravascular hemolysis, effective second-line option for rituximab-refractory patients)
• Third-line immunosuppressive DMARDs: Azathioprine, Mycophenolate mofetil, Cyclosporine A, or Cyclophosphamide
• Supportive transfusion care: Packed red blood cells (transfuse "least incompatible" blood slowly with patient monitoring in severe symptomatic anemia) + High-dose folic acid (1-5 mg/day)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</si>
</sst>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00_);_(* \(#,##0.00\);_(* &quot;-&quot;??_);_(@_)"/>
    <numFmt numFmtId="165" formatCode="0.0"/>
    <numFmt numFmtId="166" formatCode="_(* #,##0_);_(* \(#,##0\);_(* &quot;-&quot;??_);_(@_)"/>
    <numFmt numFmtId="167" formatCode="_(* #,##0.0000000_);_(* \(#,##0.0000000\);_(* &quot;-&quot;??_);_(@_)"/>
  </numFmts>
  <fonts count="169">
    <font>
      <sz val="11.0"/>
      <color theme="1"/>
      <name val="Calibri"/>
      <scheme val="minor"/>
    </font>
    <font>
      <b/>
      <sz val="32.0"/>
      <color rgb="FFFFFFFF"/>
      <name val="Calibri"/>
    </font>
    <font>
      <b/>
      <sz val="58.0"/>
      <color rgb="FFFFFFFF"/>
      <name val="Calibri"/>
    </font>
    <font>
      <b/>
      <sz val="25.0"/>
      <color rgb="FFFFFFFF"/>
      <name val="Calibri"/>
    </font>
    <font>
      <b/>
      <sz val="11.0"/>
      <color rgb="FFFFFFFF"/>
      <name val="Calibri"/>
    </font>
    <font>
      <b/>
      <sz val="53.0"/>
      <color rgb="FFFFFFFF"/>
      <name val="Calibri"/>
    </font>
    <font>
      <b/>
      <sz val="11.0"/>
      <color rgb="FF000000"/>
      <name val="Calibri"/>
    </font>
    <font>
      <b/>
      <sz val="48.0"/>
      <color rgb="FFFFFFFF"/>
      <name val="Calibri"/>
    </font>
    <font>
      <sz val="21.0"/>
      <color rgb="FFFFFFFF"/>
      <name val="Calibri"/>
    </font>
    <font>
      <b/>
      <sz val="24.0"/>
      <color rgb="FFFFFFFF"/>
      <name val="Calibri"/>
    </font>
    <font>
      <b/>
      <sz val="69.0"/>
      <color rgb="FFFFFFFF"/>
      <name val="Calibri"/>
    </font>
    <font>
      <b/>
      <sz val="38.0"/>
      <color rgb="FF000000"/>
      <name val="Calibri"/>
    </font>
    <font>
      <b/>
      <sz val="11.0"/>
      <color theme="1"/>
      <name val="Calibri"/>
    </font>
    <font>
      <sz val="11.0"/>
      <color theme="1"/>
      <name val="Calibri"/>
    </font>
    <font>
      <b/>
      <sz val="69.0"/>
      <color rgb="FF000000"/>
      <name val="Calibri"/>
    </font>
    <font>
      <color theme="1"/>
      <name val="Calibri"/>
      <scheme val="minor"/>
    </font>
    <font>
      <b/>
      <sz val="77.0"/>
      <color rgb="FFFFFFFF"/>
      <name val="Calibri"/>
    </font>
    <font>
      <b/>
      <sz val="12.0"/>
      <color rgb="FF000000"/>
      <name val="Calibri"/>
    </font>
    <font>
      <b/>
      <sz val="20.0"/>
      <color rgb="FFFFFFFF"/>
      <name val="Calibri"/>
    </font>
    <font>
      <b/>
      <sz val="19.0"/>
      <color rgb="FFFFFFFF"/>
      <name val="Calibri"/>
    </font>
    <font>
      <b/>
      <sz val="18.0"/>
      <color theme="1"/>
      <name val="Calibri"/>
    </font>
    <font>
      <b/>
      <sz val="28.0"/>
      <color theme="1"/>
      <name val="Calibri"/>
    </font>
    <font>
      <b/>
      <sz val="18.0"/>
      <color rgb="FF000000"/>
      <name val="Calibri"/>
    </font>
    <font>
      <b/>
      <sz val="28.0"/>
      <color rgb="FF000000"/>
      <name val="Calibri"/>
    </font>
    <font>
      <b/>
      <sz val="20.0"/>
      <color rgb="FF000000"/>
      <name val="Calibri"/>
    </font>
    <font>
      <b/>
      <sz val="19.0"/>
      <color rgb="FF000000"/>
      <name val="Calibri"/>
    </font>
    <font>
      <b/>
      <sz val="39.0"/>
      <color rgb="FF000000"/>
      <name val="Calibri"/>
    </font>
    <font>
      <b/>
      <sz val="40.0"/>
      <color rgb="FF000000"/>
      <name val="Calibri"/>
    </font>
    <font>
      <b/>
      <sz val="33.0"/>
      <color rgb="FFFFFFFF"/>
      <name val="Calibri"/>
    </font>
    <font>
      <sz val="22.0"/>
      <color rgb="FFFFFFFF"/>
      <name val="Calibri"/>
    </font>
    <font>
      <sz val="18.0"/>
      <color rgb="FFFFFFFF"/>
      <name val="Calibri"/>
    </font>
    <font>
      <sz val="29.0"/>
      <color rgb="FFFFFFFF"/>
      <name val="Calibri"/>
    </font>
    <font>
      <sz val="17.0"/>
      <color rgb="FFFFFFFF"/>
      <name val="Calibri"/>
    </font>
    <font>
      <sz val="69.0"/>
      <color rgb="FFFFFFFF"/>
      <name val="Calibri"/>
    </font>
    <font>
      <sz val="38.0"/>
      <color rgb="FFFFFFFF"/>
      <name val="Calibri"/>
    </font>
    <font>
      <sz val="23.0"/>
      <color rgb="FFFFFFFF"/>
      <name val="Calibri"/>
    </font>
    <font>
      <sz val="16.0"/>
      <color rgb="FFFFFFFF"/>
      <name val="Calibri"/>
    </font>
    <font>
      <b/>
      <sz val="11.0"/>
      <color rgb="FFFF0000"/>
      <name val="Calibri"/>
    </font>
    <font>
      <color rgb="FFFFFFFF"/>
      <name val="Calibri"/>
      <scheme val="minor"/>
    </font>
    <font>
      <u/>
      <sz val="20.0"/>
      <color rgb="FFFFFFFF"/>
      <name val="Calibri"/>
    </font>
    <font>
      <u/>
      <sz val="20.0"/>
      <color rgb="FFFFFFFF"/>
      <name val="Calibri"/>
    </font>
    <font>
      <sz val="20.0"/>
      <color rgb="FFFFFFFF"/>
      <name val="Calibri"/>
    </font>
    <font>
      <sz val="28.0"/>
      <color rgb="FFFFFFFF"/>
      <name val="Calibri"/>
    </font>
    <font>
      <sz val="20.0"/>
      <color rgb="FF000000"/>
      <name val="Calibri"/>
    </font>
    <font>
      <sz val="19.0"/>
      <color rgb="FF000000"/>
      <name val="Calibri"/>
    </font>
    <font>
      <sz val="40.0"/>
      <color rgb="FFFFFFFF"/>
      <name val="Calibri"/>
    </font>
    <font>
      <b/>
      <sz val="27.0"/>
      <color rgb="FFFFFFFF"/>
      <name val="Calibri"/>
    </font>
    <font>
      <sz val="22.0"/>
      <color theme="1"/>
      <name val="Calibri"/>
    </font>
    <font>
      <sz val="18.0"/>
      <color theme="1"/>
      <name val="Calibri"/>
    </font>
    <font>
      <sz val="29.0"/>
      <color theme="1"/>
      <name val="Calibri"/>
    </font>
    <font>
      <sz val="17.0"/>
      <color theme="1"/>
      <name val="Calibri"/>
    </font>
    <font>
      <sz val="69.0"/>
      <color theme="1"/>
      <name val="Calibri"/>
    </font>
    <font>
      <sz val="38.0"/>
      <color theme="1"/>
      <name val="Calibri"/>
    </font>
    <font>
      <sz val="23.0"/>
      <color theme="1"/>
      <name val="Calibri"/>
    </font>
    <font>
      <sz val="16.0"/>
      <color theme="1"/>
      <name val="Calibri"/>
    </font>
    <font>
      <u/>
      <sz val="20.0"/>
      <color rgb="FF0000FF"/>
      <name val="Calibri"/>
    </font>
    <font>
      <u/>
      <sz val="20.0"/>
      <color rgb="FF0000FF"/>
      <name val="Calibri"/>
    </font>
    <font>
      <sz val="20.0"/>
      <color theme="1"/>
      <name val="Calibri"/>
    </font>
    <font>
      <sz val="28.0"/>
      <color theme="1"/>
      <name val="Calibri"/>
    </font>
    <font>
      <sz val="40.0"/>
      <color theme="1"/>
      <name val="Calibri"/>
    </font>
    <font>
      <sz val="33.0"/>
      <color theme="1"/>
      <name val="Calibri"/>
    </font>
    <font>
      <sz val="27.0"/>
      <color theme="1"/>
      <name val="Calibri"/>
    </font>
    <font>
      <u/>
      <sz val="20.0"/>
      <color rgb="FFFFFFFF"/>
      <name val="Calibri"/>
    </font>
    <font>
      <u/>
      <sz val="20.0"/>
      <color rgb="FFFFFFFF"/>
      <name val="Calibri"/>
    </font>
    <font>
      <sz val="33.0"/>
      <color rgb="FFFFFFFF"/>
      <name val="Calibri"/>
    </font>
    <font>
      <sz val="27.0"/>
      <color rgb="FFFFFFFF"/>
      <name val="Calibri"/>
    </font>
    <font>
      <u/>
      <sz val="20.0"/>
      <color theme="1"/>
      <name val="Calibri"/>
    </font>
    <font>
      <u/>
      <sz val="20.0"/>
      <color theme="10"/>
      <name val="Calibri"/>
    </font>
    <font>
      <u/>
      <sz val="20.0"/>
      <color theme="1"/>
      <name val="Calibri"/>
    </font>
    <font>
      <u/>
      <sz val="20.0"/>
      <color rgb="FF0000FF"/>
      <name val="Calibri"/>
    </font>
    <font>
      <u/>
      <sz val="20.0"/>
      <color theme="1"/>
      <name val="Calibri"/>
    </font>
    <font>
      <u/>
      <sz val="20.0"/>
      <color theme="10"/>
      <name val="Calibri"/>
    </font>
    <font>
      <b/>
      <sz val="33.0"/>
      <color theme="1"/>
      <name val="Calibri"/>
    </font>
    <font>
      <b/>
      <sz val="27.0"/>
      <color theme="1"/>
      <name val="Calibri"/>
    </font>
    <font>
      <sz val="22.0"/>
      <color rgb="FF000000"/>
      <name val="Arial"/>
    </font>
    <font>
      <u/>
      <sz val="20.0"/>
      <color theme="10"/>
      <name val="Calibri"/>
    </font>
    <font>
      <u/>
      <sz val="20.0"/>
      <color rgb="FFFFFFFF"/>
      <name val="Calibri"/>
    </font>
    <font>
      <u/>
      <sz val="20.0"/>
      <color rgb="FFFFFFFF"/>
      <name val="Calibri"/>
    </font>
    <font>
      <u/>
      <sz val="20.0"/>
      <color theme="1"/>
      <name val="Calibri"/>
    </font>
    <font>
      <u/>
      <sz val="20.0"/>
      <color rgb="FF0000FF"/>
      <name val="Calibri"/>
    </font>
    <font>
      <u/>
      <sz val="20.0"/>
      <color theme="1"/>
      <name val="Calibri"/>
    </font>
    <font>
      <u/>
      <sz val="20.0"/>
      <color rgb="FF0000FF"/>
      <name val="Calibri"/>
    </font>
    <font>
      <u/>
      <sz val="33.0"/>
      <color theme="10"/>
      <name val="Calibri"/>
    </font>
    <font>
      <u/>
      <sz val="27.0"/>
      <color theme="10"/>
      <name val="Calibri"/>
    </font>
    <font>
      <u/>
      <sz val="20.0"/>
      <color rgb="FFFFFFFF"/>
      <name val="Calibri"/>
    </font>
    <font>
      <u/>
      <sz val="20.0"/>
      <color rgb="FFFFFFFF"/>
      <name val="Calibri"/>
    </font>
    <font>
      <sz val="11.0"/>
      <color rgb="FF464646"/>
      <name val="Helvetica Neue"/>
    </font>
    <font>
      <u/>
      <sz val="20.0"/>
      <color rgb="FF0000FF"/>
      <name val="Calibri"/>
    </font>
    <font>
      <sz val="22.0"/>
      <color rgb="FF000000"/>
      <name val="Calibri"/>
    </font>
    <font>
      <sz val="11.0"/>
      <color rgb="FF464646"/>
      <name val="Calibri"/>
    </font>
    <font>
      <u/>
      <sz val="20.0"/>
      <color theme="1"/>
      <name val="Calibri"/>
    </font>
    <font>
      <u/>
      <sz val="20.0"/>
      <color rgb="FF0000FF"/>
      <name val="Calibri"/>
    </font>
    <font>
      <u/>
      <sz val="33.0"/>
      <color theme="10"/>
      <name val="Calibri"/>
    </font>
    <font>
      <u/>
      <sz val="27.0"/>
      <color theme="10"/>
      <name val="Calibri"/>
    </font>
    <font>
      <u/>
      <sz val="20.0"/>
      <color theme="1"/>
      <name val="Calibri"/>
    </font>
    <font>
      <u/>
      <sz val="20.0"/>
      <color theme="10"/>
      <name val="Calibri"/>
    </font>
    <font>
      <u/>
      <sz val="33.0"/>
      <color theme="10"/>
      <name val="Calibri"/>
    </font>
    <font>
      <u/>
      <sz val="27.0"/>
      <color theme="10"/>
      <name val="Calibri"/>
    </font>
    <font>
      <u/>
      <sz val="20.0"/>
      <color rgb="FFFFFFFF"/>
      <name val="Calibri"/>
    </font>
    <font>
      <u/>
      <sz val="20.0"/>
      <color rgb="FFFFFFFF"/>
      <name val="Calibri"/>
    </font>
    <font>
      <u/>
      <sz val="20.0"/>
      <color rgb="FF0000FF"/>
      <name val="Calibri"/>
    </font>
    <font>
      <u/>
      <sz val="20.0"/>
      <color rgb="FFFFFFFF"/>
      <name val="Calibri"/>
    </font>
    <font>
      <u/>
      <sz val="20.0"/>
      <color rgb="FF0000FF"/>
      <name val="Calibri"/>
    </font>
    <font>
      <u/>
      <sz val="20.0"/>
      <color rgb="FF0000FF"/>
      <name val="Calibri"/>
    </font>
    <font>
      <u/>
      <sz val="20.0"/>
      <color theme="1"/>
      <name val="Calibri"/>
    </font>
    <font>
      <u/>
      <sz val="20.0"/>
      <color rgb="FF0000FF"/>
      <name val="Calibri"/>
    </font>
    <font>
      <sz val="15.0"/>
      <color rgb="FFFFFFFF"/>
      <name val="Calibri"/>
    </font>
    <font>
      <u/>
      <sz val="20.0"/>
      <color rgb="FFFFFFFF"/>
      <name val="Calibri"/>
    </font>
    <font>
      <u/>
      <sz val="20.0"/>
      <color rgb="FFFFFFFF"/>
      <name val="Calibri"/>
    </font>
    <font>
      <u/>
      <sz val="20.0"/>
      <color rgb="FFFFFFFF"/>
      <name val="Calibri"/>
    </font>
    <font>
      <u/>
      <sz val="11.0"/>
      <color theme="1"/>
      <name val="Calibri"/>
    </font>
    <font>
      <u/>
      <sz val="20.0"/>
      <color theme="1"/>
      <name val="Calibri"/>
    </font>
    <font>
      <u/>
      <sz val="20.0"/>
      <color theme="10"/>
      <name val="Calibri"/>
    </font>
    <font>
      <u/>
      <sz val="11.0"/>
      <color theme="10"/>
      <name val="Calibri"/>
    </font>
    <font>
      <sz val="11.0"/>
      <color rgb="FF262262"/>
      <name val="Calibri"/>
    </font>
    <font>
      <u/>
      <sz val="20.0"/>
      <color theme="1"/>
      <name val="Calibri"/>
    </font>
    <font>
      <u/>
      <sz val="20.0"/>
      <color theme="10"/>
      <name val="Calibri"/>
    </font>
    <font>
      <u/>
      <sz val="20.0"/>
      <color rgb="FFFFFFFF"/>
      <name val="Calibri"/>
    </font>
    <font>
      <u/>
      <sz val="20.0"/>
      <color rgb="FF0000FF"/>
      <name val="Calibri"/>
    </font>
    <font>
      <u/>
      <sz val="20.0"/>
      <color theme="1"/>
      <name val="Calibri"/>
    </font>
    <font>
      <u/>
      <sz val="20.0"/>
      <color theme="10"/>
      <name val="Calibri"/>
    </font>
    <font>
      <u/>
      <sz val="20.0"/>
      <color rgb="FF0000FF"/>
      <name val="Calibri"/>
    </font>
    <font>
      <u/>
      <sz val="20.0"/>
      <color theme="1"/>
      <name val="Calibri"/>
    </font>
    <font>
      <u/>
      <sz val="20.0"/>
      <color rgb="FF0000FF"/>
      <name val="Calibri"/>
    </font>
    <font>
      <u/>
      <sz val="20.0"/>
      <color theme="1"/>
      <name val="Calibri"/>
    </font>
    <font>
      <u/>
      <sz val="20.0"/>
      <color rgb="FF0000FF"/>
      <name val="Calibri"/>
    </font>
    <font>
      <u/>
      <sz val="17.0"/>
      <color theme="1"/>
      <name val="Calibri"/>
    </font>
    <font>
      <u/>
      <sz val="20.0"/>
      <color theme="1"/>
      <name val="Calibri"/>
    </font>
    <font>
      <u/>
      <sz val="20.0"/>
      <color rgb="FF0000FF"/>
      <name val="Calibri"/>
    </font>
    <font>
      <u/>
      <sz val="20.0"/>
      <color theme="1"/>
      <name val="Calibri"/>
    </font>
    <font>
      <sz val="33.0"/>
      <color rgb="FF212121"/>
      <name val="Calibri"/>
    </font>
    <font>
      <sz val="27.0"/>
      <color rgb="FF212121"/>
      <name val="Calibri"/>
    </font>
    <font>
      <u/>
      <sz val="20.0"/>
      <color rgb="FF0000FF"/>
      <name val="Calibri"/>
    </font>
    <font>
      <u/>
      <sz val="20.0"/>
      <color theme="1"/>
      <name val="Calibri"/>
    </font>
    <font>
      <u/>
      <sz val="20.0"/>
      <color rgb="FF0000FF"/>
      <name val="Calibri"/>
    </font>
    <font>
      <b/>
      <sz val="20.0"/>
      <color theme="1"/>
      <name val="Calibri"/>
    </font>
    <font>
      <b/>
      <sz val="17.0"/>
      <color theme="1"/>
      <name val="Calibri"/>
    </font>
    <font>
      <b/>
      <sz val="38.0"/>
      <color theme="1"/>
      <name val="Calibri"/>
    </font>
    <font>
      <b/>
      <sz val="23.0"/>
      <color theme="1"/>
      <name val="Calibri"/>
    </font>
    <font>
      <b/>
      <u/>
      <sz val="20.0"/>
      <color theme="1"/>
      <name val="Calibri"/>
    </font>
    <font>
      <u/>
      <sz val="20.0"/>
      <color rgb="FFFFFFFF"/>
      <name val="Calibri"/>
    </font>
    <font>
      <u/>
      <sz val="20.0"/>
      <color rgb="FFFFFFFF"/>
      <name val="Calibri"/>
    </font>
    <font>
      <u/>
      <sz val="20.0"/>
      <color rgb="FF0000FF"/>
      <name val="Calibri"/>
    </font>
    <font>
      <sz val="15.0"/>
      <color theme="1"/>
      <name val="Calibri"/>
    </font>
    <font>
      <sz val="18.0"/>
      <color rgb="FFFFFFFF"/>
      <name val="Calibri"/>
      <scheme val="minor"/>
    </font>
    <font>
      <u/>
      <sz val="20.0"/>
      <color rgb="FFFFFFFF"/>
      <name val="Calibri"/>
    </font>
    <font>
      <u/>
      <sz val="20.0"/>
      <color theme="1"/>
      <name val="Calibri"/>
    </font>
    <font>
      <u/>
      <sz val="20.0"/>
      <color theme="10"/>
      <name val="Calibri"/>
    </font>
    <font>
      <u/>
      <sz val="20.0"/>
      <color rgb="FF000000"/>
      <name val="Calibri"/>
    </font>
    <font>
      <u/>
      <sz val="20.0"/>
      <color rgb="FF0000FF"/>
      <name val="Calibri"/>
    </font>
    <font>
      <u/>
      <sz val="20.0"/>
      <color rgb="FF0000FF"/>
      <name val="Calibri"/>
    </font>
    <font>
      <u/>
      <sz val="20.0"/>
      <color theme="1"/>
      <name val="Calibri"/>
    </font>
    <font>
      <sz val="22.0"/>
      <color theme="1"/>
      <name val="Calibri"/>
      <scheme val="minor"/>
    </font>
    <font>
      <sz val="18.0"/>
      <color theme="1"/>
      <name val="Calibri"/>
      <scheme val="minor"/>
    </font>
    <font>
      <sz val="22.0"/>
      <color rgb="FFFFFFFF"/>
      <name val="Calibri"/>
      <scheme val="minor"/>
    </font>
    <font>
      <u/>
      <sz val="20.0"/>
      <color theme="1"/>
      <name val="Calibri"/>
    </font>
    <font>
      <b/>
      <sz val="18.0"/>
      <color rgb="FFFFFFFF"/>
      <name val="Calibri"/>
    </font>
    <font>
      <u/>
      <sz val="23.0"/>
      <color rgb="FF0000FF"/>
      <name val="Calibri"/>
    </font>
    <font>
      <b/>
      <sz val="22.0"/>
      <color rgb="FFFFFFFF"/>
      <name val="Calibri"/>
    </font>
    <font>
      <b/>
      <sz val="22.0"/>
      <color theme="1"/>
      <name val="Calibri"/>
    </font>
    <font>
      <u/>
      <sz val="20.0"/>
      <color rgb="FF0000FF"/>
      <name val="Calibri"/>
    </font>
    <font>
      <u/>
      <sz val="20.0"/>
      <color theme="1"/>
      <name val="Calibri"/>
    </font>
    <font>
      <u/>
      <sz val="23.0"/>
      <color rgb="FFFFFFFF"/>
      <name val="Calibri"/>
    </font>
    <font>
      <u/>
      <sz val="20.0"/>
      <color theme="1"/>
      <name val="Calibri"/>
    </font>
    <font>
      <u/>
      <sz val="20.0"/>
      <color theme="10"/>
      <name val="Calibri"/>
    </font>
    <font>
      <sz val="33.0"/>
      <color rgb="FF000000"/>
      <name val="Calibri"/>
    </font>
    <font>
      <sz val="27.0"/>
      <color rgb="FF000000"/>
      <name val="Calibri"/>
    </font>
    <font>
      <u/>
      <sz val="20.0"/>
      <color rgb="FF0000FF"/>
      <name val="Calibri"/>
    </font>
    <font>
      <u/>
      <sz val="20.0"/>
      <color theme="1"/>
      <name val="Calibri"/>
    </font>
  </fonts>
  <fills count="39">
    <fill>
      <patternFill patternType="none"/>
    </fill>
    <fill>
      <patternFill patternType="lightGray"/>
    </fill>
    <fill>
      <patternFill patternType="solid">
        <fgColor rgb="FF000000"/>
        <bgColor rgb="FF000000"/>
      </patternFill>
    </fill>
    <fill>
      <patternFill patternType="solid">
        <fgColor rgb="FFFF0000"/>
        <bgColor rgb="FFFF0000"/>
      </patternFill>
    </fill>
    <fill>
      <patternFill patternType="solid">
        <fgColor rgb="FFFF9900"/>
        <bgColor rgb="FFFF9900"/>
      </patternFill>
    </fill>
    <fill>
      <patternFill patternType="solid">
        <fgColor rgb="FF9FC5E8"/>
        <bgColor rgb="FF9FC5E8"/>
      </patternFill>
    </fill>
    <fill>
      <patternFill patternType="solid">
        <fgColor theme="4"/>
        <bgColor theme="4"/>
      </patternFill>
    </fill>
    <fill>
      <patternFill patternType="solid">
        <fgColor rgb="FF00FF00"/>
        <bgColor rgb="FF00FF00"/>
      </patternFill>
    </fill>
    <fill>
      <patternFill patternType="solid">
        <fgColor rgb="FF274E13"/>
        <bgColor rgb="FF274E13"/>
      </patternFill>
    </fill>
    <fill>
      <patternFill patternType="solid">
        <fgColor rgb="FFCCCCCC"/>
        <bgColor rgb="FFCCCCCC"/>
      </patternFill>
    </fill>
    <fill>
      <patternFill patternType="solid">
        <fgColor rgb="FF666666"/>
        <bgColor rgb="FF666666"/>
      </patternFill>
    </fill>
    <fill>
      <patternFill patternType="solid">
        <fgColor rgb="FFBF9000"/>
        <bgColor rgb="FFBF9000"/>
      </patternFill>
    </fill>
    <fill>
      <patternFill patternType="solid">
        <fgColor rgb="FF0000FF"/>
        <bgColor rgb="FF0000FF"/>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5A6BD"/>
        <bgColor rgb="FFD5A6BD"/>
      </patternFill>
    </fill>
    <fill>
      <patternFill patternType="solid">
        <fgColor rgb="FF38761D"/>
        <bgColor rgb="FF38761D"/>
      </patternFill>
    </fill>
    <fill>
      <patternFill patternType="solid">
        <fgColor rgb="FF93C47D"/>
        <bgColor rgb="FF93C47D"/>
      </patternFill>
    </fill>
    <fill>
      <patternFill patternType="solid">
        <fgColor rgb="FF980000"/>
        <bgColor rgb="FF980000"/>
      </patternFill>
    </fill>
    <fill>
      <patternFill patternType="solid">
        <fgColor rgb="FF783F04"/>
        <bgColor rgb="FF783F04"/>
      </patternFill>
    </fill>
    <fill>
      <patternFill patternType="solid">
        <fgColor rgb="FFB4A7D6"/>
        <bgColor rgb="FFB4A7D6"/>
      </patternFill>
    </fill>
    <fill>
      <patternFill patternType="solid">
        <fgColor rgb="FFFFFFFF"/>
        <bgColor rgb="FFFFFFFF"/>
      </patternFill>
    </fill>
    <fill>
      <patternFill patternType="solid">
        <fgColor rgb="FFFFFF00"/>
        <bgColor rgb="FFFFFF00"/>
      </patternFill>
    </fill>
    <fill>
      <patternFill patternType="solid">
        <fgColor rgb="FFCC0000"/>
        <bgColor rgb="FFCC0000"/>
      </patternFill>
    </fill>
    <fill>
      <patternFill patternType="solid">
        <fgColor rgb="FFCFE2F3"/>
        <bgColor rgb="FFCFE2F3"/>
      </patternFill>
    </fill>
    <fill>
      <patternFill patternType="solid">
        <fgColor rgb="FF00FFFF"/>
        <bgColor rgb="FF00FFFF"/>
      </patternFill>
    </fill>
    <fill>
      <patternFill patternType="solid">
        <fgColor rgb="FFDEEAF6"/>
        <bgColor rgb="FFDEEAF6"/>
      </patternFill>
    </fill>
    <fill>
      <patternFill patternType="solid">
        <fgColor rgb="FF9900FF"/>
        <bgColor rgb="FF9900FF"/>
      </patternFill>
    </fill>
    <fill>
      <patternFill patternType="solid">
        <fgColor rgb="FFD9D2E9"/>
        <bgColor rgb="FFD9D2E9"/>
      </patternFill>
    </fill>
    <fill>
      <patternFill patternType="solid">
        <fgColor rgb="FFFF00FF"/>
        <bgColor rgb="FFFF00FF"/>
      </patternFill>
    </fill>
    <fill>
      <patternFill patternType="solid">
        <fgColor rgb="FF0563C1"/>
        <bgColor rgb="FF0563C1"/>
      </patternFill>
    </fill>
    <fill>
      <patternFill patternType="solid">
        <fgColor rgb="FFD9EAD3"/>
        <bgColor rgb="FFD9EAD3"/>
      </patternFill>
    </fill>
    <fill>
      <patternFill patternType="solid">
        <fgColor rgb="FF4A86E8"/>
        <bgColor rgb="FF4A86E8"/>
      </patternFill>
    </fill>
    <fill>
      <patternFill patternType="solid">
        <fgColor rgb="FFEAD1DC"/>
        <bgColor rgb="FFEAD1DC"/>
      </patternFill>
    </fill>
    <fill>
      <patternFill patternType="solid">
        <fgColor rgb="FFD9D9D9"/>
        <bgColor rgb="FFD9D9D9"/>
      </patternFill>
    </fill>
    <fill>
      <patternFill patternType="solid">
        <fgColor rgb="FFF1C232"/>
        <bgColor rgb="FFF1C232"/>
      </patternFill>
    </fill>
    <fill>
      <patternFill patternType="solid">
        <fgColor rgb="FF3D85C6"/>
        <bgColor rgb="FF3D85C6"/>
      </patternFill>
    </fill>
    <fill>
      <patternFill patternType="solid">
        <fgColor rgb="FFD0E0E3"/>
        <bgColor rgb="FFD0E0E3"/>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831">
    <xf borderId="0" fillId="0" fontId="0" numFmtId="0" xfId="0" applyAlignment="1" applyFont="1">
      <alignment readingOrder="0" shrinkToFit="0" vertical="bottom" wrapText="0"/>
    </xf>
    <xf borderId="2" fillId="0" fontId="1" numFmtId="0" xfId="0" applyAlignment="1" applyBorder="1" applyFont="1">
      <alignment horizontal="center" shrinkToFit="0" vertical="center" wrapText="1"/>
    </xf>
    <xf borderId="1" fillId="2" fontId="2" numFmtId="0" xfId="0" applyAlignment="1" applyBorder="1" applyFill="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2" fillId="0" fontId="4" numFmtId="0" xfId="0" applyAlignment="1" applyBorder="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2" fillId="5" fontId="6" numFmtId="0" xfId="0" applyAlignment="1" applyBorder="1" applyFill="1" applyFont="1">
      <alignment horizontal="center" readingOrder="0" shrinkToFit="0" vertical="center" wrapText="1"/>
    </xf>
    <xf borderId="1" fillId="6" fontId="7" numFmtId="0" xfId="0" applyAlignment="1" applyBorder="1" applyFill="1" applyFont="1">
      <alignment horizontal="center" readingOrder="0" shrinkToFit="0" vertical="center" wrapText="1"/>
    </xf>
    <xf borderId="2" fillId="7" fontId="6" numFmtId="0" xfId="0" applyAlignment="1" applyBorder="1" applyFill="1" applyFont="1">
      <alignment horizontal="center" readingOrder="0" shrinkToFit="0" vertical="center" wrapText="1"/>
    </xf>
    <xf borderId="1" fillId="8" fontId="2" numFmtId="0" xfId="0" applyAlignment="1" applyBorder="1" applyFill="1" applyFont="1">
      <alignment horizontal="center" readingOrder="0" shrinkToFit="0" vertical="center" wrapText="1"/>
    </xf>
    <xf borderId="3" fillId="9" fontId="8" numFmtId="49" xfId="0" applyAlignment="1" applyBorder="1" applyFill="1" applyFont="1" applyNumberFormat="1">
      <alignment horizontal="center" readingOrder="0" shrinkToFit="0" vertical="center" wrapText="1"/>
    </xf>
    <xf borderId="2" fillId="10" fontId="9" numFmtId="49" xfId="0" applyAlignment="1" applyBorder="1" applyFill="1" applyFont="1" applyNumberFormat="1">
      <alignment horizontal="center" readingOrder="0" shrinkToFit="0" vertical="center" wrapText="1"/>
    </xf>
    <xf borderId="1" fillId="11" fontId="2" numFmtId="0" xfId="0" applyAlignment="1" applyBorder="1" applyFill="1" applyFont="1">
      <alignment horizontal="center" readingOrder="0" shrinkToFit="0" vertical="center" wrapText="1"/>
    </xf>
    <xf borderId="4" fillId="12" fontId="4" numFmtId="0" xfId="0" applyAlignment="1" applyBorder="1" applyFill="1" applyFont="1">
      <alignment horizontal="center" readingOrder="0" shrinkToFit="0" vertical="center" wrapText="1"/>
    </xf>
    <xf borderId="1" fillId="4" fontId="10" numFmtId="0" xfId="0" applyAlignment="1" applyBorder="1" applyFill="1" applyFont="1">
      <alignment horizontal="center" readingOrder="0" shrinkToFit="0" vertical="center" wrapText="1"/>
    </xf>
    <xf borderId="4" fillId="0" fontId="4" numFmtId="0" xfId="0" applyAlignment="1" applyBorder="1" applyFont="1">
      <alignment horizontal="center" shrinkToFit="0" vertical="center" wrapText="1"/>
    </xf>
    <xf borderId="1" fillId="13" fontId="11" numFmtId="0" xfId="0" applyAlignment="1" applyBorder="1" applyFill="1" applyFont="1">
      <alignment horizontal="center" readingOrder="0" shrinkToFit="0" vertical="center" wrapText="1"/>
    </xf>
    <xf borderId="5" fillId="0" fontId="12" numFmtId="0" xfId="0" applyAlignment="1" applyBorder="1" applyFont="1">
      <alignment horizontal="center" shrinkToFit="0" vertical="center" wrapText="1"/>
    </xf>
    <xf borderId="0" fillId="0" fontId="13" numFmtId="0" xfId="0" applyAlignment="1" applyFont="1">
      <alignment horizontal="center" shrinkToFit="0" vertical="center" wrapText="1"/>
    </xf>
    <xf borderId="1" fillId="14" fontId="14" numFmtId="0" xfId="0" applyAlignment="1" applyBorder="1" applyFill="1" applyFont="1">
      <alignment horizontal="center" readingOrder="0" shrinkToFit="0" vertical="center" wrapText="1"/>
    </xf>
    <xf borderId="0" fillId="0" fontId="15" numFmtId="0" xfId="0" applyAlignment="1" applyFont="1">
      <alignment horizontal="center" shrinkToFit="0" vertical="center" wrapText="1"/>
    </xf>
    <xf borderId="1" fillId="15" fontId="14" numFmtId="0" xfId="0" applyAlignment="1" applyBorder="1" applyFill="1" applyFont="1">
      <alignment horizontal="center" readingOrder="0" shrinkToFit="0" vertical="center" wrapText="1"/>
    </xf>
    <xf borderId="1" fillId="16" fontId="13" numFmtId="0" xfId="0" applyAlignment="1" applyBorder="1" applyFill="1" applyFont="1">
      <alignment horizontal="center" shrinkToFit="0" vertical="center" wrapText="1"/>
    </xf>
    <xf borderId="1" fillId="17" fontId="10" numFmtId="0" xfId="0" applyAlignment="1" applyBorder="1" applyFill="1" applyFont="1">
      <alignment horizontal="center" readingOrder="0" shrinkToFit="0" vertical="center" wrapText="1"/>
    </xf>
    <xf borderId="1" fillId="16" fontId="13" numFmtId="0" xfId="0" applyAlignment="1" applyBorder="1" applyFill="1" applyFont="1">
      <alignment horizontal="center" readingOrder="0" shrinkToFit="0" vertical="center" wrapText="1"/>
    </xf>
    <xf borderId="1" fillId="16" fontId="12" numFmtId="10" xfId="0" applyAlignment="1" applyBorder="1" applyFill="1" applyFont="1" applyNumberFormat="1">
      <alignment horizontal="center" shrinkToFit="0" vertical="center" wrapText="1"/>
    </xf>
    <xf borderId="1" fillId="3" fontId="16" numFmtId="0" xfId="0" applyAlignment="1" applyBorder="1" applyFill="1" applyFont="1">
      <alignment horizontal="center" readingOrder="0" shrinkToFit="0" vertical="center" wrapText="1"/>
    </xf>
    <xf borderId="1" fillId="15" fontId="17" numFmtId="0" xfId="0" applyAlignment="1" applyBorder="1" applyFill="1" applyFont="1">
      <alignment horizontal="center" readingOrder="0" shrinkToFit="0" vertical="top" wrapText="1"/>
    </xf>
    <xf borderId="1" fillId="18" fontId="17" numFmtId="0" xfId="0" applyAlignment="1" applyBorder="1" applyFill="1" applyFont="1">
      <alignment horizontal="center" readingOrder="0" shrinkToFit="0" vertical="center" wrapText="1"/>
    </xf>
    <xf borderId="1" fillId="19" fontId="18" numFmtId="0" xfId="0" applyAlignment="1" applyBorder="1" applyFill="1" applyFont="1">
      <alignment horizontal="center" readingOrder="0" shrinkToFit="0" vertical="center" wrapText="1"/>
    </xf>
    <xf borderId="1" fillId="20" fontId="19" numFmtId="0" xfId="0" applyAlignment="1" applyBorder="1" applyFill="1" applyFont="1">
      <alignment horizontal="center" readingOrder="0" shrinkToFit="0" vertical="center" wrapText="1"/>
    </xf>
    <xf borderId="1" fillId="6" fontId="20" numFmtId="0" xfId="0" applyAlignment="1" applyBorder="1" applyFill="1" applyFont="1">
      <alignment horizontal="center" readingOrder="0" shrinkToFit="0" vertical="center" wrapText="1"/>
    </xf>
    <xf borderId="1" fillId="6" fontId="21" numFmtId="0" xfId="0" applyAlignment="1" applyBorder="1" applyFill="1" applyFont="1">
      <alignment horizontal="center" readingOrder="0" shrinkToFit="0" vertical="center" wrapText="1"/>
    </xf>
    <xf borderId="1" fillId="6" fontId="22" numFmtId="0" xfId="0" applyAlignment="1" applyBorder="1" applyFill="1" applyFont="1">
      <alignment horizontal="center" readingOrder="0" shrinkToFit="0" vertical="center" wrapText="1"/>
    </xf>
    <xf borderId="6" fillId="16" fontId="13" numFmtId="49" xfId="0" applyAlignment="1" applyBorder="1" applyFill="1" applyFont="1" applyNumberFormat="1">
      <alignment horizontal="center" shrinkToFit="0" vertical="center" wrapText="1"/>
    </xf>
    <xf borderId="1" fillId="16" fontId="13" numFmtId="49" xfId="0" applyAlignment="1" applyBorder="1" applyFill="1" applyFont="1" applyNumberFormat="1">
      <alignment horizontal="center" shrinkToFit="0" vertical="center" wrapText="1"/>
    </xf>
    <xf borderId="1" fillId="6" fontId="23" numFmtId="0" xfId="0" applyAlignment="1" applyBorder="1" applyFill="1" applyFont="1">
      <alignment horizontal="center" readingOrder="0" shrinkToFit="0" vertical="center" wrapText="1"/>
    </xf>
    <xf borderId="7" fillId="16" fontId="13" numFmtId="0" xfId="0" applyAlignment="1" applyBorder="1" applyFill="1" applyFont="1">
      <alignment horizontal="center" shrinkToFit="0" vertical="center" wrapText="1"/>
    </xf>
    <xf borderId="1" fillId="6" fontId="24" numFmtId="164" xfId="0" applyAlignment="1" applyBorder="1" applyFill="1" applyFont="1" applyNumberFormat="1">
      <alignment horizontal="center" readingOrder="0" shrinkToFit="0" vertical="center" wrapText="1"/>
    </xf>
    <xf borderId="1" fillId="6" fontId="25" numFmtId="0" xfId="0" applyAlignment="1" applyBorder="1" applyFill="1" applyFont="1">
      <alignment horizontal="center" readingOrder="0" shrinkToFit="0" vertical="center" wrapText="1"/>
    </xf>
    <xf borderId="1" fillId="21" fontId="17" numFmtId="0" xfId="0" applyAlignment="1" applyBorder="1" applyFill="1" applyFont="1">
      <alignment horizontal="center" readingOrder="0" shrinkToFit="0" vertical="center" wrapText="1"/>
    </xf>
    <xf borderId="0" fillId="16" fontId="13" numFmtId="0" xfId="0" applyAlignment="1" applyFill="1" applyFont="1">
      <alignment horizontal="center" shrinkToFit="0" vertical="center" wrapText="1"/>
    </xf>
    <xf borderId="1" fillId="22" fontId="26" numFmtId="0" xfId="0" applyAlignment="1" applyBorder="1" applyFill="1" applyFont="1">
      <alignment horizontal="center" readingOrder="0" shrinkToFit="0" vertical="center" wrapText="1"/>
    </xf>
    <xf borderId="1" fillId="23" fontId="27" numFmtId="0" xfId="0" applyAlignment="1" applyBorder="1" applyFill="1" applyFont="1">
      <alignment horizontal="center" readingOrder="0" shrinkToFit="0" vertical="center" wrapText="1"/>
    </xf>
    <xf borderId="0" fillId="16" fontId="13" numFmtId="49" xfId="0" applyAlignment="1" applyFill="1" applyFont="1" applyNumberFormat="1">
      <alignment horizontal="center" shrinkToFit="0" vertical="center" wrapText="1"/>
    </xf>
    <xf borderId="0" fillId="16" fontId="15" numFmtId="0" xfId="0" applyAlignment="1" applyFill="1" applyFont="1">
      <alignment horizontal="center" shrinkToFit="0" vertical="center" wrapText="1"/>
    </xf>
    <xf borderId="1" fillId="6" fontId="28" numFmtId="0" xfId="0" applyAlignment="1" applyBorder="1" applyFill="1" applyFont="1">
      <alignment horizontal="center" readingOrder="0" shrinkToFit="0" vertical="center" wrapText="1"/>
    </xf>
    <xf borderId="1" fillId="3" fontId="29" numFmtId="0" xfId="0" applyAlignment="1" applyBorder="1" applyFill="1" applyFont="1">
      <alignment horizontal="center" readingOrder="0" shrinkToFit="0" vertical="center" wrapText="1"/>
    </xf>
    <xf borderId="1" fillId="3" fontId="30" numFmtId="0" xfId="0" applyAlignment="1" applyBorder="1" applyFill="1" applyFont="1">
      <alignment horizontal="center" readingOrder="0" shrinkToFit="0" vertical="center" wrapText="1"/>
    </xf>
    <xf borderId="1" fillId="3" fontId="31" numFmtId="0" xfId="0" applyAlignment="1" applyBorder="1" applyFill="1" applyFont="1">
      <alignment horizontal="center" readingOrder="0" shrinkToFit="0" vertical="center" wrapText="1"/>
    </xf>
    <xf borderId="1" fillId="3" fontId="13" numFmtId="0" xfId="0" applyAlignment="1" applyBorder="1" applyFill="1" applyFont="1">
      <alignment horizontal="center" shrinkToFit="0" vertical="center" wrapText="1"/>
    </xf>
    <xf borderId="1" fillId="3" fontId="32" numFmtId="0" xfId="0" applyAlignment="1" applyBorder="1" applyFill="1" applyFont="1">
      <alignment horizontal="center" readingOrder="0" shrinkToFit="0" vertical="center" wrapText="1"/>
    </xf>
    <xf borderId="6" fillId="3" fontId="13" numFmtId="49" xfId="0" applyAlignment="1" applyBorder="1" applyFill="1" applyFont="1" applyNumberFormat="1">
      <alignment horizontal="center" shrinkToFit="0" vertical="center" wrapText="1"/>
    </xf>
    <xf borderId="1" fillId="3" fontId="33" numFmtId="0" xfId="0" applyAlignment="1" applyBorder="1" applyFill="1" applyFont="1">
      <alignment horizontal="center" readingOrder="0" shrinkToFit="0" vertical="center" wrapText="1"/>
    </xf>
    <xf borderId="1" fillId="3" fontId="13" numFmtId="49" xfId="0" applyAlignment="1" applyBorder="1" applyFill="1" applyFont="1" applyNumberFormat="1">
      <alignment horizontal="center" shrinkToFit="0" vertical="center" wrapText="1"/>
    </xf>
    <xf borderId="7" fillId="3" fontId="13" numFmtId="0" xfId="0" applyAlignment="1" applyBorder="1" applyFill="1" applyFont="1">
      <alignment horizontal="center" shrinkToFit="0" vertical="center" wrapText="1"/>
    </xf>
    <xf borderId="1" fillId="3" fontId="34" numFmtId="0" xfId="0" applyAlignment="1" applyBorder="1" applyFill="1" applyFont="1">
      <alignment horizontal="center" readingOrder="0" shrinkToFit="0" vertical="center" wrapText="1"/>
    </xf>
    <xf borderId="0" fillId="3" fontId="13" numFmtId="0" xfId="0" applyAlignment="1" applyFill="1" applyFont="1">
      <alignment horizontal="center" shrinkToFit="0" vertical="center" wrapText="1"/>
    </xf>
    <xf borderId="1" fillId="3" fontId="35" numFmtId="0" xfId="0" applyAlignment="1" applyBorder="1" applyFill="1" applyFont="1">
      <alignment horizontal="center" readingOrder="0" shrinkToFit="0" vertical="center" wrapText="1"/>
    </xf>
    <xf borderId="0" fillId="3" fontId="15" numFmtId="0" xfId="0" applyAlignment="1" applyFill="1" applyFont="1">
      <alignment horizontal="center" shrinkToFit="0" vertical="center" wrapText="1"/>
    </xf>
    <xf borderId="1" fillId="3" fontId="30" numFmtId="0" xfId="0" applyAlignment="1" applyBorder="1" applyFill="1" applyFont="1">
      <alignment horizontal="left" readingOrder="0" shrinkToFit="0" vertical="center" wrapText="1"/>
    </xf>
    <xf borderId="1" fillId="21" fontId="13" numFmtId="0" xfId="0" applyAlignment="1" applyBorder="1" applyFill="1" applyFont="1">
      <alignment horizontal="center" shrinkToFit="0" vertical="center" wrapText="1"/>
    </xf>
    <xf borderId="1" fillId="21" fontId="37" numFmtId="0" xfId="0" applyAlignment="1" applyBorder="1" applyFill="1" applyFont="1">
      <alignment horizontal="center" shrinkToFit="0" vertical="center" wrapText="1"/>
    </xf>
    <xf borderId="1" fillId="3" fontId="36" numFmtId="0" xfId="0" applyAlignment="1" applyBorder="1" applyFill="1" applyFont="1">
      <alignment horizontal="center" readingOrder="0" shrinkToFit="0" vertical="center" wrapText="1"/>
    </xf>
    <xf borderId="6" fillId="21" fontId="13" numFmtId="49" xfId="0" applyAlignment="1" applyBorder="1" applyFill="1" applyFont="1" applyNumberFormat="1">
      <alignment horizontal="center" shrinkToFit="0" vertical="center" wrapText="1"/>
    </xf>
    <xf borderId="1" fillId="3" fontId="38" numFmtId="0" xfId="0" applyBorder="1" applyFill="1" applyFont="1"/>
    <xf borderId="1" fillId="21" fontId="13" numFmtId="49" xfId="0" applyAlignment="1" applyBorder="1" applyFill="1" applyFont="1" applyNumberFormat="1">
      <alignment horizontal="center" shrinkToFit="0" vertical="center" wrapText="1"/>
    </xf>
    <xf borderId="7" fillId="21" fontId="13" numFmtId="0" xfId="0" applyAlignment="1" applyBorder="1" applyFill="1" applyFont="1">
      <alignment horizontal="center" shrinkToFit="0" vertical="center" wrapText="1"/>
    </xf>
    <xf borderId="0" fillId="21" fontId="13" numFmtId="0" xfId="0" applyAlignment="1" applyFill="1" applyFont="1">
      <alignment horizontal="center" shrinkToFit="0" vertical="center" wrapText="1"/>
    </xf>
    <xf borderId="0" fillId="21" fontId="15" numFmtId="0" xfId="0" applyAlignment="1" applyFill="1" applyFont="1">
      <alignment horizontal="center" shrinkToFit="0" vertical="center" wrapText="1"/>
    </xf>
    <xf borderId="1" fillId="3" fontId="39" numFmtId="0" xfId="0" applyAlignment="1" applyBorder="1" applyFill="1" applyFont="1">
      <alignment horizontal="center" readingOrder="0" shrinkToFit="0" vertical="center" wrapText="1"/>
    </xf>
    <xf borderId="1" fillId="3" fontId="40" numFmtId="0" xfId="0" applyAlignment="1" applyBorder="1" applyFill="1" applyFont="1">
      <alignment horizontal="center" readingOrder="0" shrinkToFit="0" vertical="center" wrapText="1"/>
    </xf>
    <xf borderId="1" fillId="3" fontId="35" numFmtId="0" xfId="0" applyAlignment="1" applyBorder="1" applyFill="1" applyFont="1">
      <alignment horizontal="left" readingOrder="0" shrinkToFit="0" vertical="center" wrapText="1"/>
    </xf>
    <xf borderId="1" fillId="3" fontId="41" numFmtId="0" xfId="0" applyAlignment="1" applyBorder="1" applyFill="1" applyFont="1">
      <alignment horizontal="center" readingOrder="0" shrinkToFit="0" vertical="center" wrapText="1"/>
    </xf>
    <xf borderId="1" fillId="24" fontId="13" numFmtId="0" xfId="0" applyAlignment="1" applyBorder="1" applyFill="1" applyFont="1">
      <alignment horizontal="center" shrinkToFit="0" vertical="center" wrapText="1"/>
    </xf>
    <xf borderId="1" fillId="3" fontId="42" numFmtId="0" xfId="0" applyAlignment="1" applyBorder="1" applyFill="1" applyFont="1">
      <alignment horizontal="center" readingOrder="0" shrinkToFit="0" vertical="center" wrapText="1"/>
    </xf>
    <xf borderId="1" fillId="25" fontId="43" numFmtId="165" xfId="0" applyAlignment="1" applyBorder="1" applyFill="1" applyFont="1" applyNumberFormat="1">
      <alignment horizontal="center" readingOrder="0" shrinkToFit="0" vertical="center" wrapText="1"/>
    </xf>
    <xf borderId="1" fillId="24" fontId="13" numFmtId="10" xfId="0" applyAlignment="1" applyBorder="1" applyFill="1" applyFont="1" applyNumberFormat="1">
      <alignment horizontal="center" shrinkToFit="0" vertical="center" wrapText="1"/>
    </xf>
    <xf borderId="1" fillId="25" fontId="44" numFmtId="0" xfId="0" applyAlignment="1" applyBorder="1" applyFill="1" applyFont="1">
      <alignment horizontal="center" readingOrder="0" vertical="center"/>
    </xf>
    <xf borderId="6" fillId="24" fontId="13" numFmtId="49" xfId="0" applyAlignment="1" applyBorder="1" applyFill="1" applyFont="1" applyNumberFormat="1">
      <alignment horizontal="center" shrinkToFit="0" vertical="center" wrapText="1"/>
    </xf>
    <xf borderId="1" fillId="24" fontId="13" numFmtId="49" xfId="0" applyAlignment="1" applyBorder="1" applyFill="1" applyFont="1" applyNumberFormat="1">
      <alignment horizontal="center" shrinkToFit="0" vertical="center" wrapText="1"/>
    </xf>
    <xf borderId="7" fillId="24" fontId="13" numFmtId="0" xfId="0" applyAlignment="1" applyBorder="1" applyFill="1" applyFont="1">
      <alignment horizontal="center" shrinkToFit="0" vertical="center" wrapText="1"/>
    </xf>
    <xf borderId="0" fillId="24" fontId="13" numFmtId="0" xfId="0" applyAlignment="1" applyFill="1" applyFont="1">
      <alignment horizontal="center" shrinkToFit="0" vertical="center" wrapText="1"/>
    </xf>
    <xf borderId="0" fillId="24" fontId="15" numFmtId="0" xfId="0" applyAlignment="1" applyFill="1" applyFont="1">
      <alignment horizontal="center" shrinkToFit="0" vertical="center" wrapText="1"/>
    </xf>
    <xf borderId="1" fillId="3" fontId="35" numFmtId="0" xfId="0" applyAlignment="1" applyBorder="1" applyFill="1" applyFont="1">
      <alignment horizontal="left" readingOrder="0" shrinkToFit="0" vertical="center" wrapText="1"/>
    </xf>
    <xf borderId="1" fillId="3" fontId="45" numFmtId="0" xfId="0" applyAlignment="1" applyBorder="1" applyFill="1" applyFont="1">
      <alignment horizontal="left" readingOrder="0" shrinkToFit="0" vertical="center" wrapText="1"/>
    </xf>
    <xf borderId="1" fillId="3" fontId="28" numFmtId="166" xfId="0" applyAlignment="1" applyBorder="1" applyFill="1" applyFont="1" applyNumberFormat="1">
      <alignment horizontal="left" readingOrder="0" shrinkToFit="0" vertical="center" wrapText="1"/>
    </xf>
    <xf borderId="1" fillId="3" fontId="46" numFmtId="166" xfId="0" applyAlignment="1" applyBorder="1" applyFill="1" applyFont="1" applyNumberFormat="1">
      <alignment horizontal="left" readingOrder="0" shrinkToFit="0" vertical="center" wrapText="1"/>
    </xf>
    <xf borderId="1" fillId="21" fontId="47" numFmtId="0" xfId="0" applyAlignment="1" applyBorder="1" applyFill="1" applyFont="1">
      <alignment horizontal="center" readingOrder="0" shrinkToFit="0" vertical="center" wrapText="1"/>
    </xf>
    <xf borderId="1" fillId="21" fontId="48" numFmtId="0" xfId="0" applyAlignment="1" applyBorder="1" applyFill="1" applyFont="1">
      <alignment horizontal="center" readingOrder="0" shrinkToFit="0" vertical="center" wrapText="1"/>
    </xf>
    <xf borderId="1" fillId="21" fontId="49" numFmtId="0" xfId="0" applyAlignment="1" applyBorder="1" applyFill="1" applyFont="1">
      <alignment horizontal="center" readingOrder="0" shrinkToFit="0" vertical="center" wrapText="1"/>
    </xf>
    <xf borderId="1" fillId="21" fontId="50" numFmtId="0" xfId="0" applyAlignment="1" applyBorder="1" applyFill="1" applyFont="1">
      <alignment horizontal="center" readingOrder="0" shrinkToFit="0" vertical="center" wrapText="1"/>
    </xf>
    <xf borderId="1" fillId="21" fontId="51" numFmtId="0" xfId="0" applyAlignment="1" applyBorder="1" applyFill="1" applyFont="1">
      <alignment horizontal="center" readingOrder="0" shrinkToFit="0" vertical="center" wrapText="1"/>
    </xf>
    <xf borderId="1" fillId="21" fontId="52" numFmtId="0" xfId="0" applyAlignment="1" applyBorder="1" applyFill="1" applyFont="1">
      <alignment horizontal="center" readingOrder="0" shrinkToFit="0" vertical="center" wrapText="1"/>
    </xf>
    <xf borderId="1" fillId="21" fontId="53" numFmtId="0" xfId="0" applyAlignment="1" applyBorder="1" applyFill="1" applyFont="1">
      <alignment horizontal="center" readingOrder="0" shrinkToFit="0" vertical="center" wrapText="1"/>
    </xf>
    <xf borderId="1" fillId="16" fontId="13" numFmtId="10" xfId="0" applyAlignment="1" applyBorder="1" applyFill="1" applyFont="1" applyNumberFormat="1">
      <alignment horizontal="center" shrinkToFit="0" vertical="center" wrapText="1"/>
    </xf>
    <xf borderId="1" fillId="21" fontId="48" numFmtId="0" xfId="0" applyAlignment="1" applyBorder="1" applyFill="1" applyFont="1">
      <alignment horizontal="left" readingOrder="0" shrinkToFit="0" vertical="center" wrapText="1"/>
    </xf>
    <xf borderId="1" fillId="21" fontId="54" numFmtId="0" xfId="0" applyAlignment="1" applyBorder="1" applyFill="1" applyFont="1">
      <alignment horizontal="center" readingOrder="0" shrinkToFit="0" vertical="center" wrapText="1"/>
    </xf>
    <xf borderId="1" fillId="21" fontId="15" numFmtId="0" xfId="0" applyBorder="1" applyFill="1" applyFont="1"/>
    <xf borderId="1" fillId="21" fontId="55" numFmtId="0" xfId="0" applyAlignment="1" applyBorder="1" applyFill="1" applyFont="1">
      <alignment horizontal="center" readingOrder="0" shrinkToFit="0" vertical="center" wrapText="1"/>
    </xf>
    <xf borderId="1" fillId="21" fontId="56" numFmtId="0" xfId="0" applyAlignment="1" applyBorder="1" applyFill="1" applyFont="1">
      <alignment horizontal="center" readingOrder="0" shrinkToFit="0" vertical="center" wrapText="1"/>
    </xf>
    <xf borderId="1" fillId="21" fontId="53" numFmtId="0" xfId="0" applyAlignment="1" applyBorder="1" applyFill="1" applyFont="1">
      <alignment horizontal="left" readingOrder="0" shrinkToFit="0" vertical="center" wrapText="1"/>
    </xf>
    <xf borderId="1" fillId="21" fontId="57" numFmtId="0" xfId="0" applyAlignment="1" applyBorder="1" applyFill="1" applyFont="1">
      <alignment horizontal="center" readingOrder="0" shrinkToFit="0" vertical="center" wrapText="1"/>
    </xf>
    <xf borderId="1" fillId="26" fontId="13" numFmtId="0" xfId="0" applyAlignment="1" applyBorder="1" applyFill="1" applyFont="1">
      <alignment horizontal="center" shrinkToFit="0" vertical="center" wrapText="1"/>
    </xf>
    <xf borderId="1" fillId="21" fontId="58" numFmtId="0" xfId="0" applyAlignment="1" applyBorder="1" applyFill="1" applyFont="1">
      <alignment horizontal="center" readingOrder="0" shrinkToFit="0" vertical="center" wrapText="1"/>
    </xf>
    <xf borderId="6" fillId="26" fontId="13" numFmtId="49" xfId="0" applyAlignment="1" applyBorder="1" applyFill="1" applyFont="1" applyNumberFormat="1">
      <alignment horizontal="center" shrinkToFit="0" vertical="center" wrapText="1"/>
    </xf>
    <xf borderId="1" fillId="26" fontId="13" numFmtId="49" xfId="0" applyAlignment="1" applyBorder="1" applyFill="1" applyFont="1" applyNumberFormat="1">
      <alignment horizontal="center" shrinkToFit="0" vertical="center" wrapText="1"/>
    </xf>
    <xf borderId="7" fillId="26" fontId="13" numFmtId="0" xfId="0" applyAlignment="1" applyBorder="1" applyFill="1" applyFont="1">
      <alignment horizontal="center" shrinkToFit="0" vertical="center" wrapText="1"/>
    </xf>
    <xf borderId="0" fillId="26" fontId="13" numFmtId="0" xfId="0" applyAlignment="1" applyFill="1" applyFont="1">
      <alignment horizontal="center" shrinkToFit="0" vertical="center" wrapText="1"/>
    </xf>
    <xf borderId="0" fillId="26" fontId="15" numFmtId="0" xfId="0" applyAlignment="1" applyFill="1" applyFont="1">
      <alignment horizontal="center" shrinkToFit="0" vertical="center" wrapText="1"/>
    </xf>
    <xf borderId="1" fillId="21" fontId="53" numFmtId="0" xfId="0" applyAlignment="1" applyBorder="1" applyFill="1" applyFont="1">
      <alignment horizontal="left" readingOrder="0" shrinkToFit="0" vertical="center" wrapText="1"/>
    </xf>
    <xf borderId="1" fillId="21" fontId="59" numFmtId="0" xfId="0" applyAlignment="1" applyBorder="1" applyFill="1" applyFont="1">
      <alignment horizontal="left" readingOrder="0" shrinkToFit="0" vertical="center" wrapText="1"/>
    </xf>
    <xf borderId="1" fillId="21" fontId="60" numFmtId="0" xfId="0" applyAlignment="1" applyBorder="1" applyFill="1" applyFont="1">
      <alignment horizontal="left" readingOrder="0" shrinkToFit="0" vertical="center" wrapText="1"/>
    </xf>
    <xf borderId="1" fillId="21" fontId="61" numFmtId="0" xfId="0" applyAlignment="1" applyBorder="1" applyFill="1" applyFont="1">
      <alignment horizontal="left" readingOrder="0" shrinkToFit="0" vertical="center" wrapText="1"/>
    </xf>
    <xf borderId="1" fillId="24" fontId="29" numFmtId="0" xfId="0" applyAlignment="1" applyBorder="1" applyFill="1" applyFont="1">
      <alignment horizontal="center" readingOrder="0" shrinkToFit="0" vertical="center" wrapText="1"/>
    </xf>
    <xf borderId="1" fillId="24" fontId="30" numFmtId="0" xfId="0" applyAlignment="1" applyBorder="1" applyFill="1" applyFont="1">
      <alignment horizontal="center" readingOrder="0" shrinkToFit="0" vertical="center" wrapText="1"/>
    </xf>
    <xf borderId="1" fillId="24" fontId="31" numFmtId="0" xfId="0" applyAlignment="1" applyBorder="1" applyFill="1" applyFont="1">
      <alignment horizontal="center" readingOrder="0" shrinkToFit="0" vertical="center" wrapText="1"/>
    </xf>
    <xf borderId="1" fillId="27" fontId="13" numFmtId="0" xfId="0" applyAlignment="1" applyBorder="1" applyFill="1" applyFont="1">
      <alignment horizontal="center" shrinkToFit="0" vertical="center" wrapText="1"/>
    </xf>
    <xf borderId="1" fillId="24" fontId="32" numFmtId="0" xfId="0" applyAlignment="1" applyBorder="1" applyFill="1" applyFont="1">
      <alignment horizontal="center" readingOrder="0" shrinkToFit="0" vertical="center" wrapText="1"/>
    </xf>
    <xf borderId="1" fillId="27" fontId="13" numFmtId="10" xfId="0" applyAlignment="1" applyBorder="1" applyFill="1" applyFont="1" applyNumberFormat="1">
      <alignment horizontal="center" shrinkToFit="0" vertical="center" wrapText="1"/>
    </xf>
    <xf borderId="1" fillId="24" fontId="33" numFmtId="0" xfId="0" applyAlignment="1" applyBorder="1" applyFill="1" applyFont="1">
      <alignment horizontal="center" readingOrder="0" shrinkToFit="0" vertical="center" wrapText="1"/>
    </xf>
    <xf borderId="1" fillId="24" fontId="34" numFmtId="0" xfId="0" applyAlignment="1" applyBorder="1" applyFill="1" applyFont="1">
      <alignment horizontal="center" readingOrder="0" shrinkToFit="0" vertical="center" wrapText="1"/>
    </xf>
    <xf borderId="6" fillId="27" fontId="13" numFmtId="49" xfId="0" applyAlignment="1" applyBorder="1" applyFill="1" applyFont="1" applyNumberFormat="1">
      <alignment horizontal="center" shrinkToFit="0" vertical="center" wrapText="1"/>
    </xf>
    <xf borderId="1" fillId="27" fontId="13" numFmtId="49" xfId="0" applyAlignment="1" applyBorder="1" applyFill="1" applyFont="1" applyNumberFormat="1">
      <alignment horizontal="center" shrinkToFit="0" vertical="center" wrapText="1"/>
    </xf>
    <xf borderId="7" fillId="27" fontId="13" numFmtId="0" xfId="0" applyAlignment="1" applyBorder="1" applyFill="1" applyFont="1">
      <alignment horizontal="center" shrinkToFit="0" vertical="center" wrapText="1"/>
    </xf>
    <xf borderId="1" fillId="24" fontId="35" numFmtId="0" xfId="0" applyAlignment="1" applyBorder="1" applyFill="1" applyFont="1">
      <alignment horizontal="center" readingOrder="0" shrinkToFit="0" vertical="center" wrapText="1"/>
    </xf>
    <xf borderId="0" fillId="27" fontId="13" numFmtId="0" xfId="0" applyAlignment="1" applyFill="1" applyFont="1">
      <alignment horizontal="center" shrinkToFit="0" vertical="center" wrapText="1"/>
    </xf>
    <xf borderId="0" fillId="27" fontId="15" numFmtId="0" xfId="0" applyAlignment="1" applyFill="1" applyFont="1">
      <alignment horizontal="center" shrinkToFit="0" vertical="center" wrapText="1"/>
    </xf>
    <xf borderId="1" fillId="24" fontId="30" numFmtId="0" xfId="0" applyAlignment="1" applyBorder="1" applyFill="1" applyFont="1">
      <alignment horizontal="left" readingOrder="0" shrinkToFit="0" vertical="center" wrapText="1"/>
    </xf>
    <xf borderId="1" fillId="24" fontId="36" numFmtId="0" xfId="0" applyAlignment="1" applyBorder="1" applyFill="1" applyFont="1">
      <alignment horizontal="center" readingOrder="0" shrinkToFit="0" vertical="center" wrapText="1"/>
    </xf>
    <xf borderId="1" fillId="24" fontId="35" numFmtId="0" xfId="0" applyAlignment="1" applyBorder="1" applyFill="1" applyFont="1">
      <alignment horizontal="center" shrinkToFit="0" vertical="center" wrapText="1"/>
    </xf>
    <xf borderId="1" fillId="21" fontId="13" numFmtId="10" xfId="0" applyAlignment="1" applyBorder="1" applyFill="1" applyFont="1" applyNumberFormat="1">
      <alignment horizontal="center" shrinkToFit="0" vertical="center" wrapText="1"/>
    </xf>
    <xf borderId="1" fillId="24" fontId="38" numFmtId="0" xfId="0" applyBorder="1" applyFill="1" applyFont="1"/>
    <xf borderId="1" fillId="24" fontId="62" numFmtId="0" xfId="0" applyAlignment="1" applyBorder="1" applyFill="1" applyFont="1">
      <alignment horizontal="center" shrinkToFit="0" vertical="center" wrapText="1"/>
    </xf>
    <xf borderId="1" fillId="24" fontId="63" numFmtId="0" xfId="0" applyAlignment="1" applyBorder="1" applyFill="1" applyFont="1">
      <alignment horizontal="center" readingOrder="0" shrinkToFit="0" vertical="center" wrapText="1"/>
    </xf>
    <xf borderId="1" fillId="24" fontId="35" numFmtId="0" xfId="0" applyAlignment="1" applyBorder="1" applyFill="1" applyFont="1">
      <alignment horizontal="left" readingOrder="0" shrinkToFit="0" vertical="center" wrapText="1"/>
    </xf>
    <xf borderId="1" fillId="24" fontId="41" numFmtId="0" xfId="0" applyAlignment="1" applyBorder="1" applyFill="1" applyFont="1">
      <alignment horizontal="center" readingOrder="0" shrinkToFit="0" vertical="center" wrapText="1"/>
    </xf>
    <xf borderId="1" fillId="24" fontId="42" numFmtId="0" xfId="0" applyAlignment="1" applyBorder="1" applyFill="1" applyFont="1">
      <alignment horizontal="center" readingOrder="0" shrinkToFit="0" vertical="center" wrapText="1"/>
    </xf>
    <xf borderId="1" fillId="24" fontId="35" numFmtId="0" xfId="0" applyAlignment="1" applyBorder="1" applyFill="1" applyFont="1">
      <alignment horizontal="left" readingOrder="0" shrinkToFit="0" vertical="center" wrapText="1"/>
    </xf>
    <xf borderId="1" fillId="28" fontId="13" numFmtId="0" xfId="0" applyAlignment="1" applyBorder="1" applyFill="1" applyFont="1">
      <alignment horizontal="center" shrinkToFit="0" vertical="center" wrapText="1"/>
    </xf>
    <xf borderId="1" fillId="24" fontId="45" numFmtId="0" xfId="0" applyAlignment="1" applyBorder="1" applyFill="1" applyFont="1">
      <alignment horizontal="left" readingOrder="0" shrinkToFit="0" vertical="center" wrapText="1"/>
    </xf>
    <xf borderId="6" fillId="28" fontId="13" numFmtId="49" xfId="0" applyAlignment="1" applyBorder="1" applyFill="1" applyFont="1" applyNumberFormat="1">
      <alignment horizontal="center" shrinkToFit="0" vertical="center" wrapText="1"/>
    </xf>
    <xf borderId="1" fillId="24" fontId="64" numFmtId="0" xfId="0" applyAlignment="1" applyBorder="1" applyFill="1" applyFont="1">
      <alignment horizontal="left" readingOrder="0" shrinkToFit="0" vertical="center" wrapText="1"/>
    </xf>
    <xf borderId="1" fillId="28" fontId="13" numFmtId="49" xfId="0" applyAlignment="1" applyBorder="1" applyFill="1" applyFont="1" applyNumberFormat="1">
      <alignment horizontal="center" shrinkToFit="0" vertical="center" wrapText="1"/>
    </xf>
    <xf borderId="7" fillId="28" fontId="13" numFmtId="0" xfId="0" applyAlignment="1" applyBorder="1" applyFill="1" applyFont="1">
      <alignment horizontal="center" shrinkToFit="0" vertical="center" wrapText="1"/>
    </xf>
    <xf borderId="1" fillId="24" fontId="65" numFmtId="0" xfId="0" applyAlignment="1" applyBorder="1" applyFill="1" applyFont="1">
      <alignment horizontal="left" readingOrder="0" shrinkToFit="0" vertical="center" wrapText="1"/>
    </xf>
    <xf borderId="0" fillId="28" fontId="13" numFmtId="0" xfId="0" applyAlignment="1" applyFill="1" applyFont="1">
      <alignment horizontal="center" shrinkToFit="0" vertical="center" wrapText="1"/>
    </xf>
    <xf borderId="0" fillId="28" fontId="15" numFmtId="0" xfId="0" applyAlignment="1" applyFill="1" applyFont="1">
      <alignment horizontal="center" shrinkToFit="0" vertical="center" wrapText="1"/>
    </xf>
    <xf borderId="1" fillId="16" fontId="47" numFmtId="0" xfId="0" applyAlignment="1" applyBorder="1" applyFill="1" applyFont="1">
      <alignment horizontal="center" readingOrder="0" shrinkToFit="0" vertical="center" wrapText="1"/>
    </xf>
    <xf borderId="1" fillId="16" fontId="48" numFmtId="0" xfId="0" applyAlignment="1" applyBorder="1" applyFill="1" applyFont="1">
      <alignment horizontal="center" readingOrder="0" shrinkToFit="0" vertical="center" wrapText="1"/>
    </xf>
    <xf borderId="1" fillId="16" fontId="49" numFmtId="0" xfId="0" applyAlignment="1" applyBorder="1" applyFill="1" applyFont="1">
      <alignment horizontal="center" readingOrder="0" shrinkToFit="0" vertical="center" wrapText="1"/>
    </xf>
    <xf borderId="1" fillId="23" fontId="13" numFmtId="0" xfId="0" applyAlignment="1" applyBorder="1" applyFill="1" applyFont="1">
      <alignment horizontal="center" shrinkToFit="0" vertical="center" wrapText="1"/>
    </xf>
    <xf borderId="1" fillId="16" fontId="50" numFmtId="0" xfId="0" applyAlignment="1" applyBorder="1" applyFill="1" applyFont="1">
      <alignment horizontal="center" readingOrder="0" shrinkToFit="0" vertical="center" wrapText="1"/>
    </xf>
    <xf borderId="1" fillId="16" fontId="51" numFmtId="0" xfId="0" applyAlignment="1" applyBorder="1" applyFill="1" applyFont="1">
      <alignment horizontal="center" readingOrder="0" shrinkToFit="0" vertical="center" wrapText="1"/>
    </xf>
    <xf borderId="6" fillId="23" fontId="13" numFmtId="49" xfId="0" applyAlignment="1" applyBorder="1" applyFill="1" applyFont="1" applyNumberFormat="1">
      <alignment horizontal="center" shrinkToFit="0" vertical="center" wrapText="1"/>
    </xf>
    <xf borderId="1" fillId="23" fontId="13" numFmtId="49" xfId="0" applyAlignment="1" applyBorder="1" applyFill="1" applyFont="1" applyNumberFormat="1">
      <alignment horizontal="center" shrinkToFit="0" vertical="center" wrapText="1"/>
    </xf>
    <xf borderId="1" fillId="16" fontId="52" numFmtId="0" xfId="0" applyAlignment="1" applyBorder="1" applyFill="1" applyFont="1">
      <alignment horizontal="center" readingOrder="0" shrinkToFit="0" vertical="center" wrapText="1"/>
    </xf>
    <xf borderId="7" fillId="23" fontId="13" numFmtId="0" xfId="0" applyAlignment="1" applyBorder="1" applyFill="1" applyFont="1">
      <alignment horizontal="center" shrinkToFit="0" vertical="center" wrapText="1"/>
    </xf>
    <xf borderId="1" fillId="16" fontId="53" numFmtId="0" xfId="0" applyAlignment="1" applyBorder="1" applyFill="1" applyFont="1">
      <alignment horizontal="center" readingOrder="0" shrinkToFit="0" vertical="center" wrapText="1"/>
    </xf>
    <xf borderId="0" fillId="23" fontId="13" numFmtId="0" xfId="0" applyAlignment="1" applyFill="1" applyFont="1">
      <alignment horizontal="center" shrinkToFit="0" vertical="center" wrapText="1"/>
    </xf>
    <xf borderId="0" fillId="23" fontId="15" numFmtId="0" xfId="0" applyAlignment="1" applyFill="1" applyFont="1">
      <alignment horizontal="center" shrinkToFit="0" vertical="center" wrapText="1"/>
    </xf>
    <xf borderId="1" fillId="16" fontId="48" numFmtId="0" xfId="0" applyAlignment="1" applyBorder="1" applyFill="1" applyFont="1">
      <alignment horizontal="left" readingOrder="0" shrinkToFit="0" vertical="center" wrapText="1"/>
    </xf>
    <xf borderId="1" fillId="16" fontId="54" numFmtId="0" xfId="0" applyAlignment="1" applyBorder="1" applyFill="1" applyFont="1">
      <alignment horizontal="center" readingOrder="0" shrinkToFit="0" vertical="center" wrapText="1"/>
    </xf>
    <xf borderId="1" fillId="16" fontId="53" numFmtId="0" xfId="0" applyAlignment="1" applyBorder="1" applyFill="1" applyFont="1">
      <alignment horizontal="center" shrinkToFit="0" vertical="center" wrapText="1"/>
    </xf>
    <xf borderId="1" fillId="16" fontId="15" numFmtId="0" xfId="0" applyBorder="1" applyFill="1" applyFont="1"/>
    <xf borderId="1" fillId="16" fontId="66" numFmtId="0" xfId="0" applyAlignment="1" applyBorder="1" applyFill="1" applyFont="1">
      <alignment horizontal="center" shrinkToFit="0" vertical="center" wrapText="1"/>
    </xf>
    <xf borderId="1" fillId="16" fontId="67" numFmtId="0" xfId="0" applyAlignment="1" applyBorder="1" applyFill="1" applyFont="1">
      <alignment horizontal="center" readingOrder="0" shrinkToFit="0" vertical="center" wrapText="1"/>
    </xf>
    <xf borderId="1" fillId="16" fontId="53" numFmtId="0" xfId="0" applyAlignment="1" applyBorder="1" applyFill="1" applyFont="1">
      <alignment horizontal="left" readingOrder="0" shrinkToFit="0" vertical="center" wrapText="1"/>
    </xf>
    <xf borderId="1" fillId="16" fontId="57" numFmtId="0" xfId="0" applyAlignment="1" applyBorder="1" applyFill="1" applyFont="1">
      <alignment horizontal="center" readingOrder="0" shrinkToFit="0" vertical="center" wrapText="1"/>
    </xf>
    <xf borderId="1" fillId="16" fontId="58" numFmtId="0" xfId="0" applyAlignment="1" applyBorder="1" applyFill="1" applyFont="1">
      <alignment horizontal="center" readingOrder="0" shrinkToFit="0" vertical="center" wrapText="1"/>
    </xf>
    <xf borderId="1" fillId="24" fontId="37" numFmtId="0" xfId="0" applyAlignment="1" applyBorder="1" applyFill="1" applyFont="1">
      <alignment horizontal="center" shrinkToFit="0" vertical="center" wrapText="1"/>
    </xf>
    <xf borderId="1" fillId="16" fontId="53" numFmtId="0" xfId="0" applyAlignment="1" applyBorder="1" applyFill="1" applyFont="1">
      <alignment horizontal="left" readingOrder="0" shrinkToFit="0" vertical="center" wrapText="1"/>
    </xf>
    <xf borderId="1" fillId="16" fontId="59" numFmtId="0" xfId="0" applyAlignment="1" applyBorder="1" applyFill="1" applyFont="1">
      <alignment horizontal="left" readingOrder="0" shrinkToFit="0" vertical="center" wrapText="1"/>
    </xf>
    <xf borderId="1" fillId="16" fontId="60" numFmtId="0" xfId="0" applyAlignment="1" applyBorder="1" applyFill="1" applyFont="1">
      <alignment horizontal="left" readingOrder="0" shrinkToFit="0" vertical="center" wrapText="1"/>
    </xf>
    <xf borderId="1" fillId="16" fontId="61" numFmtId="0" xfId="0" applyAlignment="1" applyBorder="1" applyFill="1" applyFont="1">
      <alignment horizontal="left" readingOrder="0" shrinkToFit="0" vertical="center" wrapText="1"/>
    </xf>
    <xf borderId="1" fillId="26" fontId="47" numFmtId="0" xfId="0" applyAlignment="1" applyBorder="1" applyFill="1" applyFont="1">
      <alignment horizontal="center" readingOrder="0" shrinkToFit="0" vertical="center" wrapText="1"/>
    </xf>
    <xf borderId="1" fillId="26" fontId="48" numFmtId="0" xfId="0" applyAlignment="1" applyBorder="1" applyFill="1" applyFont="1">
      <alignment horizontal="center" readingOrder="0" shrinkToFit="0" vertical="center" wrapText="1"/>
    </xf>
    <xf borderId="1" fillId="26" fontId="49" numFmtId="0" xfId="0" applyAlignment="1" applyBorder="1" applyFill="1" applyFont="1">
      <alignment horizontal="center" readingOrder="0" shrinkToFit="0" vertical="center" wrapText="1"/>
    </xf>
    <xf borderId="1" fillId="26" fontId="50" numFmtId="0" xfId="0" applyAlignment="1" applyBorder="1" applyFill="1" applyFont="1">
      <alignment horizontal="center" readingOrder="0" shrinkToFit="0" vertical="center" wrapText="1"/>
    </xf>
    <xf borderId="1" fillId="26" fontId="51" numFmtId="0" xfId="0" applyAlignment="1" applyBorder="1" applyFill="1" applyFont="1">
      <alignment horizontal="center" readingOrder="0" shrinkToFit="0" vertical="center" wrapText="1"/>
    </xf>
    <xf borderId="1" fillId="26" fontId="52" numFmtId="0" xfId="0" applyAlignment="1" applyBorder="1" applyFill="1" applyFont="1">
      <alignment horizontal="center" readingOrder="0" shrinkToFit="0" vertical="center" wrapText="1"/>
    </xf>
    <xf borderId="1" fillId="26" fontId="53" numFmtId="0" xfId="0" applyAlignment="1" applyBorder="1" applyFill="1" applyFont="1">
      <alignment horizontal="center" readingOrder="0" shrinkToFit="0" vertical="center" wrapText="1"/>
    </xf>
    <xf borderId="1" fillId="26" fontId="48" numFmtId="0" xfId="0" applyAlignment="1" applyBorder="1" applyFill="1" applyFont="1">
      <alignment horizontal="left" readingOrder="0" shrinkToFit="0" vertical="center" wrapText="1"/>
    </xf>
    <xf borderId="1" fillId="26" fontId="54" numFmtId="0" xfId="0" applyAlignment="1" applyBorder="1" applyFill="1" applyFont="1">
      <alignment horizontal="center" readingOrder="0" shrinkToFit="0" vertical="center" wrapText="1"/>
    </xf>
    <xf borderId="1" fillId="26" fontId="15" numFmtId="0" xfId="0" applyBorder="1" applyFill="1" applyFont="1"/>
    <xf borderId="1" fillId="3" fontId="13" numFmtId="10" xfId="0" applyAlignment="1" applyBorder="1" applyFill="1" applyFont="1" applyNumberFormat="1">
      <alignment horizontal="center" shrinkToFit="0" vertical="center" wrapText="1"/>
    </xf>
    <xf borderId="1" fillId="26" fontId="68" numFmtId="0" xfId="0" applyAlignment="1" applyBorder="1" applyFill="1" applyFont="1">
      <alignment horizontal="center" readingOrder="0" shrinkToFit="0" vertical="center" wrapText="1"/>
    </xf>
    <xf borderId="1" fillId="26" fontId="69" numFmtId="0" xfId="0" applyAlignment="1" applyBorder="1" applyFill="1" applyFont="1">
      <alignment horizontal="center" readingOrder="0" shrinkToFit="0" vertical="center" wrapText="1"/>
    </xf>
    <xf borderId="1" fillId="26" fontId="53" numFmtId="0" xfId="0" applyAlignment="1" applyBorder="1" applyFill="1" applyFont="1">
      <alignment horizontal="left" readingOrder="0" shrinkToFit="0" vertical="center" wrapText="1"/>
    </xf>
    <xf borderId="1" fillId="26" fontId="57" numFmtId="0" xfId="0" applyAlignment="1" applyBorder="1" applyFill="1" applyFont="1">
      <alignment horizontal="center" readingOrder="0" shrinkToFit="0" vertical="center" wrapText="1"/>
    </xf>
    <xf borderId="1" fillId="26" fontId="58" numFmtId="0" xfId="0" applyAlignment="1" applyBorder="1" applyFill="1" applyFont="1">
      <alignment horizontal="center" readingOrder="0" shrinkToFit="0" vertical="center" wrapText="1"/>
    </xf>
    <xf borderId="1" fillId="22" fontId="13" numFmtId="0" xfId="0" applyAlignment="1" applyBorder="1" applyFill="1" applyFont="1">
      <alignment horizontal="center" shrinkToFit="0" vertical="center" wrapText="1"/>
    </xf>
    <xf borderId="1" fillId="26" fontId="53" numFmtId="0" xfId="0" applyAlignment="1" applyBorder="1" applyFill="1" applyFont="1">
      <alignment horizontal="left" readingOrder="0" shrinkToFit="0" vertical="center" wrapText="1"/>
    </xf>
    <xf borderId="1" fillId="22" fontId="13" numFmtId="10" xfId="0" applyAlignment="1" applyBorder="1" applyFill="1" applyFont="1" applyNumberFormat="1">
      <alignment horizontal="center" shrinkToFit="0" vertical="center" wrapText="1"/>
    </xf>
    <xf borderId="1" fillId="26" fontId="59" numFmtId="0" xfId="0" applyAlignment="1" applyBorder="1" applyFill="1" applyFont="1">
      <alignment horizontal="left" readingOrder="0" shrinkToFit="0" vertical="center" wrapText="1"/>
    </xf>
    <xf borderId="6" fillId="22" fontId="13" numFmtId="49" xfId="0" applyAlignment="1" applyBorder="1" applyFill="1" applyFont="1" applyNumberFormat="1">
      <alignment horizontal="center" shrinkToFit="0" vertical="center" wrapText="1"/>
    </xf>
    <xf borderId="1" fillId="26" fontId="60" numFmtId="0" xfId="0" applyAlignment="1" applyBorder="1" applyFill="1" applyFont="1">
      <alignment horizontal="left" readingOrder="0" shrinkToFit="0" vertical="center" wrapText="1"/>
    </xf>
    <xf borderId="1" fillId="22" fontId="13" numFmtId="49" xfId="0" applyAlignment="1" applyBorder="1" applyFill="1" applyFont="1" applyNumberFormat="1">
      <alignment horizontal="center" shrinkToFit="0" vertical="center" wrapText="1"/>
    </xf>
    <xf borderId="7" fillId="22" fontId="13" numFmtId="0" xfId="0" applyAlignment="1" applyBorder="1" applyFill="1" applyFont="1">
      <alignment horizontal="center" shrinkToFit="0" vertical="center" wrapText="1"/>
    </xf>
    <xf borderId="1" fillId="26" fontId="61" numFmtId="0" xfId="0" applyAlignment="1" applyBorder="1" applyFill="1" applyFont="1">
      <alignment horizontal="left" readingOrder="0" shrinkToFit="0" vertical="center" wrapText="1"/>
    </xf>
    <xf borderId="0" fillId="22" fontId="13" numFmtId="0" xfId="0" applyAlignment="1" applyFill="1" applyFont="1">
      <alignment horizontal="center" shrinkToFit="0" vertical="center" wrapText="1"/>
    </xf>
    <xf borderId="1" fillId="22" fontId="47" numFmtId="0" xfId="0" applyAlignment="1" applyBorder="1" applyFill="1" applyFont="1">
      <alignment horizontal="center" readingOrder="0" shrinkToFit="0" vertical="center" wrapText="1"/>
    </xf>
    <xf borderId="0" fillId="22" fontId="15" numFmtId="0" xfId="0" applyAlignment="1" applyFill="1" applyFont="1">
      <alignment horizontal="center" shrinkToFit="0" vertical="center" wrapText="1"/>
    </xf>
    <xf borderId="1" fillId="22" fontId="48" numFmtId="0" xfId="0" applyAlignment="1" applyBorder="1" applyFill="1" applyFont="1">
      <alignment horizontal="center" readingOrder="0" shrinkToFit="0" vertical="center" wrapText="1"/>
    </xf>
    <xf borderId="1" fillId="22" fontId="49" numFmtId="0" xfId="0" applyAlignment="1" applyBorder="1" applyFill="1" applyFont="1">
      <alignment horizontal="center" readingOrder="0" shrinkToFit="0" vertical="center" wrapText="1"/>
    </xf>
    <xf borderId="1" fillId="22" fontId="50" numFmtId="0" xfId="0" applyAlignment="1" applyBorder="1" applyFill="1" applyFont="1">
      <alignment horizontal="center" readingOrder="0" shrinkToFit="0" vertical="center" wrapText="1"/>
    </xf>
    <xf borderId="1" fillId="22" fontId="51" numFmtId="0" xfId="0" applyAlignment="1" applyBorder="1" applyFill="1" applyFont="1">
      <alignment horizontal="center" readingOrder="0" shrinkToFit="0" vertical="center" wrapText="1"/>
    </xf>
    <xf borderId="1" fillId="24" fontId="12" numFmtId="10" xfId="0" applyAlignment="1" applyBorder="1" applyFill="1" applyFont="1" applyNumberFormat="1">
      <alignment horizontal="center" shrinkToFit="0" vertical="center" wrapText="1"/>
    </xf>
    <xf borderId="1" fillId="22" fontId="52" numFmtId="0" xfId="0" applyAlignment="1" applyBorder="1" applyFill="1" applyFont="1">
      <alignment horizontal="center" readingOrder="0" shrinkToFit="0" vertical="center" wrapText="1"/>
    </xf>
    <xf borderId="1" fillId="22" fontId="53" numFmtId="0" xfId="0" applyAlignment="1" applyBorder="1" applyFill="1" applyFont="1">
      <alignment horizontal="center" readingOrder="0" shrinkToFit="0" vertical="center" wrapText="1"/>
    </xf>
    <xf borderId="1" fillId="22" fontId="48" numFmtId="0" xfId="0" applyAlignment="1" applyBorder="1" applyFill="1" applyFont="1">
      <alignment horizontal="left" readingOrder="0" shrinkToFit="0" vertical="center" wrapText="1"/>
    </xf>
    <xf borderId="1" fillId="22" fontId="12" numFmtId="0" xfId="0" applyAlignment="1" applyBorder="1" applyFill="1" applyFont="1">
      <alignment horizontal="center" shrinkToFit="0" vertical="center" wrapText="1"/>
    </xf>
    <xf borderId="1" fillId="22" fontId="54" numFmtId="0" xfId="0" applyAlignment="1" applyBorder="1" applyFill="1" applyFont="1">
      <alignment horizontal="center" readingOrder="0" shrinkToFit="0" vertical="center" wrapText="1"/>
    </xf>
    <xf borderId="1" fillId="22" fontId="15" numFmtId="0" xfId="0" applyBorder="1" applyFill="1" applyFont="1"/>
    <xf borderId="1" fillId="29" fontId="13" numFmtId="0" xfId="0" applyAlignment="1" applyBorder="1" applyFill="1" applyFont="1">
      <alignment horizontal="center" shrinkToFit="0" vertical="center" wrapText="1"/>
    </xf>
    <xf borderId="6" fillId="29" fontId="13" numFmtId="49" xfId="0" applyAlignment="1" applyBorder="1" applyFill="1" applyFont="1" applyNumberFormat="1">
      <alignment horizontal="center" shrinkToFit="0" vertical="center" wrapText="1"/>
    </xf>
    <xf borderId="1" fillId="29" fontId="13" numFmtId="49" xfId="0" applyAlignment="1" applyBorder="1" applyFill="1" applyFont="1" applyNumberFormat="1">
      <alignment horizontal="center" shrinkToFit="0" vertical="center" wrapText="1"/>
    </xf>
    <xf borderId="1" fillId="22" fontId="70" numFmtId="0" xfId="0" applyAlignment="1" applyBorder="1" applyFill="1" applyFont="1">
      <alignment horizontal="center" readingOrder="0" shrinkToFit="0" vertical="center" wrapText="1"/>
    </xf>
    <xf borderId="7" fillId="29" fontId="13" numFmtId="0" xfId="0" applyAlignment="1" applyBorder="1" applyFill="1" applyFont="1">
      <alignment horizontal="center" shrinkToFit="0" vertical="center" wrapText="1"/>
    </xf>
    <xf borderId="0" fillId="29" fontId="13" numFmtId="0" xfId="0" applyAlignment="1" applyFill="1" applyFont="1">
      <alignment horizontal="center" shrinkToFit="0" vertical="center" wrapText="1"/>
    </xf>
    <xf borderId="0" fillId="29" fontId="15" numFmtId="0" xfId="0" applyAlignment="1" applyFill="1" applyFont="1">
      <alignment horizontal="center" shrinkToFit="0" vertical="center" wrapText="1"/>
    </xf>
    <xf borderId="1" fillId="22" fontId="71" numFmtId="0" xfId="0" applyAlignment="1" applyBorder="1" applyFill="1" applyFont="1">
      <alignment horizontal="center" readingOrder="0" shrinkToFit="0" vertical="center" wrapText="1"/>
    </xf>
    <xf borderId="1" fillId="29" fontId="13" numFmtId="10" xfId="0" applyAlignment="1" applyBorder="1" applyFill="1" applyFont="1" applyNumberFormat="1">
      <alignment horizontal="center" shrinkToFit="0" vertical="center" wrapText="1"/>
    </xf>
    <xf borderId="1" fillId="22" fontId="53" numFmtId="0" xfId="0" applyAlignment="1" applyBorder="1" applyFill="1" applyFont="1">
      <alignment horizontal="left" readingOrder="0" shrinkToFit="0" vertical="center" wrapText="1"/>
    </xf>
    <xf borderId="1" fillId="22" fontId="57" numFmtId="0" xfId="0" applyAlignment="1" applyBorder="1" applyFill="1" applyFont="1">
      <alignment horizontal="center" readingOrder="0" shrinkToFit="0" vertical="center" wrapText="1"/>
    </xf>
    <xf borderId="1" fillId="22" fontId="58" numFmtId="0" xfId="0" applyAlignment="1" applyBorder="1" applyFill="1" applyFont="1">
      <alignment horizontal="center" readingOrder="0" shrinkToFit="0" vertical="center" wrapText="1"/>
    </xf>
    <xf borderId="1" fillId="29" fontId="37" numFmtId="0" xfId="0" applyAlignment="1" applyBorder="1" applyFill="1" applyFont="1">
      <alignment horizontal="center" shrinkToFit="0" vertical="center" wrapText="1"/>
    </xf>
    <xf borderId="1" fillId="22" fontId="53" numFmtId="0" xfId="0" applyAlignment="1" applyBorder="1" applyFill="1" applyFont="1">
      <alignment horizontal="left" readingOrder="0" shrinkToFit="0" vertical="center" wrapText="1"/>
    </xf>
    <xf borderId="1" fillId="22" fontId="59" numFmtId="0" xfId="0" applyAlignment="1" applyBorder="1" applyFill="1" applyFont="1">
      <alignment horizontal="left" readingOrder="0" shrinkToFit="0" vertical="center" wrapText="1"/>
    </xf>
    <xf borderId="1" fillId="22" fontId="72" numFmtId="166" xfId="0" applyAlignment="1" applyBorder="1" applyFill="1" applyFont="1" applyNumberFormat="1">
      <alignment horizontal="left" readingOrder="0" shrinkToFit="0" vertical="center" wrapText="1"/>
    </xf>
    <xf borderId="1" fillId="22" fontId="73" numFmtId="166" xfId="0" applyAlignment="1" applyBorder="1" applyFill="1" applyFont="1" applyNumberFormat="1">
      <alignment horizontal="left" readingOrder="0" shrinkToFit="0" vertical="center" wrapText="1"/>
    </xf>
    <xf borderId="1" fillId="22" fontId="74" numFmtId="0" xfId="0" applyAlignment="1" applyBorder="1" applyFill="1" applyFont="1">
      <alignment horizontal="center" readingOrder="0" shrinkToFit="0" vertical="center" wrapText="1"/>
    </xf>
    <xf borderId="1" fillId="30" fontId="13" numFmtId="0" xfId="0" applyAlignment="1" applyBorder="1" applyFill="1" applyFont="1">
      <alignment horizontal="center" shrinkToFit="0" vertical="center" wrapText="1"/>
    </xf>
    <xf borderId="6" fillId="30" fontId="13" numFmtId="49" xfId="0" applyAlignment="1" applyBorder="1" applyFill="1" applyFont="1" applyNumberFormat="1">
      <alignment horizontal="center" shrinkToFit="0" vertical="center" wrapText="1"/>
    </xf>
    <xf borderId="1" fillId="30" fontId="13" numFmtId="49" xfId="0" applyAlignment="1" applyBorder="1" applyFill="1" applyFont="1" applyNumberFormat="1">
      <alignment horizontal="center" shrinkToFit="0" vertical="center" wrapText="1"/>
    </xf>
    <xf borderId="7" fillId="30" fontId="13" numFmtId="0" xfId="0" applyAlignment="1" applyBorder="1" applyFill="1" applyFont="1">
      <alignment horizontal="center" shrinkToFit="0" vertical="center" wrapText="1"/>
    </xf>
    <xf borderId="0" fillId="30" fontId="13" numFmtId="0" xfId="0" applyAlignment="1" applyFill="1" applyFont="1">
      <alignment horizontal="center" shrinkToFit="0" vertical="center" wrapText="1"/>
    </xf>
    <xf borderId="0" fillId="30" fontId="15" numFmtId="0" xfId="0" applyAlignment="1" applyFill="1" applyFont="1">
      <alignment horizontal="center" shrinkToFit="0" vertical="center" wrapText="1"/>
    </xf>
    <xf borderId="1" fillId="22" fontId="75" numFmtId="0" xfId="0" applyAlignment="1" applyBorder="1" applyFill="1" applyFont="1">
      <alignment horizontal="center" readingOrder="0" shrinkToFit="0" vertical="center" wrapText="1"/>
    </xf>
    <xf borderId="1" fillId="30" fontId="13" numFmtId="10" xfId="0" applyAlignment="1" applyBorder="1" applyFill="1" applyFont="1" applyNumberFormat="1">
      <alignment horizontal="center" shrinkToFit="0" vertical="center" wrapText="1"/>
    </xf>
    <xf borderId="1" fillId="30" fontId="12" numFmtId="0" xfId="0" applyAlignment="1" applyBorder="1" applyFill="1" applyFont="1">
      <alignment horizontal="center" shrinkToFit="0" vertical="center" wrapText="1"/>
    </xf>
    <xf borderId="1" fillId="22" fontId="43" numFmtId="165" xfId="0" applyAlignment="1" applyBorder="1" applyFill="1" applyFont="1" applyNumberFormat="1">
      <alignment horizontal="center" readingOrder="0" shrinkToFit="0" vertical="center" wrapText="1"/>
    </xf>
    <xf borderId="1" fillId="22" fontId="44" numFmtId="0" xfId="0" applyAlignment="1" applyBorder="1" applyFill="1" applyFont="1">
      <alignment horizontal="center" readingOrder="0" vertical="center"/>
    </xf>
    <xf quotePrefix="1" borderId="1" fillId="30" fontId="13" numFmtId="49" xfId="0" applyAlignment="1" applyBorder="1" applyFill="1" applyFont="1" applyNumberFormat="1">
      <alignment horizontal="center" shrinkToFit="0" vertical="center" wrapText="1"/>
    </xf>
    <xf borderId="1" fillId="31" fontId="29" numFmtId="0" xfId="0" applyAlignment="1" applyBorder="1" applyFill="1" applyFont="1">
      <alignment horizontal="center" readingOrder="0" shrinkToFit="0" vertical="center" wrapText="1"/>
    </xf>
    <xf borderId="1" fillId="31" fontId="30" numFmtId="0" xfId="0" applyAlignment="1" applyBorder="1" applyFill="1" applyFont="1">
      <alignment horizontal="center" readingOrder="0" shrinkToFit="0" vertical="center" wrapText="1"/>
    </xf>
    <xf borderId="1" fillId="31" fontId="31" numFmtId="0" xfId="0" applyAlignment="1" applyBorder="1" applyFill="1" applyFont="1">
      <alignment horizontal="center" readingOrder="0" shrinkToFit="0" vertical="center" wrapText="1"/>
    </xf>
    <xf borderId="1" fillId="31" fontId="32" numFmtId="0" xfId="0" applyAlignment="1" applyBorder="1" applyFill="1" applyFont="1">
      <alignment horizontal="center" readingOrder="0" shrinkToFit="0" vertical="center" wrapText="1"/>
    </xf>
    <xf borderId="1" fillId="31" fontId="33" numFmtId="0" xfId="0" applyAlignment="1" applyBorder="1" applyFill="1" applyFont="1">
      <alignment horizontal="center" readingOrder="0" shrinkToFit="0" vertical="center" wrapText="1"/>
    </xf>
    <xf borderId="1" fillId="31" fontId="34" numFmtId="0" xfId="0" applyAlignment="1" applyBorder="1" applyFill="1" applyFont="1">
      <alignment horizontal="center" readingOrder="0" shrinkToFit="0" vertical="center" wrapText="1"/>
    </xf>
    <xf borderId="1" fillId="31" fontId="35" numFmtId="0" xfId="0" applyAlignment="1" applyBorder="1" applyFill="1" applyFont="1">
      <alignment horizontal="center" readingOrder="0" shrinkToFit="0" vertical="center" wrapText="1"/>
    </xf>
    <xf borderId="8" fillId="3" fontId="13" numFmtId="0" xfId="0" applyAlignment="1" applyBorder="1" applyFill="1" applyFont="1">
      <alignment horizontal="center" shrinkToFit="0" vertical="center" wrapText="1"/>
    </xf>
    <xf borderId="1" fillId="31" fontId="30" numFmtId="0" xfId="0" applyAlignment="1" applyBorder="1" applyFill="1" applyFont="1">
      <alignment horizontal="left" readingOrder="0" shrinkToFit="0" vertical="center" wrapText="1"/>
    </xf>
    <xf borderId="1" fillId="31" fontId="36" numFmtId="0" xfId="0" applyAlignment="1" applyBorder="1" applyFill="1" applyFont="1">
      <alignment horizontal="center" readingOrder="0" shrinkToFit="0" vertical="center" wrapText="1"/>
    </xf>
    <xf borderId="1" fillId="31" fontId="35" numFmtId="0" xfId="0" applyAlignment="1" applyBorder="1" applyFill="1" applyFont="1">
      <alignment horizontal="center" shrinkToFit="0" vertical="center" wrapText="1"/>
    </xf>
    <xf borderId="1" fillId="31" fontId="38" numFmtId="0" xfId="0" applyBorder="1" applyFill="1" applyFont="1"/>
    <xf borderId="9" fillId="3" fontId="13" numFmtId="0" xfId="0" applyAlignment="1" applyBorder="1" applyFill="1" applyFont="1">
      <alignment horizontal="center" shrinkToFit="0" vertical="center" wrapText="1"/>
    </xf>
    <xf borderId="1" fillId="11" fontId="13" numFmtId="0" xfId="0" applyAlignment="1" applyBorder="1" applyFill="1" applyFont="1">
      <alignment horizontal="center" shrinkToFit="0" vertical="center" wrapText="1"/>
    </xf>
    <xf borderId="1" fillId="31" fontId="76" numFmtId="0" xfId="0" applyAlignment="1" applyBorder="1" applyFill="1" applyFont="1">
      <alignment horizontal="center" shrinkToFit="0" vertical="center" wrapText="1"/>
    </xf>
    <xf borderId="6" fillId="11" fontId="13" numFmtId="49" xfId="0" applyAlignment="1" applyBorder="1" applyFill="1" applyFont="1" applyNumberFormat="1">
      <alignment horizontal="center" shrinkToFit="0" vertical="center" wrapText="1"/>
    </xf>
    <xf borderId="1" fillId="11" fontId="13" numFmtId="49" xfId="0" applyAlignment="1" applyBorder="1" applyFill="1" applyFont="1" applyNumberFormat="1">
      <alignment horizontal="center" shrinkToFit="0" vertical="center" wrapText="1"/>
    </xf>
    <xf borderId="7" fillId="11" fontId="13" numFmtId="0" xfId="0" applyAlignment="1" applyBorder="1" applyFill="1" applyFont="1">
      <alignment horizontal="center" shrinkToFit="0" vertical="center" wrapText="1"/>
    </xf>
    <xf borderId="1" fillId="31" fontId="77" numFmtId="0" xfId="0" applyAlignment="1" applyBorder="1" applyFill="1" applyFont="1">
      <alignment horizontal="center" readingOrder="0" shrinkToFit="0" vertical="center" wrapText="1"/>
    </xf>
    <xf borderId="0" fillId="11" fontId="13" numFmtId="0" xfId="0" applyAlignment="1" applyFill="1" applyFont="1">
      <alignment horizontal="center" shrinkToFit="0" vertical="center" wrapText="1"/>
    </xf>
    <xf borderId="0" fillId="11" fontId="15" numFmtId="0" xfId="0" applyAlignment="1" applyFill="1" applyFont="1">
      <alignment horizontal="center" shrinkToFit="0" vertical="center" wrapText="1"/>
    </xf>
    <xf borderId="1" fillId="31" fontId="35" numFmtId="0" xfId="0" applyAlignment="1" applyBorder="1" applyFill="1" applyFont="1">
      <alignment horizontal="left" readingOrder="0" shrinkToFit="0" vertical="center" wrapText="1"/>
    </xf>
    <xf borderId="1" fillId="31" fontId="41" numFmtId="0" xfId="0" applyAlignment="1" applyBorder="1" applyFill="1" applyFont="1">
      <alignment horizontal="center" readingOrder="0" shrinkToFit="0" vertical="center" wrapText="1"/>
    </xf>
    <xf borderId="1" fillId="31" fontId="42" numFmtId="0" xfId="0" applyAlignment="1" applyBorder="1" applyFill="1" applyFont="1">
      <alignment horizontal="center" readingOrder="0" shrinkToFit="0" vertical="center" wrapText="1"/>
    </xf>
    <xf borderId="1" fillId="31" fontId="43" numFmtId="165" xfId="0" applyAlignment="1" applyBorder="1" applyFill="1" applyFont="1" applyNumberFormat="1">
      <alignment horizontal="center" readingOrder="0" shrinkToFit="0" vertical="center" wrapText="1"/>
    </xf>
    <xf borderId="1" fillId="31" fontId="44" numFmtId="0" xfId="0" applyAlignment="1" applyBorder="1" applyFill="1" applyFont="1">
      <alignment horizontal="center" readingOrder="0" vertical="center"/>
    </xf>
    <xf borderId="1" fillId="31" fontId="35" numFmtId="0" xfId="0" applyAlignment="1" applyBorder="1" applyFill="1" applyFont="1">
      <alignment horizontal="left" readingOrder="0" shrinkToFit="0" vertical="center" wrapText="1"/>
    </xf>
    <xf borderId="1" fillId="31" fontId="45" numFmtId="0" xfId="0" applyAlignment="1" applyBorder="1" applyFill="1" applyFont="1">
      <alignment horizontal="left" readingOrder="0" shrinkToFit="0" vertical="center" wrapText="1"/>
    </xf>
    <xf borderId="1" fillId="31" fontId="64" numFmtId="0" xfId="0" applyAlignment="1" applyBorder="1" applyFill="1" applyFont="1">
      <alignment horizontal="left" readingOrder="0" shrinkToFit="0" vertical="center" wrapText="1"/>
    </xf>
    <xf borderId="1" fillId="31" fontId="65" numFmtId="0" xfId="0" applyAlignment="1" applyBorder="1" applyFill="1" applyFont="1">
      <alignment horizontal="left" readingOrder="0" shrinkToFit="0" vertical="center" wrapText="1"/>
    </xf>
    <xf borderId="1" fillId="26" fontId="12" numFmtId="0" xfId="0" applyAlignment="1" applyBorder="1" applyFill="1" applyFont="1">
      <alignment horizontal="center" shrinkToFit="0" vertical="center" wrapText="1"/>
    </xf>
    <xf borderId="1" fillId="16" fontId="78" numFmtId="0" xfId="0" applyAlignment="1" applyBorder="1" applyFill="1" applyFont="1">
      <alignment horizontal="center" readingOrder="0" shrinkToFit="0" vertical="center" wrapText="1"/>
    </xf>
    <xf borderId="1" fillId="32" fontId="13" numFmtId="0" xfId="0" applyAlignment="1" applyBorder="1" applyFill="1" applyFont="1">
      <alignment horizontal="center" shrinkToFit="0" vertical="center" wrapText="1"/>
    </xf>
    <xf borderId="1" fillId="32" fontId="13" numFmtId="10" xfId="0" applyAlignment="1" applyBorder="1" applyFill="1" applyFont="1" applyNumberFormat="1">
      <alignment horizontal="center" shrinkToFit="0" vertical="center" wrapText="1"/>
    </xf>
    <xf borderId="1" fillId="16" fontId="79" numFmtId="0" xfId="0" applyAlignment="1" applyBorder="1" applyFill="1" applyFont="1">
      <alignment horizontal="center" readingOrder="0" shrinkToFit="0" vertical="center" wrapText="1"/>
    </xf>
    <xf borderId="6" fillId="32" fontId="13" numFmtId="49" xfId="0" applyAlignment="1" applyBorder="1" applyFill="1" applyFont="1" applyNumberFormat="1">
      <alignment horizontal="center" shrinkToFit="0" vertical="center" wrapText="1"/>
    </xf>
    <xf borderId="1" fillId="32" fontId="13" numFmtId="49" xfId="0" applyAlignment="1" applyBorder="1" applyFill="1" applyFont="1" applyNumberFormat="1">
      <alignment horizontal="center" shrinkToFit="0" vertical="center" wrapText="1"/>
    </xf>
    <xf borderId="7" fillId="32" fontId="13" numFmtId="0" xfId="0" applyAlignment="1" applyBorder="1" applyFill="1" applyFont="1">
      <alignment horizontal="center" shrinkToFit="0" vertical="center" wrapText="1"/>
    </xf>
    <xf borderId="0" fillId="32" fontId="13" numFmtId="0" xfId="0" applyAlignment="1" applyFill="1" applyFont="1">
      <alignment horizontal="center" shrinkToFit="0" vertical="center" wrapText="1"/>
    </xf>
    <xf borderId="0" fillId="32" fontId="15" numFmtId="0" xfId="0" applyAlignment="1" applyFill="1" applyFont="1">
      <alignment horizontal="center" shrinkToFit="0" vertical="center" wrapText="1"/>
    </xf>
    <xf borderId="1" fillId="16" fontId="72" numFmtId="166" xfId="0" applyAlignment="1" applyBorder="1" applyFill="1" applyFont="1" applyNumberFormat="1">
      <alignment horizontal="left" readingOrder="0" shrinkToFit="0" vertical="center" wrapText="1"/>
    </xf>
    <xf borderId="1" fillId="16" fontId="73" numFmtId="166" xfId="0" applyAlignment="1" applyBorder="1" applyFill="1" applyFont="1" applyNumberFormat="1">
      <alignment horizontal="left" readingOrder="0" shrinkToFit="0" vertical="center" wrapText="1"/>
    </xf>
    <xf borderId="1" fillId="22" fontId="53" numFmtId="0" xfId="0" applyAlignment="1" applyBorder="1" applyFill="1" applyFont="1">
      <alignment horizontal="center" shrinkToFit="0" vertical="center" wrapText="1"/>
    </xf>
    <xf borderId="1" fillId="22" fontId="80" numFmtId="0" xfId="0" applyAlignment="1" applyBorder="1" applyFill="1" applyFont="1">
      <alignment horizontal="center" shrinkToFit="0" vertical="center" wrapText="1"/>
    </xf>
    <xf borderId="1" fillId="22" fontId="81" numFmtId="0" xfId="0" applyAlignment="1" applyBorder="1" applyFill="1" applyFont="1">
      <alignment horizontal="center" readingOrder="0" shrinkToFit="0" vertical="center" wrapText="1"/>
    </xf>
    <xf borderId="1" fillId="25" fontId="44" numFmtId="0" xfId="0" applyAlignment="1" applyBorder="1" applyFill="1" applyFont="1">
      <alignment horizontal="center" vertical="center"/>
    </xf>
    <xf borderId="1" fillId="22" fontId="82" numFmtId="0" xfId="0" applyAlignment="1" applyBorder="1" applyFill="1" applyFont="1">
      <alignment horizontal="left" readingOrder="0" shrinkToFit="0" vertical="center" wrapText="1"/>
    </xf>
    <xf borderId="1" fillId="22" fontId="83" numFmtId="0" xfId="0" applyAlignment="1" applyBorder="1" applyFill="1" applyFont="1">
      <alignment horizontal="left" readingOrder="0" shrinkToFit="0" vertical="center" wrapText="1"/>
    </xf>
    <xf borderId="1" fillId="28" fontId="29" numFmtId="0" xfId="0" applyAlignment="1" applyBorder="1" applyFill="1" applyFont="1">
      <alignment horizontal="center" readingOrder="0" shrinkToFit="0" vertical="center" wrapText="1"/>
    </xf>
    <xf borderId="9" fillId="26" fontId="13" numFmtId="0" xfId="0" applyAlignment="1" applyBorder="1" applyFill="1" applyFont="1">
      <alignment horizontal="center" shrinkToFit="0" vertical="center" wrapText="1"/>
    </xf>
    <xf borderId="1" fillId="28" fontId="30" numFmtId="0" xfId="0" applyAlignment="1" applyBorder="1" applyFill="1" applyFont="1">
      <alignment horizontal="center" readingOrder="0" shrinkToFit="0" vertical="center" wrapText="1"/>
    </xf>
    <xf borderId="1" fillId="28" fontId="31" numFmtId="0" xfId="0" applyAlignment="1" applyBorder="1" applyFill="1" applyFont="1">
      <alignment horizontal="center" readingOrder="0" shrinkToFit="0" vertical="center" wrapText="1"/>
    </xf>
    <xf borderId="1" fillId="28" fontId="32" numFmtId="0" xfId="0" applyAlignment="1" applyBorder="1" applyFill="1" applyFont="1">
      <alignment horizontal="center" readingOrder="0" shrinkToFit="0" vertical="center" wrapText="1"/>
    </xf>
    <xf borderId="1" fillId="26" fontId="13" numFmtId="10" xfId="0" applyAlignment="1" applyBorder="1" applyFill="1" applyFont="1" applyNumberFormat="1">
      <alignment horizontal="center" shrinkToFit="0" vertical="center" wrapText="1"/>
    </xf>
    <xf borderId="1" fillId="28" fontId="33" numFmtId="0" xfId="0" applyAlignment="1" applyBorder="1" applyFill="1" applyFont="1">
      <alignment horizontal="center" readingOrder="0" shrinkToFit="0" vertical="center" wrapText="1"/>
    </xf>
    <xf borderId="1" fillId="28" fontId="34" numFmtId="0" xfId="0" applyAlignment="1" applyBorder="1" applyFill="1" applyFont="1">
      <alignment horizontal="center" readingOrder="0" shrinkToFit="0" vertical="center" wrapText="1"/>
    </xf>
    <xf borderId="1" fillId="28" fontId="35" numFmtId="0" xfId="0" applyAlignment="1" applyBorder="1" applyFill="1" applyFont="1">
      <alignment horizontal="center" readingOrder="0" shrinkToFit="0" vertical="center" wrapText="1"/>
    </xf>
    <xf borderId="1" fillId="28" fontId="30" numFmtId="0" xfId="0" applyAlignment="1" applyBorder="1" applyFill="1" applyFont="1">
      <alignment horizontal="left" readingOrder="0" shrinkToFit="0" vertical="center" wrapText="1"/>
    </xf>
    <xf borderId="1" fillId="28" fontId="36" numFmtId="0" xfId="0" applyAlignment="1" applyBorder="1" applyFill="1" applyFont="1">
      <alignment horizontal="center" readingOrder="0" shrinkToFit="0" vertical="center" wrapText="1"/>
    </xf>
    <xf borderId="1" fillId="28" fontId="35" numFmtId="0" xfId="0" applyAlignment="1" applyBorder="1" applyFill="1" applyFont="1">
      <alignment horizontal="center" shrinkToFit="0" vertical="center" wrapText="1"/>
    </xf>
    <xf borderId="1" fillId="28" fontId="38" numFmtId="0" xfId="0" applyBorder="1" applyFill="1" applyFont="1"/>
    <xf borderId="1" fillId="28" fontId="84" numFmtId="0" xfId="0" applyAlignment="1" applyBorder="1" applyFill="1" applyFont="1">
      <alignment horizontal="center" shrinkToFit="0" vertical="center" wrapText="1"/>
    </xf>
    <xf borderId="1" fillId="28" fontId="85" numFmtId="0" xfId="0" applyAlignment="1" applyBorder="1" applyFill="1" applyFont="1">
      <alignment horizontal="center" readingOrder="0" shrinkToFit="0" vertical="center" wrapText="1"/>
    </xf>
    <xf borderId="1" fillId="28" fontId="35" numFmtId="0" xfId="0" applyAlignment="1" applyBorder="1" applyFill="1" applyFont="1">
      <alignment horizontal="left" readingOrder="0" shrinkToFit="0" vertical="center" wrapText="1"/>
    </xf>
    <xf borderId="1" fillId="28" fontId="41" numFmtId="0" xfId="0" applyAlignment="1" applyBorder="1" applyFill="1" applyFont="1">
      <alignment horizontal="center" readingOrder="0" shrinkToFit="0" vertical="center" wrapText="1"/>
    </xf>
    <xf borderId="1" fillId="28" fontId="42" numFmtId="0" xfId="0" applyAlignment="1" applyBorder="1" applyFill="1" applyFont="1">
      <alignment horizontal="center" readingOrder="0" shrinkToFit="0" vertical="center" wrapText="1"/>
    </xf>
    <xf borderId="1" fillId="29" fontId="12" numFmtId="0" xfId="0" applyAlignment="1" applyBorder="1" applyFill="1" applyFont="1">
      <alignment horizontal="center" shrinkToFit="0" vertical="center" wrapText="1"/>
    </xf>
    <xf borderId="1" fillId="28" fontId="35" numFmtId="0" xfId="0" applyAlignment="1" applyBorder="1" applyFill="1" applyFont="1">
      <alignment horizontal="left" readingOrder="0" shrinkToFit="0" vertical="center" wrapText="1"/>
    </xf>
    <xf borderId="1" fillId="28" fontId="45" numFmtId="0" xfId="0" applyAlignment="1" applyBorder="1" applyFill="1" applyFont="1">
      <alignment horizontal="left" readingOrder="0" shrinkToFit="0" vertical="center" wrapText="1"/>
    </xf>
    <xf borderId="1" fillId="28" fontId="64" numFmtId="0" xfId="0" applyAlignment="1" applyBorder="1" applyFill="1" applyFont="1">
      <alignment horizontal="left" readingOrder="0" shrinkToFit="0" vertical="center" wrapText="1"/>
    </xf>
    <xf borderId="1" fillId="28" fontId="65" numFmtId="0" xfId="0" applyAlignment="1" applyBorder="1" applyFill="1" applyFont="1">
      <alignment horizontal="left" readingOrder="0" shrinkToFit="0" vertical="center" wrapText="1"/>
    </xf>
    <xf borderId="7" fillId="29" fontId="86" numFmtId="0" xfId="0" applyAlignment="1" applyBorder="1" applyFill="1" applyFont="1">
      <alignment horizontal="center" shrinkToFit="0" vertical="center" wrapText="1"/>
    </xf>
    <xf borderId="1" fillId="21" fontId="53" numFmtId="0" xfId="0" applyAlignment="1" applyBorder="1" applyFill="1" applyFont="1">
      <alignment horizontal="center" shrinkToFit="0" vertical="center" wrapText="1"/>
    </xf>
    <xf borderId="1" fillId="21" fontId="87" numFmtId="0" xfId="0" applyAlignment="1" applyBorder="1" applyFill="1" applyFont="1">
      <alignment horizontal="center" shrinkToFit="0" vertical="center" wrapText="1"/>
    </xf>
    <xf borderId="1" fillId="21" fontId="53" numFmtId="0" xfId="0" applyAlignment="1" applyBorder="1" applyFill="1" applyFont="1">
      <alignment horizontal="left" readingOrder="0" shrinkToFit="0" vertical="center" wrapText="1"/>
    </xf>
    <xf borderId="1" fillId="21" fontId="43" numFmtId="165" xfId="0" applyAlignment="1" applyBorder="1" applyFill="1" applyFont="1" applyNumberFormat="1">
      <alignment horizontal="center" readingOrder="0" shrinkToFit="0" vertical="center" wrapText="1"/>
    </xf>
    <xf borderId="1" fillId="21" fontId="44" numFmtId="0" xfId="0" applyAlignment="1" applyBorder="1" applyFill="1" applyFont="1">
      <alignment horizontal="center" readingOrder="0" vertical="center"/>
    </xf>
    <xf borderId="1" fillId="21" fontId="88" numFmtId="0" xfId="0" applyAlignment="1" applyBorder="1" applyFill="1" applyFont="1">
      <alignment horizontal="center" readingOrder="0" shrinkToFit="0" vertical="center" wrapText="1"/>
    </xf>
    <xf borderId="1" fillId="29" fontId="12" numFmtId="10" xfId="0" applyAlignment="1" applyBorder="1" applyFill="1" applyFont="1" applyNumberFormat="1">
      <alignment horizontal="center" shrinkToFit="0" vertical="center" wrapText="1"/>
    </xf>
    <xf borderId="1" fillId="23" fontId="12" numFmtId="10" xfId="0" applyAlignment="1" applyBorder="1" applyFill="1" applyFont="1" applyNumberFormat="1">
      <alignment horizontal="center" shrinkToFit="0" vertical="center" wrapText="1"/>
    </xf>
    <xf borderId="1" fillId="23" fontId="12" numFmtId="0" xfId="0" applyAlignment="1" applyBorder="1" applyFill="1" applyFont="1">
      <alignment horizontal="center" shrinkToFit="0" vertical="center" wrapText="1"/>
    </xf>
    <xf borderId="1" fillId="28" fontId="13" numFmtId="10" xfId="0" applyAlignment="1" applyBorder="1" applyFill="1" applyFont="1" applyNumberFormat="1">
      <alignment horizontal="center" shrinkToFit="0" vertical="center" wrapText="1"/>
    </xf>
    <xf borderId="7" fillId="28" fontId="37" numFmtId="0" xfId="0" applyAlignment="1" applyBorder="1" applyFill="1" applyFont="1">
      <alignment horizontal="center" shrinkToFit="0" vertical="center" wrapText="1"/>
    </xf>
    <xf borderId="7" fillId="22" fontId="86" numFmtId="0" xfId="0" applyAlignment="1" applyBorder="1" applyFill="1" applyFont="1">
      <alignment horizontal="center" shrinkToFit="0" vertical="center" wrapText="1"/>
    </xf>
    <xf borderId="1" fillId="3" fontId="12" numFmtId="0" xfId="0" applyAlignment="1" applyBorder="1" applyFill="1" applyFont="1">
      <alignment horizontal="center" shrinkToFit="0" vertical="center" wrapText="1"/>
    </xf>
    <xf borderId="1" fillId="3" fontId="12" numFmtId="10" xfId="0" applyAlignment="1" applyBorder="1" applyFill="1" applyFont="1" applyNumberFormat="1">
      <alignment horizontal="center" shrinkToFit="0" vertical="center" wrapText="1"/>
    </xf>
    <xf borderId="7" fillId="29" fontId="89" numFmtId="0" xfId="0" applyAlignment="1" applyBorder="1" applyFill="1" applyFont="1">
      <alignment horizontal="center" shrinkToFit="0" vertical="center" wrapText="1"/>
    </xf>
    <xf borderId="1" fillId="30" fontId="12" numFmtId="10" xfId="0" applyAlignment="1" applyBorder="1" applyFill="1" applyFont="1" applyNumberFormat="1">
      <alignment horizontal="center" shrinkToFit="0" vertical="center" wrapText="1"/>
    </xf>
    <xf borderId="1" fillId="33" fontId="13" numFmtId="0" xfId="0" applyAlignment="1" applyBorder="1" applyFill="1" applyFont="1">
      <alignment horizontal="center" shrinkToFit="0" vertical="center" wrapText="1"/>
    </xf>
    <xf borderId="1" fillId="33" fontId="12" numFmtId="10" xfId="0" applyAlignment="1" applyBorder="1" applyFill="1" applyFont="1" applyNumberFormat="1">
      <alignment horizontal="center" shrinkToFit="0" vertical="center" wrapText="1"/>
    </xf>
    <xf borderId="6" fillId="33" fontId="13" numFmtId="49" xfId="0" applyAlignment="1" applyBorder="1" applyFill="1" applyFont="1" applyNumberFormat="1">
      <alignment horizontal="center" shrinkToFit="0" vertical="center" wrapText="1"/>
    </xf>
    <xf borderId="1" fillId="33" fontId="13" numFmtId="49" xfId="0" applyAlignment="1" applyBorder="1" applyFill="1" applyFont="1" applyNumberFormat="1">
      <alignment horizontal="center" shrinkToFit="0" vertical="center" wrapText="1"/>
    </xf>
    <xf borderId="7" fillId="33" fontId="13" numFmtId="0" xfId="0" applyAlignment="1" applyBorder="1" applyFill="1" applyFont="1">
      <alignment horizontal="center" shrinkToFit="0" vertical="center" wrapText="1"/>
    </xf>
    <xf borderId="0" fillId="33" fontId="13" numFmtId="0" xfId="0" applyAlignment="1" applyFill="1" applyFont="1">
      <alignment horizontal="center" shrinkToFit="0" vertical="center" wrapText="1"/>
    </xf>
    <xf borderId="0" fillId="33" fontId="15" numFmtId="0" xfId="0" applyAlignment="1" applyFill="1" applyFont="1">
      <alignment horizontal="center" shrinkToFit="0" vertical="center" wrapText="1"/>
    </xf>
    <xf borderId="1" fillId="16" fontId="37" numFmtId="0" xfId="0" applyAlignment="1" applyBorder="1" applyFill="1" applyFont="1">
      <alignment horizontal="center" shrinkToFit="0" vertical="center" wrapText="1"/>
    </xf>
    <xf borderId="1" fillId="32" fontId="12" numFmtId="10" xfId="0" applyAlignment="1" applyBorder="1" applyFill="1" applyFont="1" applyNumberFormat="1">
      <alignment horizontal="center" shrinkToFit="0" vertical="center" wrapText="1"/>
    </xf>
    <xf borderId="1" fillId="22" fontId="12" numFmtId="10" xfId="0" applyAlignment="1" applyBorder="1" applyFill="1" applyFont="1" applyNumberFormat="1">
      <alignment horizontal="center" shrinkToFit="0" vertical="center" wrapText="1"/>
    </xf>
    <xf borderId="1" fillId="28" fontId="12" numFmtId="0" xfId="0" applyAlignment="1" applyBorder="1" applyFill="1" applyFont="1">
      <alignment horizontal="center" shrinkToFit="0" vertical="center" wrapText="1"/>
    </xf>
    <xf borderId="1" fillId="28" fontId="12" numFmtId="10" xfId="0" applyAlignment="1" applyBorder="1" applyFill="1" applyFont="1" applyNumberFormat="1">
      <alignment horizontal="center" shrinkToFit="0" vertical="center" wrapText="1"/>
    </xf>
    <xf borderId="8" fillId="26" fontId="86" numFmtId="0" xfId="0" applyAlignment="1" applyBorder="1" applyFill="1" applyFont="1">
      <alignment horizontal="center" shrinkToFit="0" vertical="center" wrapText="1"/>
    </xf>
    <xf borderId="1" fillId="29" fontId="12" numFmtId="167" xfId="0" applyAlignment="1" applyBorder="1" applyFill="1" applyFont="1" applyNumberFormat="1">
      <alignment horizontal="center" shrinkToFit="0" vertical="center" wrapText="1"/>
    </xf>
    <xf borderId="1" fillId="33" fontId="12" numFmtId="0" xfId="0" applyAlignment="1" applyBorder="1" applyFill="1" applyFont="1">
      <alignment horizontal="center" shrinkToFit="0" vertical="center" wrapText="1"/>
    </xf>
    <xf borderId="1" fillId="23" fontId="47" numFmtId="0" xfId="0" applyAlignment="1" applyBorder="1" applyFill="1" applyFont="1">
      <alignment horizontal="center" readingOrder="0" shrinkToFit="0" vertical="center" wrapText="1"/>
    </xf>
    <xf borderId="1" fillId="23" fontId="48" numFmtId="0" xfId="0" applyAlignment="1" applyBorder="1" applyFill="1" applyFont="1">
      <alignment horizontal="center" readingOrder="0" shrinkToFit="0" vertical="center" wrapText="1"/>
    </xf>
    <xf borderId="1" fillId="23" fontId="49" numFmtId="0" xfId="0" applyAlignment="1" applyBorder="1" applyFill="1" applyFont="1">
      <alignment horizontal="center" readingOrder="0" shrinkToFit="0" vertical="center" wrapText="1"/>
    </xf>
    <xf borderId="1" fillId="23" fontId="50" numFmtId="0" xfId="0" applyAlignment="1" applyBorder="1" applyFill="1" applyFont="1">
      <alignment horizontal="center" readingOrder="0" shrinkToFit="0" vertical="center" wrapText="1"/>
    </xf>
    <xf borderId="8" fillId="3" fontId="13" numFmtId="49" xfId="0" applyAlignment="1" applyBorder="1" applyFill="1" applyFont="1" applyNumberFormat="1">
      <alignment horizontal="center" shrinkToFit="0" vertical="center" wrapText="1"/>
    </xf>
    <xf borderId="1" fillId="23" fontId="51" numFmtId="0" xfId="0" applyAlignment="1" applyBorder="1" applyFill="1" applyFont="1">
      <alignment horizontal="center" readingOrder="0" shrinkToFit="0" vertical="center" wrapText="1"/>
    </xf>
    <xf borderId="1" fillId="23" fontId="52" numFmtId="0" xfId="0" applyAlignment="1" applyBorder="1" applyFill="1" applyFont="1">
      <alignment horizontal="center" readingOrder="0" shrinkToFit="0" vertical="center" wrapText="1"/>
    </xf>
    <xf borderId="1" fillId="23" fontId="53" numFmtId="0" xfId="0" applyAlignment="1" applyBorder="1" applyFill="1" applyFont="1">
      <alignment horizontal="center" readingOrder="0" shrinkToFit="0" vertical="center" wrapText="1"/>
    </xf>
    <xf borderId="1" fillId="23" fontId="48" numFmtId="0" xfId="0" applyAlignment="1" applyBorder="1" applyFill="1" applyFont="1">
      <alignment horizontal="left" readingOrder="0" shrinkToFit="0" vertical="center" wrapText="1"/>
    </xf>
    <xf borderId="1" fillId="23" fontId="54" numFmtId="0" xfId="0" applyAlignment="1" applyBorder="1" applyFill="1" applyFont="1">
      <alignment horizontal="center" readingOrder="0" shrinkToFit="0" vertical="center" wrapText="1"/>
    </xf>
    <xf borderId="1" fillId="23" fontId="15" numFmtId="0" xfId="0" applyBorder="1" applyFill="1" applyFont="1"/>
    <xf borderId="1" fillId="23" fontId="90" numFmtId="0" xfId="0" applyAlignment="1" applyBorder="1" applyFill="1" applyFont="1">
      <alignment horizontal="center" readingOrder="0" shrinkToFit="0" vertical="center" wrapText="1"/>
    </xf>
    <xf borderId="1" fillId="23" fontId="91" numFmtId="0" xfId="0" applyAlignment="1" applyBorder="1" applyFill="1" applyFont="1">
      <alignment horizontal="center" readingOrder="0" shrinkToFit="0" vertical="center" wrapText="1"/>
    </xf>
    <xf borderId="1" fillId="23" fontId="53" numFmtId="0" xfId="0" applyAlignment="1" applyBorder="1" applyFill="1" applyFont="1">
      <alignment horizontal="left" readingOrder="0" shrinkToFit="0" vertical="center" wrapText="1"/>
    </xf>
    <xf borderId="7" fillId="24" fontId="89" numFmtId="0" xfId="0" applyAlignment="1" applyBorder="1" applyFill="1" applyFont="1">
      <alignment horizontal="center" shrinkToFit="0" vertical="center" wrapText="1"/>
    </xf>
    <xf borderId="1" fillId="23" fontId="57" numFmtId="0" xfId="0" applyAlignment="1" applyBorder="1" applyFill="1" applyFont="1">
      <alignment horizontal="center" readingOrder="0" shrinkToFit="0" vertical="center" wrapText="1"/>
    </xf>
    <xf borderId="1" fillId="23" fontId="58" numFmtId="0" xfId="0" applyAlignment="1" applyBorder="1" applyFill="1" applyFont="1">
      <alignment horizontal="center" readingOrder="0" shrinkToFit="0" vertical="center" wrapText="1"/>
    </xf>
    <xf borderId="1" fillId="23" fontId="53" numFmtId="0" xfId="0" applyAlignment="1" applyBorder="1" applyFill="1" applyFont="1">
      <alignment horizontal="left" readingOrder="0" shrinkToFit="0" vertical="center" wrapText="1"/>
    </xf>
    <xf borderId="1" fillId="23" fontId="59" numFmtId="0" xfId="0" applyAlignment="1" applyBorder="1" applyFill="1" applyFont="1">
      <alignment horizontal="left" readingOrder="0" shrinkToFit="0" vertical="center" wrapText="1"/>
    </xf>
    <xf borderId="1" fillId="23" fontId="92" numFmtId="0" xfId="0" applyAlignment="1" applyBorder="1" applyFill="1" applyFont="1">
      <alignment horizontal="left" readingOrder="0" shrinkToFit="0" vertical="center" wrapText="1"/>
    </xf>
    <xf borderId="1" fillId="23" fontId="93" numFmtId="0" xfId="0" applyAlignment="1" applyBorder="1" applyFill="1" applyFont="1">
      <alignment horizontal="left" readingOrder="0" shrinkToFit="0" vertical="center" wrapText="1"/>
    </xf>
    <xf borderId="1" fillId="21" fontId="74" numFmtId="0" xfId="0" applyAlignment="1" applyBorder="1" applyFill="1" applyFont="1">
      <alignment horizontal="center" readingOrder="0" shrinkToFit="0" vertical="center" wrapText="1"/>
    </xf>
    <xf borderId="1" fillId="21" fontId="94" numFmtId="0" xfId="0" applyAlignment="1" applyBorder="1" applyFill="1" applyFont="1">
      <alignment horizontal="center" readingOrder="0" shrinkToFit="0" vertical="center" wrapText="1"/>
    </xf>
    <xf borderId="1" fillId="21" fontId="95" numFmtId="0" xfId="0" applyAlignment="1" applyBorder="1" applyFill="1" applyFont="1">
      <alignment horizontal="center" readingOrder="0" shrinkToFit="0" vertical="center" wrapText="1"/>
    </xf>
    <xf borderId="1" fillId="21" fontId="96" numFmtId="0" xfId="0" applyAlignment="1" applyBorder="1" applyFill="1" applyFont="1">
      <alignment horizontal="left" readingOrder="0" shrinkToFit="0" vertical="center" wrapText="1"/>
    </xf>
    <xf borderId="1" fillId="21" fontId="97" numFmtId="0" xfId="0" applyAlignment="1" applyBorder="1" applyFill="1" applyFont="1">
      <alignment horizontal="left" readingOrder="0" shrinkToFit="0" vertical="center" wrapText="1"/>
    </xf>
    <xf borderId="1" fillId="28" fontId="98" numFmtId="0" xfId="0" applyAlignment="1" applyBorder="1" applyFill="1" applyFont="1">
      <alignment horizontal="center" readingOrder="0" shrinkToFit="0" vertical="center" wrapText="1"/>
    </xf>
    <xf borderId="1" fillId="28" fontId="43" numFmtId="165" xfId="0" applyAlignment="1" applyBorder="1" applyFill="1" applyFont="1" applyNumberFormat="1">
      <alignment horizontal="center" readingOrder="0" shrinkToFit="0" vertical="center" wrapText="1"/>
    </xf>
    <xf borderId="1" fillId="28" fontId="44" numFmtId="0" xfId="0" applyAlignment="1" applyBorder="1" applyFill="1" applyFont="1">
      <alignment horizontal="center" readingOrder="0" vertical="center"/>
    </xf>
    <xf borderId="1" fillId="24" fontId="99" numFmtId="0" xfId="0" applyAlignment="1" applyBorder="1" applyFill="1" applyFont="1">
      <alignment horizontal="center" readingOrder="0" shrinkToFit="0" vertical="center" wrapText="1"/>
    </xf>
    <xf borderId="1" fillId="3" fontId="35" numFmtId="0" xfId="0" applyAlignment="1" applyBorder="1" applyFill="1" applyFont="1">
      <alignment horizontal="left" readingOrder="0" shrinkToFit="0" vertical="center" wrapText="1"/>
    </xf>
    <xf borderId="8" fillId="26" fontId="13" numFmtId="0" xfId="0" applyAlignment="1" applyBorder="1" applyFill="1" applyFont="1">
      <alignment horizontal="center" shrinkToFit="0" vertical="center" wrapText="1"/>
    </xf>
    <xf borderId="1" fillId="3" fontId="64" numFmtId="0" xfId="0" applyAlignment="1" applyBorder="1" applyFill="1" applyFont="1">
      <alignment horizontal="left" readingOrder="0" shrinkToFit="0" vertical="center" wrapText="1"/>
    </xf>
    <xf borderId="1" fillId="3" fontId="65" numFmtId="0" xfId="0" applyAlignment="1" applyBorder="1" applyFill="1" applyFont="1">
      <alignment horizontal="left" readingOrder="0" shrinkToFit="0" vertical="center" wrapText="1"/>
    </xf>
    <xf borderId="1" fillId="22" fontId="60" numFmtId="166" xfId="0" applyAlignment="1" applyBorder="1" applyFill="1" applyFont="1" applyNumberFormat="1">
      <alignment horizontal="left" readingOrder="0" shrinkToFit="0" vertical="center" wrapText="1"/>
    </xf>
    <xf borderId="1" fillId="22" fontId="61" numFmtId="166" xfId="0" applyAlignment="1" applyBorder="1" applyFill="1" applyFont="1" applyNumberFormat="1">
      <alignment horizontal="left" readingOrder="0" shrinkToFit="0" vertical="center" wrapText="1"/>
    </xf>
    <xf borderId="1" fillId="34" fontId="13" numFmtId="0" xfId="0" applyAlignment="1" applyBorder="1" applyFill="1" applyFont="1">
      <alignment horizontal="center" shrinkToFit="0" vertical="center" wrapText="1"/>
    </xf>
    <xf borderId="1" fillId="34" fontId="13" numFmtId="10" xfId="0" applyAlignment="1" applyBorder="1" applyFill="1" applyFont="1" applyNumberFormat="1">
      <alignment horizontal="center" shrinkToFit="0" vertical="center" wrapText="1"/>
    </xf>
    <xf borderId="6" fillId="34" fontId="13" numFmtId="49" xfId="0" applyAlignment="1" applyBorder="1" applyFill="1" applyFont="1" applyNumberFormat="1">
      <alignment horizontal="center" shrinkToFit="0" vertical="center" wrapText="1"/>
    </xf>
    <xf borderId="1" fillId="34" fontId="13" numFmtId="49" xfId="0" applyAlignment="1" applyBorder="1" applyFill="1" applyFont="1" applyNumberFormat="1">
      <alignment horizontal="center" shrinkToFit="0" vertical="center" wrapText="1"/>
    </xf>
    <xf borderId="7" fillId="34" fontId="13" numFmtId="0" xfId="0" applyAlignment="1" applyBorder="1" applyFill="1" applyFont="1">
      <alignment horizontal="center" shrinkToFit="0" vertical="center" wrapText="1"/>
    </xf>
    <xf borderId="0" fillId="34" fontId="13" numFmtId="0" xfId="0" applyAlignment="1" applyFill="1" applyFont="1">
      <alignment horizontal="center" shrinkToFit="0" vertical="center" wrapText="1"/>
    </xf>
    <xf borderId="0" fillId="34" fontId="15" numFmtId="0" xfId="0" applyAlignment="1" applyFill="1" applyFont="1">
      <alignment horizontal="center" shrinkToFit="0" vertical="center" wrapText="1"/>
    </xf>
    <xf borderId="1" fillId="22" fontId="100" numFmtId="0" xfId="0" applyAlignment="1" applyBorder="1" applyFill="1" applyFont="1">
      <alignment horizontal="center" shrinkToFit="0" vertical="center" wrapText="1"/>
    </xf>
    <xf borderId="1" fillId="22" fontId="60" numFmtId="0" xfId="0" applyAlignment="1" applyBorder="1" applyFill="1" applyFont="1">
      <alignment horizontal="left" readingOrder="0" shrinkToFit="0" vertical="center" wrapText="1"/>
    </xf>
    <xf borderId="1" fillId="22" fontId="61" numFmtId="0" xfId="0" applyAlignment="1" applyBorder="1" applyFill="1" applyFont="1">
      <alignment horizontal="left" readingOrder="0" shrinkToFit="0" vertical="center" wrapText="1"/>
    </xf>
    <xf borderId="7" fillId="29" fontId="12" numFmtId="0" xfId="0" applyAlignment="1" applyBorder="1" applyFill="1" applyFont="1">
      <alignment horizontal="center" shrinkToFit="0" vertical="center" wrapText="1"/>
    </xf>
    <xf borderId="1" fillId="3" fontId="35" numFmtId="0" xfId="0" applyAlignment="1" applyBorder="1" applyFill="1" applyFont="1">
      <alignment horizontal="center" shrinkToFit="0" vertical="center" wrapText="1"/>
    </xf>
    <xf borderId="1" fillId="3" fontId="101" numFmtId="0" xfId="0" applyAlignment="1" applyBorder="1" applyFill="1" applyFont="1">
      <alignment horizontal="center" shrinkToFit="0" vertical="center" wrapText="1"/>
    </xf>
    <xf borderId="1" fillId="3" fontId="43" numFmtId="165" xfId="0" applyAlignment="1" applyBorder="1" applyFill="1" applyFont="1" applyNumberFormat="1">
      <alignment horizontal="center" readingOrder="0" shrinkToFit="0" vertical="center" wrapText="1"/>
    </xf>
    <xf borderId="1" fillId="3" fontId="44" numFmtId="0" xfId="0" applyAlignment="1" applyBorder="1" applyFill="1" applyFont="1">
      <alignment horizontal="center" readingOrder="0" vertical="center"/>
    </xf>
    <xf borderId="7" fillId="28" fontId="12" numFmtId="0" xfId="0" applyAlignment="1" applyBorder="1" applyFill="1" applyFont="1">
      <alignment horizontal="center" shrinkToFit="0" vertical="center" wrapText="1"/>
    </xf>
    <xf borderId="1" fillId="16" fontId="102" numFmtId="0" xfId="0" applyAlignment="1" applyBorder="1" applyFill="1" applyFont="1">
      <alignment horizontal="center" shrinkToFit="0" vertical="center" wrapText="1"/>
    </xf>
    <xf borderId="1" fillId="4" fontId="13" numFmtId="0" xfId="0" applyAlignment="1" applyBorder="1" applyFill="1" applyFont="1">
      <alignment horizontal="center" shrinkToFit="0" vertical="center" wrapText="1"/>
    </xf>
    <xf borderId="6" fillId="4" fontId="13" numFmtId="49" xfId="0" applyAlignment="1" applyBorder="1" applyFill="1" applyFont="1" applyNumberFormat="1">
      <alignment horizontal="center" shrinkToFit="0" vertical="center" wrapText="1"/>
    </xf>
    <xf borderId="1" fillId="4" fontId="13" numFmtId="49" xfId="0" applyAlignment="1" applyBorder="1" applyFill="1" applyFont="1" applyNumberFormat="1">
      <alignment horizontal="center" shrinkToFit="0" vertical="center" wrapText="1"/>
    </xf>
    <xf borderId="7" fillId="4" fontId="13" numFmtId="0" xfId="0" applyAlignment="1" applyBorder="1" applyFill="1" applyFont="1">
      <alignment horizontal="center" shrinkToFit="0" vertical="center" wrapText="1"/>
    </xf>
    <xf borderId="0" fillId="4" fontId="13" numFmtId="0" xfId="0" applyAlignment="1" applyFill="1" applyFont="1">
      <alignment horizontal="center" shrinkToFit="0" vertical="center" wrapText="1"/>
    </xf>
    <xf borderId="0" fillId="4" fontId="15" numFmtId="0" xfId="0" applyAlignment="1" applyFill="1" applyFont="1">
      <alignment horizontal="center" shrinkToFit="0" vertical="center" wrapText="1"/>
    </xf>
    <xf borderId="7" fillId="4" fontId="89" numFmtId="0" xfId="0" applyAlignment="1" applyBorder="1" applyFill="1" applyFont="1">
      <alignment horizontal="center" shrinkToFit="0" vertical="center" wrapText="1"/>
    </xf>
    <xf borderId="1" fillId="28" fontId="37" numFmtId="0" xfId="0" applyAlignment="1" applyBorder="1" applyFill="1" applyFont="1">
      <alignment horizontal="center" shrinkToFit="0" vertical="center" wrapText="1"/>
    </xf>
    <xf borderId="1" fillId="24" fontId="43" numFmtId="165" xfId="0" applyAlignment="1" applyBorder="1" applyFill="1" applyFont="1" applyNumberFormat="1">
      <alignment horizontal="center" readingOrder="0" shrinkToFit="0" vertical="center" wrapText="1"/>
    </xf>
    <xf borderId="1" fillId="24" fontId="44" numFmtId="0" xfId="0" applyAlignment="1" applyBorder="1" applyFill="1" applyFont="1">
      <alignment horizontal="center" readingOrder="0" vertical="center"/>
    </xf>
    <xf borderId="1" fillId="35" fontId="47" numFmtId="0" xfId="0" applyAlignment="1" applyBorder="1" applyFill="1" applyFont="1">
      <alignment horizontal="center" readingOrder="0" shrinkToFit="0" vertical="center" wrapText="1"/>
    </xf>
    <xf borderId="1" fillId="35" fontId="48" numFmtId="0" xfId="0" applyAlignment="1" applyBorder="1" applyFill="1" applyFont="1">
      <alignment horizontal="center" readingOrder="0" shrinkToFit="0" vertical="center" wrapText="1"/>
    </xf>
    <xf borderId="1" fillId="35" fontId="49" numFmtId="0" xfId="0" applyAlignment="1" applyBorder="1" applyFill="1" applyFont="1">
      <alignment horizontal="center" readingOrder="0" shrinkToFit="0" vertical="center" wrapText="1"/>
    </xf>
    <xf borderId="1" fillId="35" fontId="50" numFmtId="0" xfId="0" applyAlignment="1" applyBorder="1" applyFill="1" applyFont="1">
      <alignment horizontal="center" readingOrder="0" shrinkToFit="0" vertical="center" wrapText="1"/>
    </xf>
    <xf borderId="1" fillId="35" fontId="51" numFmtId="0" xfId="0" applyAlignment="1" applyBorder="1" applyFill="1" applyFont="1">
      <alignment horizontal="center" readingOrder="0" shrinkToFit="0" vertical="center" wrapText="1"/>
    </xf>
    <xf borderId="1" fillId="35" fontId="52" numFmtId="0" xfId="0" applyAlignment="1" applyBorder="1" applyFill="1" applyFont="1">
      <alignment horizontal="center" readingOrder="0" shrinkToFit="0" vertical="center" wrapText="1"/>
    </xf>
    <xf borderId="1" fillId="35" fontId="53" numFmtId="0" xfId="0" applyAlignment="1" applyBorder="1" applyFill="1" applyFont="1">
      <alignment horizontal="center" readingOrder="0" shrinkToFit="0" vertical="center" wrapText="1"/>
    </xf>
    <xf borderId="8" fillId="29" fontId="13" numFmtId="0" xfId="0" applyAlignment="1" applyBorder="1" applyFill="1" applyFont="1">
      <alignment horizontal="center" shrinkToFit="0" vertical="center" wrapText="1"/>
    </xf>
    <xf borderId="1" fillId="35" fontId="48" numFmtId="0" xfId="0" applyAlignment="1" applyBorder="1" applyFill="1" applyFont="1">
      <alignment horizontal="left" readingOrder="0" shrinkToFit="0" vertical="center" wrapText="1"/>
    </xf>
    <xf borderId="1" fillId="35" fontId="54" numFmtId="0" xfId="0" applyAlignment="1" applyBorder="1" applyFill="1" applyFont="1">
      <alignment horizontal="center" readingOrder="0" shrinkToFit="0" vertical="center" wrapText="1"/>
    </xf>
    <xf borderId="1" fillId="35" fontId="53" numFmtId="0" xfId="0" applyAlignment="1" applyBorder="1" applyFill="1" applyFont="1">
      <alignment horizontal="center" shrinkToFit="0" vertical="center" wrapText="1"/>
    </xf>
    <xf borderId="1" fillId="35" fontId="15" numFmtId="0" xfId="0" applyBorder="1" applyFill="1" applyFont="1"/>
    <xf borderId="1" fillId="35" fontId="103" numFmtId="0" xfId="0" applyAlignment="1" applyBorder="1" applyFill="1" applyFont="1">
      <alignment horizontal="center" shrinkToFit="0" vertical="center" wrapText="1"/>
    </xf>
    <xf borderId="1" fillId="35" fontId="104" numFmtId="0" xfId="0" applyAlignment="1" applyBorder="1" applyFill="1" applyFont="1">
      <alignment horizontal="center" readingOrder="0" shrinkToFit="0" vertical="center" wrapText="1"/>
    </xf>
    <xf borderId="1" fillId="35" fontId="53" numFmtId="0" xfId="0" applyAlignment="1" applyBorder="1" applyFill="1" applyFont="1">
      <alignment horizontal="left" readingOrder="0" shrinkToFit="0" vertical="center" wrapText="1"/>
    </xf>
    <xf borderId="1" fillId="35" fontId="57" numFmtId="0" xfId="0" applyAlignment="1" applyBorder="1" applyFill="1" applyFont="1">
      <alignment horizontal="center" readingOrder="0" shrinkToFit="0" vertical="center" wrapText="1"/>
    </xf>
    <xf borderId="1" fillId="35" fontId="58" numFmtId="0" xfId="0" applyAlignment="1" applyBorder="1" applyFill="1" applyFont="1">
      <alignment horizontal="center" readingOrder="0" shrinkToFit="0" vertical="center" wrapText="1"/>
    </xf>
    <xf borderId="1" fillId="35" fontId="43" numFmtId="165" xfId="0" applyAlignment="1" applyBorder="1" applyFill="1" applyFont="1" applyNumberFormat="1">
      <alignment horizontal="center" readingOrder="0" shrinkToFit="0" vertical="center" wrapText="1"/>
    </xf>
    <xf borderId="1" fillId="35" fontId="44" numFmtId="0" xfId="0" applyAlignment="1" applyBorder="1" applyFill="1" applyFont="1">
      <alignment horizontal="center" readingOrder="0" vertical="center"/>
    </xf>
    <xf borderId="1" fillId="35" fontId="53" numFmtId="0" xfId="0" applyAlignment="1" applyBorder="1" applyFill="1" applyFont="1">
      <alignment horizontal="left" readingOrder="0" shrinkToFit="0" vertical="center" wrapText="1"/>
    </xf>
    <xf borderId="1" fillId="35" fontId="59" numFmtId="0" xfId="0" applyAlignment="1" applyBorder="1" applyFill="1" applyFont="1">
      <alignment horizontal="left" readingOrder="0" shrinkToFit="0" vertical="center" wrapText="1"/>
    </xf>
    <xf borderId="1" fillId="35" fontId="60" numFmtId="0" xfId="0" applyAlignment="1" applyBorder="1" applyFill="1" applyFont="1">
      <alignment horizontal="left" readingOrder="0" shrinkToFit="0" vertical="center" wrapText="1"/>
    </xf>
    <xf borderId="1" fillId="35" fontId="61" numFmtId="0" xfId="0" applyAlignment="1" applyBorder="1" applyFill="1" applyFont="1">
      <alignment horizontal="left" readingOrder="0" shrinkToFit="0" vertical="center" wrapText="1"/>
    </xf>
    <xf borderId="1" fillId="26" fontId="53" numFmtId="0" xfId="0" applyAlignment="1" applyBorder="1" applyFill="1" applyFont="1">
      <alignment horizontal="center" shrinkToFit="0" vertical="center" wrapText="1"/>
    </xf>
    <xf borderId="1" fillId="26" fontId="105" numFmtId="0" xfId="0" applyAlignment="1" applyBorder="1" applyFill="1" applyFont="1">
      <alignment horizontal="center" shrinkToFit="0" vertical="center" wrapText="1"/>
    </xf>
    <xf borderId="1" fillId="26" fontId="43" numFmtId="165" xfId="0" applyAlignment="1" applyBorder="1" applyFill="1" applyFont="1" applyNumberFormat="1">
      <alignment horizontal="center" readingOrder="0" shrinkToFit="0" vertical="center" wrapText="1"/>
    </xf>
    <xf borderId="1" fillId="26" fontId="44" numFmtId="0" xfId="0" applyAlignment="1" applyBorder="1" applyFill="1" applyFont="1">
      <alignment horizontal="center" readingOrder="0" vertical="center"/>
    </xf>
    <xf borderId="10" fillId="3" fontId="13" numFmtId="49" xfId="0" applyAlignment="1" applyBorder="1" applyFill="1" applyFont="1" applyNumberFormat="1">
      <alignment horizontal="center" shrinkToFit="0" vertical="center" wrapText="1"/>
    </xf>
    <xf borderId="1" fillId="21" fontId="60" numFmtId="166" xfId="0" applyAlignment="1" applyBorder="1" applyFill="1" applyFont="1" applyNumberFormat="1">
      <alignment horizontal="left" readingOrder="0" shrinkToFit="0" vertical="center" wrapText="1"/>
    </xf>
    <xf borderId="1" fillId="21" fontId="61" numFmtId="166" xfId="0" applyAlignment="1" applyBorder="1" applyFill="1" applyFont="1" applyNumberFormat="1">
      <alignment horizontal="left" readingOrder="0" shrinkToFit="0" vertical="center" wrapText="1"/>
    </xf>
    <xf borderId="1" fillId="30" fontId="29" numFmtId="0" xfId="0" applyAlignment="1" applyBorder="1" applyFill="1" applyFont="1">
      <alignment horizontal="center" readingOrder="0" shrinkToFit="0" vertical="center" wrapText="1"/>
    </xf>
    <xf borderId="1" fillId="30" fontId="30" numFmtId="0" xfId="0" applyAlignment="1" applyBorder="1" applyFill="1" applyFont="1">
      <alignment horizontal="center" readingOrder="0" shrinkToFit="0" vertical="center" wrapText="1"/>
    </xf>
    <xf borderId="1" fillId="30" fontId="31" numFmtId="0" xfId="0" applyAlignment="1" applyBorder="1" applyFill="1" applyFont="1">
      <alignment horizontal="center" readingOrder="0" shrinkToFit="0" vertical="center" wrapText="1"/>
    </xf>
    <xf borderId="1" fillId="30" fontId="32" numFmtId="0" xfId="0" applyAlignment="1" applyBorder="1" applyFill="1" applyFont="1">
      <alignment horizontal="center" readingOrder="0" shrinkToFit="0" vertical="center" wrapText="1"/>
    </xf>
    <xf borderId="1" fillId="30" fontId="33" numFmtId="0" xfId="0" applyAlignment="1" applyBorder="1" applyFill="1" applyFont="1">
      <alignment horizontal="center" readingOrder="0" shrinkToFit="0" vertical="center" wrapText="1"/>
    </xf>
    <xf borderId="1" fillId="30" fontId="34" numFmtId="0" xfId="0" applyAlignment="1" applyBorder="1" applyFill="1" applyFont="1">
      <alignment horizontal="center" readingOrder="0" shrinkToFit="0" vertical="center" wrapText="1"/>
    </xf>
    <xf borderId="1" fillId="30" fontId="106" numFmtId="0" xfId="0" applyAlignment="1" applyBorder="1" applyFill="1" applyFont="1">
      <alignment horizontal="center" readingOrder="0" shrinkToFit="0" vertical="center" wrapText="1"/>
    </xf>
    <xf borderId="1" fillId="30" fontId="30" numFmtId="0" xfId="0" applyAlignment="1" applyBorder="1" applyFill="1" applyFont="1">
      <alignment horizontal="left" readingOrder="0" shrinkToFit="0" vertical="center" wrapText="1"/>
    </xf>
    <xf borderId="1" fillId="30" fontId="36" numFmtId="0" xfId="0" applyAlignment="1" applyBorder="1" applyFill="1" applyFont="1">
      <alignment horizontal="center" readingOrder="0" shrinkToFit="0" vertical="center" wrapText="1"/>
    </xf>
    <xf borderId="1" fillId="30" fontId="35" numFmtId="0" xfId="0" applyAlignment="1" applyBorder="1" applyFill="1" applyFont="1">
      <alignment horizontal="center" readingOrder="0" shrinkToFit="0" vertical="center" wrapText="1"/>
    </xf>
    <xf borderId="1" fillId="30" fontId="38" numFmtId="0" xfId="0" applyBorder="1" applyFill="1" applyFont="1"/>
    <xf borderId="1" fillId="30" fontId="107" numFmtId="0" xfId="0" applyAlignment="1" applyBorder="1" applyFill="1" applyFont="1">
      <alignment horizontal="center" readingOrder="0" shrinkToFit="0" vertical="center" wrapText="1"/>
    </xf>
    <xf borderId="1" fillId="30" fontId="108" numFmtId="0" xfId="0" applyAlignment="1" applyBorder="1" applyFill="1" applyFont="1">
      <alignment horizontal="center" readingOrder="0" shrinkToFit="0" vertical="center" wrapText="1"/>
    </xf>
    <xf borderId="1" fillId="30" fontId="35" numFmtId="0" xfId="0" applyAlignment="1" applyBorder="1" applyFill="1" applyFont="1">
      <alignment horizontal="left" readingOrder="0" shrinkToFit="0" vertical="center" wrapText="1"/>
    </xf>
    <xf borderId="1" fillId="30" fontId="41" numFmtId="0" xfId="0" applyAlignment="1" applyBorder="1" applyFill="1" applyFont="1">
      <alignment horizontal="center" readingOrder="0" shrinkToFit="0" vertical="center" wrapText="1"/>
    </xf>
    <xf borderId="1" fillId="30" fontId="42" numFmtId="0" xfId="0" applyAlignment="1" applyBorder="1" applyFill="1" applyFont="1">
      <alignment horizontal="center" readingOrder="0" shrinkToFit="0" vertical="center" wrapText="1"/>
    </xf>
    <xf borderId="1" fillId="30" fontId="35" numFmtId="0" xfId="0" applyAlignment="1" applyBorder="1" applyFill="1" applyFont="1">
      <alignment horizontal="left" readingOrder="0" shrinkToFit="0" vertical="center" wrapText="1"/>
    </xf>
    <xf borderId="1" fillId="30" fontId="45" numFmtId="0" xfId="0" applyAlignment="1" applyBorder="1" applyFill="1" applyFont="1">
      <alignment horizontal="left" readingOrder="0" shrinkToFit="0" vertical="center" wrapText="1"/>
    </xf>
    <xf borderId="1" fillId="30" fontId="64" numFmtId="0" xfId="0" applyAlignment="1" applyBorder="1" applyFill="1" applyFont="1">
      <alignment horizontal="left" readingOrder="0" shrinkToFit="0" vertical="center" wrapText="1"/>
    </xf>
    <xf borderId="1" fillId="30" fontId="65" numFmtId="0" xfId="0" applyAlignment="1" applyBorder="1" applyFill="1" applyFont="1">
      <alignment horizontal="left" readingOrder="0" shrinkToFit="0" vertical="center" wrapText="1"/>
    </xf>
    <xf borderId="1" fillId="30" fontId="35" numFmtId="0" xfId="0" applyAlignment="1" applyBorder="1" applyFill="1" applyFont="1">
      <alignment horizontal="center" shrinkToFit="0" vertical="center" wrapText="1"/>
    </xf>
    <xf borderId="1" fillId="30" fontId="109" numFmtId="0" xfId="0" applyAlignment="1" applyBorder="1" applyFill="1" applyFont="1">
      <alignment horizontal="center" shrinkToFit="0" vertical="center" wrapText="1"/>
    </xf>
    <xf borderId="1" fillId="30" fontId="43" numFmtId="165" xfId="0" applyAlignment="1" applyBorder="1" applyFill="1" applyFont="1" applyNumberFormat="1">
      <alignment horizontal="center" readingOrder="0" shrinkToFit="0" vertical="center" wrapText="1"/>
    </xf>
    <xf borderId="1" fillId="30" fontId="44" numFmtId="0" xfId="0" applyAlignment="1" applyBorder="1" applyFill="1" applyFont="1">
      <alignment horizontal="center" readingOrder="0" vertical="center"/>
    </xf>
    <xf borderId="1" fillId="11" fontId="13" numFmtId="10" xfId="0" applyAlignment="1" applyBorder="1" applyFill="1" applyFont="1" applyNumberFormat="1">
      <alignment horizontal="center" shrinkToFit="0" vertical="center" wrapText="1"/>
    </xf>
    <xf borderId="1" fillId="4" fontId="12" numFmtId="10" xfId="0" applyAlignment="1" applyBorder="1" applyFill="1" applyFont="1" applyNumberFormat="1">
      <alignment horizontal="center" shrinkToFit="0" vertical="center" wrapText="1"/>
    </xf>
    <xf borderId="1" fillId="3" fontId="42" numFmtId="0" xfId="0" applyAlignment="1" applyBorder="1" applyFill="1" applyFont="1">
      <alignment horizontal="center" readingOrder="0" shrinkToFit="0" vertical="center" wrapText="1"/>
    </xf>
    <xf borderId="1" fillId="3" fontId="43" numFmtId="165" xfId="0" applyAlignment="1" applyBorder="1" applyFill="1" applyFont="1" applyNumberFormat="1">
      <alignment horizontal="center" shrinkToFit="0" vertical="center" wrapText="1"/>
    </xf>
    <xf borderId="7" fillId="28" fontId="110" numFmtId="0" xfId="0" applyAlignment="1" applyBorder="1" applyFill="1" applyFont="1">
      <alignment horizontal="center" shrinkToFit="0" vertical="center" wrapText="1"/>
    </xf>
    <xf borderId="1" fillId="11" fontId="47" numFmtId="0" xfId="0" applyAlignment="1" applyBorder="1" applyFill="1" applyFont="1">
      <alignment horizontal="center" readingOrder="0" shrinkToFit="0" vertical="center" wrapText="1"/>
    </xf>
    <xf borderId="1" fillId="11" fontId="48" numFmtId="0" xfId="0" applyAlignment="1" applyBorder="1" applyFill="1" applyFont="1">
      <alignment horizontal="center" readingOrder="0" shrinkToFit="0" vertical="center" wrapText="1"/>
    </xf>
    <xf borderId="1" fillId="11" fontId="49" numFmtId="0" xfId="0" applyAlignment="1" applyBorder="1" applyFill="1" applyFont="1">
      <alignment horizontal="center" readingOrder="0" shrinkToFit="0" vertical="center" wrapText="1"/>
    </xf>
    <xf borderId="1" fillId="11" fontId="50" numFmtId="0" xfId="0" applyAlignment="1" applyBorder="1" applyFill="1" applyFont="1">
      <alignment horizontal="center" readingOrder="0" shrinkToFit="0" vertical="center" wrapText="1"/>
    </xf>
    <xf borderId="1" fillId="11" fontId="51" numFmtId="0" xfId="0" applyAlignment="1" applyBorder="1" applyFill="1" applyFont="1">
      <alignment horizontal="center" readingOrder="0" shrinkToFit="0" vertical="center" wrapText="1"/>
    </xf>
    <xf borderId="1" fillId="11" fontId="52" numFmtId="0" xfId="0" applyAlignment="1" applyBorder="1" applyFill="1" applyFont="1">
      <alignment horizontal="center" readingOrder="0" shrinkToFit="0" vertical="center" wrapText="1"/>
    </xf>
    <xf borderId="1" fillId="11" fontId="53" numFmtId="0" xfId="0" applyAlignment="1" applyBorder="1" applyFill="1" applyFont="1">
      <alignment horizontal="center" readingOrder="0" shrinkToFit="0" vertical="center" wrapText="1"/>
    </xf>
    <xf borderId="1" fillId="11" fontId="48" numFmtId="0" xfId="0" applyAlignment="1" applyBorder="1" applyFill="1" applyFont="1">
      <alignment horizontal="left" readingOrder="0" shrinkToFit="0" vertical="center" wrapText="1"/>
    </xf>
    <xf borderId="1" fillId="11" fontId="54" numFmtId="0" xfId="0" applyAlignment="1" applyBorder="1" applyFill="1" applyFont="1">
      <alignment horizontal="center" readingOrder="0" shrinkToFit="0" vertical="center" wrapText="1"/>
    </xf>
    <xf borderId="1" fillId="11" fontId="15" numFmtId="0" xfId="0" applyBorder="1" applyFill="1" applyFont="1"/>
    <xf borderId="1" fillId="11" fontId="111" numFmtId="0" xfId="0" applyAlignment="1" applyBorder="1" applyFill="1" applyFont="1">
      <alignment horizontal="center" readingOrder="0" shrinkToFit="0" vertical="center" wrapText="1"/>
    </xf>
    <xf borderId="1" fillId="11" fontId="112" numFmtId="0" xfId="0" applyAlignment="1" applyBorder="1" applyFill="1" applyFont="1">
      <alignment horizontal="center" readingOrder="0" shrinkToFit="0" vertical="center" wrapText="1"/>
    </xf>
    <xf borderId="1" fillId="11" fontId="53" numFmtId="0" xfId="0" applyAlignment="1" applyBorder="1" applyFill="1" applyFont="1">
      <alignment horizontal="left" readingOrder="0" shrinkToFit="0" vertical="center" wrapText="1"/>
    </xf>
    <xf borderId="1" fillId="11" fontId="57" numFmtId="0" xfId="0" applyAlignment="1" applyBorder="1" applyFill="1" applyFont="1">
      <alignment horizontal="center" readingOrder="0" shrinkToFit="0" vertical="center" wrapText="1"/>
    </xf>
    <xf borderId="1" fillId="11" fontId="58" numFmtId="0" xfId="0" applyAlignment="1" applyBorder="1" applyFill="1" applyFont="1">
      <alignment horizontal="center" readingOrder="0" shrinkToFit="0" vertical="center" wrapText="1"/>
    </xf>
    <xf borderId="1" fillId="21" fontId="12" numFmtId="10" xfId="0" applyAlignment="1" applyBorder="1" applyFill="1" applyFont="1" applyNumberFormat="1">
      <alignment horizontal="center" shrinkToFit="0" vertical="center" wrapText="1"/>
    </xf>
    <xf borderId="1" fillId="11" fontId="53" numFmtId="0" xfId="0" applyAlignment="1" applyBorder="1" applyFill="1" applyFont="1">
      <alignment horizontal="left" readingOrder="0" shrinkToFit="0" vertical="center" wrapText="1"/>
    </xf>
    <xf borderId="1" fillId="11" fontId="59" numFmtId="0" xfId="0" applyAlignment="1" applyBorder="1" applyFill="1" applyFont="1">
      <alignment horizontal="left" readingOrder="0" shrinkToFit="0" vertical="center" wrapText="1"/>
    </xf>
    <xf borderId="1" fillId="11" fontId="60" numFmtId="0" xfId="0" applyAlignment="1" applyBorder="1" applyFill="1" applyFont="1">
      <alignment horizontal="left" readingOrder="0" shrinkToFit="0" vertical="center" wrapText="1"/>
    </xf>
    <xf borderId="1" fillId="11" fontId="61" numFmtId="0" xfId="0" applyAlignment="1" applyBorder="1" applyFill="1" applyFont="1">
      <alignment horizontal="left" readingOrder="0" shrinkToFit="0" vertical="center" wrapText="1"/>
    </xf>
    <xf borderId="7" fillId="24" fontId="113" numFmtId="0" xfId="0" applyAlignment="1" applyBorder="1" applyFill="1" applyFont="1">
      <alignment horizontal="center" shrinkToFit="0" vertical="center" wrapText="1"/>
    </xf>
    <xf borderId="1" fillId="4" fontId="13" numFmtId="10" xfId="0" applyAlignment="1" applyBorder="1" applyFill="1" applyFont="1" applyNumberFormat="1">
      <alignment horizontal="center" shrinkToFit="0" vertical="center" wrapText="1"/>
    </xf>
    <xf borderId="8" fillId="4" fontId="13" numFmtId="0" xfId="0" applyAlignment="1" applyBorder="1" applyFill="1" applyFont="1">
      <alignment horizontal="center" shrinkToFit="0" vertical="center" wrapText="1"/>
    </xf>
    <xf borderId="9" fillId="4" fontId="13" numFmtId="0" xfId="0" applyAlignment="1" applyBorder="1" applyFill="1" applyFont="1">
      <alignment horizontal="center" shrinkToFit="0" vertical="center" wrapText="1"/>
    </xf>
    <xf borderId="8" fillId="22" fontId="13" numFmtId="0" xfId="0" applyAlignment="1" applyBorder="1" applyFill="1" applyFont="1">
      <alignment horizontal="center" shrinkToFit="0" vertical="center" wrapText="1"/>
    </xf>
    <xf borderId="8" fillId="28" fontId="13" numFmtId="0" xfId="0" applyAlignment="1" applyBorder="1" applyFill="1" applyFont="1">
      <alignment horizontal="center" shrinkToFit="0" vertical="center" wrapText="1"/>
    </xf>
    <xf borderId="1" fillId="23" fontId="13" numFmtId="10" xfId="0" applyAlignment="1" applyBorder="1" applyFill="1" applyFont="1" applyNumberFormat="1">
      <alignment horizontal="center" shrinkToFit="0" vertical="center" wrapText="1"/>
    </xf>
    <xf borderId="7" fillId="4" fontId="114" numFmtId="0" xfId="0" applyAlignment="1" applyBorder="1" applyFill="1" applyFont="1">
      <alignment horizontal="center" shrinkToFit="0" vertical="center" wrapText="1"/>
    </xf>
    <xf borderId="8" fillId="22" fontId="13" numFmtId="49" xfId="0" applyAlignment="1" applyBorder="1" applyFill="1" applyFont="1" applyNumberFormat="1">
      <alignment horizontal="center" shrinkToFit="0" vertical="center" wrapText="1"/>
    </xf>
    <xf borderId="8" fillId="24" fontId="13" numFmtId="0" xfId="0" applyAlignment="1" applyBorder="1" applyFill="1" applyFont="1">
      <alignment horizontal="center" shrinkToFit="0" vertical="center" wrapText="1"/>
    </xf>
    <xf borderId="1" fillId="21" fontId="12" numFmtId="0" xfId="0" applyAlignment="1" applyBorder="1" applyFill="1" applyFont="1">
      <alignment horizontal="center" shrinkToFit="0" vertical="center" wrapText="1"/>
    </xf>
    <xf borderId="11" fillId="3" fontId="13" numFmtId="0" xfId="0" applyAlignment="1" applyBorder="1" applyFill="1" applyFont="1">
      <alignment horizontal="center" shrinkToFit="0" vertical="center" wrapText="1"/>
    </xf>
    <xf borderId="12" fillId="3" fontId="13" numFmtId="0" xfId="0" applyAlignment="1" applyBorder="1" applyFill="1" applyFont="1">
      <alignment horizontal="center" shrinkToFit="0" vertical="center" wrapText="1"/>
    </xf>
    <xf borderId="13" fillId="3" fontId="13" numFmtId="49" xfId="0" applyAlignment="1" applyBorder="1" applyFill="1" applyFont="1" applyNumberFormat="1">
      <alignment horizontal="center" shrinkToFit="0" vertical="center" wrapText="1"/>
    </xf>
    <xf borderId="12" fillId="3" fontId="13" numFmtId="49" xfId="0" applyAlignment="1" applyBorder="1" applyFill="1" applyFont="1" applyNumberFormat="1">
      <alignment horizontal="center" shrinkToFit="0" vertical="center" wrapText="1"/>
    </xf>
    <xf borderId="14" fillId="3" fontId="13" numFmtId="0" xfId="0" applyAlignment="1" applyBorder="1" applyFill="1" applyFont="1">
      <alignment horizontal="center" shrinkToFit="0" vertical="center" wrapText="1"/>
    </xf>
    <xf borderId="0" fillId="22" fontId="13" numFmtId="49" xfId="0" applyAlignment="1" applyFill="1" applyFont="1" applyNumberFormat="1">
      <alignment horizontal="center" shrinkToFit="0" vertical="center" wrapText="1"/>
    </xf>
    <xf borderId="0" fillId="22" fontId="13" numFmtId="0" xfId="0" applyAlignment="1" applyFill="1" applyFont="1">
      <alignment horizontal="center" readingOrder="0" shrinkToFit="0" vertical="center" wrapText="1"/>
    </xf>
    <xf borderId="0" fillId="25" fontId="15" numFmtId="0" xfId="0" applyFill="1" applyFont="1"/>
    <xf borderId="0" fillId="25" fontId="13" numFmtId="49" xfId="0" applyAlignment="1" applyFill="1" applyFont="1" applyNumberFormat="1">
      <alignment horizontal="center" shrinkToFit="0" vertical="center" wrapText="1"/>
    </xf>
    <xf borderId="0" fillId="25" fontId="13" numFmtId="0" xfId="0" applyAlignment="1" applyFill="1" applyFont="1">
      <alignment horizontal="center" shrinkToFit="0" vertical="center" wrapText="1"/>
    </xf>
    <xf borderId="0" fillId="25" fontId="15" numFmtId="0" xfId="0" applyAlignment="1" applyFill="1" applyFont="1">
      <alignment horizontal="center" shrinkToFit="0" vertical="center" wrapText="1"/>
    </xf>
    <xf borderId="0" fillId="25" fontId="13" numFmtId="0" xfId="0" applyAlignment="1" applyFill="1" applyFont="1">
      <alignment horizontal="left" vertical="center"/>
    </xf>
    <xf borderId="1" fillId="26" fontId="115" numFmtId="0" xfId="0" applyAlignment="1" applyBorder="1" applyFill="1" applyFont="1">
      <alignment horizontal="center" shrinkToFit="0" vertical="center" wrapText="1"/>
    </xf>
    <xf borderId="1" fillId="26" fontId="116" numFmtId="0" xfId="0" applyAlignment="1" applyBorder="1" applyFill="1" applyFont="1">
      <alignment horizontal="center" readingOrder="0" shrinkToFit="0" vertical="center" wrapText="1"/>
    </xf>
    <xf borderId="1" fillId="26" fontId="60" numFmtId="166" xfId="0" applyAlignment="1" applyBorder="1" applyFill="1" applyFont="1" applyNumberFormat="1">
      <alignment horizontal="left" readingOrder="0" shrinkToFit="0" vertical="center" wrapText="1"/>
    </xf>
    <xf borderId="1" fillId="26" fontId="61" numFmtId="166" xfId="0" applyAlignment="1" applyBorder="1" applyFill="1" applyFont="1" applyNumberFormat="1">
      <alignment horizontal="left" readingOrder="0" shrinkToFit="0" vertical="center" wrapText="1"/>
    </xf>
    <xf borderId="1" fillId="31" fontId="117" numFmtId="0" xfId="0" applyAlignment="1" applyBorder="1" applyFill="1" applyFont="1">
      <alignment horizontal="center" readingOrder="0" shrinkToFit="0" vertical="center" wrapText="1"/>
    </xf>
    <xf borderId="1" fillId="15" fontId="47" numFmtId="0" xfId="0" applyAlignment="1" applyBorder="1" applyFill="1" applyFont="1">
      <alignment horizontal="center" readingOrder="0" shrinkToFit="0" vertical="center" wrapText="1"/>
    </xf>
    <xf borderId="1" fillId="15" fontId="48" numFmtId="0" xfId="0" applyAlignment="1" applyBorder="1" applyFill="1" applyFont="1">
      <alignment horizontal="center" readingOrder="0" shrinkToFit="0" vertical="center" wrapText="1"/>
    </xf>
    <xf borderId="1" fillId="15" fontId="49" numFmtId="0" xfId="0" applyAlignment="1" applyBorder="1" applyFill="1" applyFont="1">
      <alignment horizontal="center" readingOrder="0" shrinkToFit="0" vertical="center" wrapText="1"/>
    </xf>
    <xf borderId="1" fillId="15" fontId="50" numFmtId="0" xfId="0" applyAlignment="1" applyBorder="1" applyFill="1" applyFont="1">
      <alignment horizontal="center" readingOrder="0" shrinkToFit="0" vertical="center" wrapText="1"/>
    </xf>
    <xf borderId="1" fillId="15" fontId="51" numFmtId="0" xfId="0" applyAlignment="1" applyBorder="1" applyFill="1" applyFont="1">
      <alignment horizontal="center" readingOrder="0" shrinkToFit="0" vertical="center" wrapText="1"/>
    </xf>
    <xf borderId="1" fillId="15" fontId="52" numFmtId="0" xfId="0" applyAlignment="1" applyBorder="1" applyFill="1" applyFont="1">
      <alignment horizontal="center" readingOrder="0" shrinkToFit="0" vertical="center" wrapText="1"/>
    </xf>
    <xf borderId="1" fillId="15" fontId="53" numFmtId="0" xfId="0" applyAlignment="1" applyBorder="1" applyFill="1" applyFont="1">
      <alignment horizontal="center" readingOrder="0" shrinkToFit="0" vertical="center" wrapText="1"/>
    </xf>
    <xf borderId="1" fillId="15" fontId="48" numFmtId="0" xfId="0" applyAlignment="1" applyBorder="1" applyFill="1" applyFont="1">
      <alignment horizontal="left" readingOrder="0" shrinkToFit="0" vertical="center" wrapText="1"/>
    </xf>
    <xf borderId="1" fillId="15" fontId="54" numFmtId="0" xfId="0" applyAlignment="1" applyBorder="1" applyFill="1" applyFont="1">
      <alignment horizontal="center" readingOrder="0" shrinkToFit="0" vertical="center" wrapText="1"/>
    </xf>
    <xf borderId="1" fillId="15" fontId="15" numFmtId="0" xfId="0" applyBorder="1" applyFill="1" applyFont="1"/>
    <xf borderId="1" fillId="15" fontId="118" numFmtId="0" xfId="0" applyAlignment="1" applyBorder="1" applyFill="1" applyFont="1">
      <alignment horizontal="center" readingOrder="0" shrinkToFit="0" vertical="center" wrapText="1"/>
    </xf>
    <xf borderId="1" fillId="15" fontId="119" numFmtId="0" xfId="0" applyAlignment="1" applyBorder="1" applyFill="1" applyFont="1">
      <alignment horizontal="center" readingOrder="0" shrinkToFit="0" vertical="center" wrapText="1"/>
    </xf>
    <xf borderId="1" fillId="15" fontId="53" numFmtId="0" xfId="0" applyAlignment="1" applyBorder="1" applyFill="1" applyFont="1">
      <alignment horizontal="left" readingOrder="0" shrinkToFit="0" vertical="center" wrapText="1"/>
    </xf>
    <xf borderId="1" fillId="15" fontId="57" numFmtId="0" xfId="0" applyAlignment="1" applyBorder="1" applyFill="1" applyFont="1">
      <alignment horizontal="center" readingOrder="0" shrinkToFit="0" vertical="center" wrapText="1"/>
    </xf>
    <xf borderId="1" fillId="15" fontId="58" numFmtId="0" xfId="0" applyAlignment="1" applyBorder="1" applyFill="1" applyFont="1">
      <alignment horizontal="center" readingOrder="0" shrinkToFit="0" vertical="center" wrapText="1"/>
    </xf>
    <xf borderId="1" fillId="15" fontId="53" numFmtId="0" xfId="0" applyAlignment="1" applyBorder="1" applyFill="1" applyFont="1">
      <alignment horizontal="left" readingOrder="0" shrinkToFit="0" vertical="center" wrapText="1"/>
    </xf>
    <xf borderId="1" fillId="15" fontId="59" numFmtId="0" xfId="0" applyAlignment="1" applyBorder="1" applyFill="1" applyFont="1">
      <alignment horizontal="left" readingOrder="0" shrinkToFit="0" vertical="center" wrapText="1"/>
    </xf>
    <xf borderId="1" fillId="15" fontId="60" numFmtId="0" xfId="0" applyAlignment="1" applyBorder="1" applyFill="1" applyFont="1">
      <alignment horizontal="left" readingOrder="0" shrinkToFit="0" vertical="center" wrapText="1"/>
    </xf>
    <xf borderId="1" fillId="15" fontId="61" numFmtId="0" xfId="0" applyAlignment="1" applyBorder="1" applyFill="1" applyFont="1">
      <alignment horizontal="left" readingOrder="0" shrinkToFit="0" vertical="center" wrapText="1"/>
    </xf>
    <xf borderId="1" fillId="16" fontId="120" numFmtId="0" xfId="0" applyAlignment="1" applyBorder="1" applyFill="1" applyFont="1">
      <alignment horizontal="center" readingOrder="0" shrinkToFit="0" vertical="center" wrapText="1"/>
    </xf>
    <xf borderId="1" fillId="9" fontId="47" numFmtId="0" xfId="0" applyAlignment="1" applyBorder="1" applyFill="1" applyFont="1">
      <alignment horizontal="center" readingOrder="0" shrinkToFit="0" vertical="center" wrapText="1"/>
    </xf>
    <xf borderId="1" fillId="9" fontId="48" numFmtId="0" xfId="0" applyAlignment="1" applyBorder="1" applyFill="1" applyFont="1">
      <alignment horizontal="center" readingOrder="0" shrinkToFit="0" vertical="center" wrapText="1"/>
    </xf>
    <xf borderId="1" fillId="9" fontId="49" numFmtId="0" xfId="0" applyAlignment="1" applyBorder="1" applyFill="1" applyFont="1">
      <alignment horizontal="center" readingOrder="0" shrinkToFit="0" vertical="center" wrapText="1"/>
    </xf>
    <xf borderId="1" fillId="9" fontId="50" numFmtId="0" xfId="0" applyAlignment="1" applyBorder="1" applyFill="1" applyFont="1">
      <alignment horizontal="center" readingOrder="0" shrinkToFit="0" vertical="center" wrapText="1"/>
    </xf>
    <xf borderId="1" fillId="9" fontId="51" numFmtId="0" xfId="0" applyAlignment="1" applyBorder="1" applyFill="1" applyFont="1">
      <alignment horizontal="center" readingOrder="0" shrinkToFit="0" vertical="center" wrapText="1"/>
    </xf>
    <xf borderId="1" fillId="9" fontId="52" numFmtId="0" xfId="0" applyAlignment="1" applyBorder="1" applyFill="1" applyFont="1">
      <alignment horizontal="center" readingOrder="0" shrinkToFit="0" vertical="center" wrapText="1"/>
    </xf>
    <xf borderId="1" fillId="9" fontId="53" numFmtId="0" xfId="0" applyAlignment="1" applyBorder="1" applyFill="1" applyFont="1">
      <alignment horizontal="center" readingOrder="0" shrinkToFit="0" vertical="center" wrapText="1"/>
    </xf>
    <xf borderId="1" fillId="9" fontId="48" numFmtId="0" xfId="0" applyAlignment="1" applyBorder="1" applyFill="1" applyFont="1">
      <alignment horizontal="left" readingOrder="0" shrinkToFit="0" vertical="center" wrapText="1"/>
    </xf>
    <xf borderId="1" fillId="9" fontId="54" numFmtId="0" xfId="0" applyAlignment="1" applyBorder="1" applyFill="1" applyFont="1">
      <alignment horizontal="center" readingOrder="0" shrinkToFit="0" vertical="center" wrapText="1"/>
    </xf>
    <xf borderId="1" fillId="9" fontId="53" numFmtId="0" xfId="0" applyAlignment="1" applyBorder="1" applyFill="1" applyFont="1">
      <alignment horizontal="center" shrinkToFit="0" vertical="center" wrapText="1"/>
    </xf>
    <xf borderId="1" fillId="9" fontId="15" numFmtId="0" xfId="0" applyBorder="1" applyFill="1" applyFont="1"/>
    <xf borderId="1" fillId="9" fontId="121" numFmtId="0" xfId="0" applyAlignment="1" applyBorder="1" applyFill="1" applyFont="1">
      <alignment horizontal="center" shrinkToFit="0" vertical="center" wrapText="1"/>
    </xf>
    <xf borderId="1" fillId="9" fontId="122" numFmtId="0" xfId="0" applyAlignment="1" applyBorder="1" applyFill="1" applyFont="1">
      <alignment horizontal="center" readingOrder="0" shrinkToFit="0" vertical="center" wrapText="1"/>
    </xf>
    <xf borderId="1" fillId="9" fontId="53" numFmtId="0" xfId="0" applyAlignment="1" applyBorder="1" applyFill="1" applyFont="1">
      <alignment horizontal="left" readingOrder="0" shrinkToFit="0" vertical="center" wrapText="1"/>
    </xf>
    <xf borderId="1" fillId="9" fontId="57" numFmtId="0" xfId="0" applyAlignment="1" applyBorder="1" applyFill="1" applyFont="1">
      <alignment horizontal="center" readingOrder="0" shrinkToFit="0" vertical="center" wrapText="1"/>
    </xf>
    <xf borderId="1" fillId="9" fontId="58" numFmtId="0" xfId="0" applyAlignment="1" applyBorder="1" applyFill="1" applyFont="1">
      <alignment horizontal="center" readingOrder="0" shrinkToFit="0" vertical="center" wrapText="1"/>
    </xf>
    <xf borderId="1" fillId="9" fontId="43" numFmtId="165" xfId="0" applyAlignment="1" applyBorder="1" applyFill="1" applyFont="1" applyNumberFormat="1">
      <alignment horizontal="center" readingOrder="0" shrinkToFit="0" vertical="center" wrapText="1"/>
    </xf>
    <xf borderId="1" fillId="9" fontId="44" numFmtId="0" xfId="0" applyAlignment="1" applyBorder="1" applyFill="1" applyFont="1">
      <alignment horizontal="center" readingOrder="0" vertical="center"/>
    </xf>
    <xf borderId="1" fillId="9" fontId="53" numFmtId="0" xfId="0" applyAlignment="1" applyBorder="1" applyFill="1" applyFont="1">
      <alignment horizontal="left" readingOrder="0" shrinkToFit="0" vertical="center" wrapText="1"/>
    </xf>
    <xf borderId="1" fillId="9" fontId="59" numFmtId="0" xfId="0" applyAlignment="1" applyBorder="1" applyFill="1" applyFont="1">
      <alignment horizontal="left" readingOrder="0" shrinkToFit="0" vertical="center" wrapText="1"/>
    </xf>
    <xf borderId="1" fillId="9" fontId="60" numFmtId="0" xfId="0" applyAlignment="1" applyBorder="1" applyFill="1" applyFont="1">
      <alignment horizontal="left" readingOrder="0" shrinkToFit="0" vertical="center" wrapText="1"/>
    </xf>
    <xf borderId="1" fillId="9" fontId="61" numFmtId="0" xfId="0" applyAlignment="1" applyBorder="1" applyFill="1" applyFont="1">
      <alignment horizontal="left" readingOrder="0" shrinkToFit="0" vertical="center" wrapText="1"/>
    </xf>
    <xf borderId="1" fillId="24" fontId="30" numFmtId="0" xfId="0" applyAlignment="1" applyBorder="1" applyFill="1" applyFont="1">
      <alignment horizontal="center" readingOrder="0" shrinkToFit="0" vertical="center" wrapText="1"/>
    </xf>
    <xf borderId="1" fillId="24" fontId="42" numFmtId="0" xfId="0" applyAlignment="1" applyBorder="1" applyFill="1" applyFont="1">
      <alignment horizontal="center" readingOrder="0" shrinkToFit="0" vertical="center" wrapText="1"/>
    </xf>
    <xf borderId="1" fillId="25" fontId="43" numFmtId="165" xfId="0" applyAlignment="1" applyBorder="1" applyFill="1" applyFont="1" applyNumberFormat="1">
      <alignment horizontal="center" shrinkToFit="0" vertical="center" wrapText="1"/>
    </xf>
    <xf borderId="1" fillId="4" fontId="47" numFmtId="0" xfId="0" applyAlignment="1" applyBorder="1" applyFill="1" applyFont="1">
      <alignment horizontal="center" readingOrder="0" shrinkToFit="0" vertical="center" wrapText="1"/>
    </xf>
    <xf borderId="1" fillId="4" fontId="48" numFmtId="0" xfId="0" applyAlignment="1" applyBorder="1" applyFill="1" applyFont="1">
      <alignment horizontal="center" readingOrder="0" shrinkToFit="0" vertical="center" wrapText="1"/>
    </xf>
    <xf borderId="1" fillId="4" fontId="49" numFmtId="0" xfId="0" applyAlignment="1" applyBorder="1" applyFill="1" applyFont="1">
      <alignment horizontal="center" readingOrder="0" shrinkToFit="0" vertical="center" wrapText="1"/>
    </xf>
    <xf borderId="1" fillId="4" fontId="50" numFmtId="0" xfId="0" applyAlignment="1" applyBorder="1" applyFill="1" applyFont="1">
      <alignment horizontal="center" readingOrder="0" shrinkToFit="0" vertical="center" wrapText="1"/>
    </xf>
    <xf borderId="1" fillId="4" fontId="51" numFmtId="0" xfId="0" applyAlignment="1" applyBorder="1" applyFill="1" applyFont="1">
      <alignment horizontal="center" readingOrder="0" shrinkToFit="0" vertical="center" wrapText="1"/>
    </xf>
    <xf borderId="1" fillId="4" fontId="52" numFmtId="0" xfId="0" applyAlignment="1" applyBorder="1" applyFill="1" applyFont="1">
      <alignment horizontal="center" readingOrder="0" shrinkToFit="0" vertical="center" wrapText="1"/>
    </xf>
    <xf borderId="1" fillId="4" fontId="53" numFmtId="0" xfId="0" applyAlignment="1" applyBorder="1" applyFill="1" applyFont="1">
      <alignment horizontal="center" readingOrder="0" shrinkToFit="0" vertical="center" wrapText="1"/>
    </xf>
    <xf borderId="1" fillId="4" fontId="48" numFmtId="0" xfId="0" applyAlignment="1" applyBorder="1" applyFill="1" applyFont="1">
      <alignment horizontal="left" readingOrder="0" shrinkToFit="0" vertical="center" wrapText="1"/>
    </xf>
    <xf borderId="1" fillId="4" fontId="54" numFmtId="0" xfId="0" applyAlignment="1" applyBorder="1" applyFill="1" applyFont="1">
      <alignment horizontal="center" readingOrder="0" shrinkToFit="0" vertical="center" wrapText="1"/>
    </xf>
    <xf borderId="1" fillId="4" fontId="53" numFmtId="0" xfId="0" applyAlignment="1" applyBorder="1" applyFill="1" applyFont="1">
      <alignment horizontal="center" shrinkToFit="0" vertical="center" wrapText="1"/>
    </xf>
    <xf borderId="1" fillId="4" fontId="15" numFmtId="0" xfId="0" applyBorder="1" applyFill="1" applyFont="1"/>
    <xf borderId="1" fillId="4" fontId="123" numFmtId="0" xfId="0" applyAlignment="1" applyBorder="1" applyFill="1" applyFont="1">
      <alignment horizontal="center" shrinkToFit="0" vertical="center" wrapText="1"/>
    </xf>
    <xf borderId="1" fillId="4" fontId="124" numFmtId="0" xfId="0" applyAlignment="1" applyBorder="1" applyFill="1" applyFont="1">
      <alignment horizontal="center" readingOrder="0" shrinkToFit="0" vertical="center" wrapText="1"/>
    </xf>
    <xf borderId="1" fillId="4" fontId="53" numFmtId="0" xfId="0" applyAlignment="1" applyBorder="1" applyFill="1" applyFont="1">
      <alignment horizontal="left" readingOrder="0" shrinkToFit="0" vertical="center" wrapText="1"/>
    </xf>
    <xf borderId="1" fillId="4" fontId="57" numFmtId="0" xfId="0" applyAlignment="1" applyBorder="1" applyFill="1" applyFont="1">
      <alignment horizontal="center" readingOrder="0" shrinkToFit="0" vertical="center" wrapText="1"/>
    </xf>
    <xf borderId="1" fillId="4" fontId="58" numFmtId="0" xfId="0" applyAlignment="1" applyBorder="1" applyFill="1" applyFont="1">
      <alignment horizontal="center" readingOrder="0" shrinkToFit="0" vertical="center" wrapText="1"/>
    </xf>
    <xf borderId="1" fillId="4" fontId="43" numFmtId="165" xfId="0" applyAlignment="1" applyBorder="1" applyFill="1" applyFont="1" applyNumberFormat="1">
      <alignment horizontal="center" readingOrder="0" shrinkToFit="0" vertical="center" wrapText="1"/>
    </xf>
    <xf borderId="1" fillId="4" fontId="44" numFmtId="0" xfId="0" applyAlignment="1" applyBorder="1" applyFill="1" applyFont="1">
      <alignment horizontal="center" readingOrder="0" vertical="center"/>
    </xf>
    <xf borderId="1" fillId="4" fontId="53" numFmtId="0" xfId="0" applyAlignment="1" applyBorder="1" applyFill="1" applyFont="1">
      <alignment horizontal="left" readingOrder="0" shrinkToFit="0" vertical="center" wrapText="1"/>
    </xf>
    <xf borderId="1" fillId="4" fontId="59" numFmtId="0" xfId="0" applyAlignment="1" applyBorder="1" applyFill="1" applyFont="1">
      <alignment horizontal="left" readingOrder="0" shrinkToFit="0" vertical="center" wrapText="1"/>
    </xf>
    <xf borderId="1" fillId="4" fontId="60" numFmtId="0" xfId="0" applyAlignment="1" applyBorder="1" applyFill="1" applyFont="1">
      <alignment horizontal="left" readingOrder="0" shrinkToFit="0" vertical="center" wrapText="1"/>
    </xf>
    <xf borderId="1" fillId="4" fontId="61" numFmtId="0" xfId="0" applyAlignment="1" applyBorder="1" applyFill="1" applyFont="1">
      <alignment horizontal="left" readingOrder="0" shrinkToFit="0" vertical="center" wrapText="1"/>
    </xf>
    <xf borderId="1" fillId="16" fontId="125" numFmtId="0" xfId="0" applyAlignment="1" applyBorder="1" applyFill="1" applyFont="1">
      <alignment horizontal="center" readingOrder="0" shrinkToFit="0" vertical="center" wrapText="1"/>
    </xf>
    <xf borderId="1" fillId="31" fontId="30" numFmtId="10" xfId="0" applyAlignment="1" applyBorder="1" applyFill="1" applyFont="1" applyNumberFormat="1">
      <alignment horizontal="center" readingOrder="0" shrinkToFit="0" vertical="center" wrapText="1"/>
    </xf>
    <xf borderId="1" fillId="31" fontId="42" numFmtId="0" xfId="0" applyAlignment="1" applyBorder="1" applyFill="1" applyFont="1">
      <alignment horizontal="center" readingOrder="0" shrinkToFit="0" vertical="center" wrapText="1"/>
    </xf>
    <xf borderId="1" fillId="31" fontId="43" numFmtId="165" xfId="0" applyAlignment="1" applyBorder="1" applyFill="1" applyFont="1" applyNumberFormat="1">
      <alignment horizontal="center" shrinkToFit="0" vertical="center" wrapText="1"/>
    </xf>
    <xf borderId="1" fillId="31" fontId="44" numFmtId="0" xfId="0" applyAlignment="1" applyBorder="1" applyFill="1" applyFont="1">
      <alignment horizontal="center" vertical="center"/>
    </xf>
    <xf borderId="1" fillId="16" fontId="43" numFmtId="165" xfId="0" applyAlignment="1" applyBorder="1" applyFill="1" applyFont="1" applyNumberFormat="1">
      <alignment horizontal="center" readingOrder="0" shrinkToFit="0" vertical="center" wrapText="1"/>
    </xf>
    <xf borderId="1" fillId="16" fontId="44" numFmtId="0" xfId="0" applyAlignment="1" applyBorder="1" applyFill="1" applyFont="1">
      <alignment horizontal="center" readingOrder="0" vertical="center"/>
    </xf>
    <xf borderId="1" fillId="21" fontId="126" numFmtId="0" xfId="0" applyAlignment="1" applyBorder="1" applyFill="1" applyFont="1">
      <alignment horizontal="center" readingOrder="0" shrinkToFit="0" vertical="center" wrapText="1"/>
    </xf>
    <xf borderId="1" fillId="30" fontId="28" numFmtId="166" xfId="0" applyAlignment="1" applyBorder="1" applyFill="1" applyFont="1" applyNumberFormat="1">
      <alignment horizontal="left" readingOrder="0" shrinkToFit="0" vertical="center" wrapText="1"/>
    </xf>
    <xf borderId="1" fillId="30" fontId="46" numFmtId="166" xfId="0" applyAlignment="1" applyBorder="1" applyFill="1" applyFont="1" applyNumberFormat="1">
      <alignment horizontal="left" readingOrder="0" shrinkToFit="0" vertical="center" wrapText="1"/>
    </xf>
    <xf borderId="1" fillId="21" fontId="127" numFmtId="0" xfId="0" applyAlignment="1" applyBorder="1" applyFill="1" applyFont="1">
      <alignment horizontal="center" shrinkToFit="0" vertical="center" wrapText="1"/>
    </xf>
    <xf borderId="1" fillId="21" fontId="72" numFmtId="166" xfId="0" applyAlignment="1" applyBorder="1" applyFill="1" applyFont="1" applyNumberFormat="1">
      <alignment horizontal="left" readingOrder="0" shrinkToFit="0" vertical="center" wrapText="1"/>
    </xf>
    <xf borderId="1" fillId="21" fontId="73" numFmtId="166" xfId="0" applyAlignment="1" applyBorder="1" applyFill="1" applyFont="1" applyNumberFormat="1">
      <alignment horizontal="left" readingOrder="0" shrinkToFit="0" vertical="center" wrapText="1"/>
    </xf>
    <xf borderId="1" fillId="36" fontId="47" numFmtId="0" xfId="0" applyAlignment="1" applyBorder="1" applyFill="1" applyFont="1">
      <alignment horizontal="center" readingOrder="0" shrinkToFit="0" vertical="center" wrapText="1"/>
    </xf>
    <xf borderId="1" fillId="36" fontId="48" numFmtId="0" xfId="0" applyAlignment="1" applyBorder="1" applyFill="1" applyFont="1">
      <alignment horizontal="center" readingOrder="0" shrinkToFit="0" vertical="center" wrapText="1"/>
    </xf>
    <xf borderId="1" fillId="36" fontId="49" numFmtId="0" xfId="0" applyAlignment="1" applyBorder="1" applyFill="1" applyFont="1">
      <alignment horizontal="center" readingOrder="0" shrinkToFit="0" vertical="center" wrapText="1"/>
    </xf>
    <xf borderId="1" fillId="36" fontId="50" numFmtId="0" xfId="0" applyAlignment="1" applyBorder="1" applyFill="1" applyFont="1">
      <alignment horizontal="center" readingOrder="0" shrinkToFit="0" vertical="center" wrapText="1"/>
    </xf>
    <xf borderId="1" fillId="36" fontId="51" numFmtId="0" xfId="0" applyAlignment="1" applyBorder="1" applyFill="1" applyFont="1">
      <alignment horizontal="center" readingOrder="0" shrinkToFit="0" vertical="center" wrapText="1"/>
    </xf>
    <xf borderId="1" fillId="36" fontId="52" numFmtId="0" xfId="0" applyAlignment="1" applyBorder="1" applyFill="1" applyFont="1">
      <alignment horizontal="center" readingOrder="0" shrinkToFit="0" vertical="center" wrapText="1"/>
    </xf>
    <xf borderId="1" fillId="36" fontId="53" numFmtId="0" xfId="0" applyAlignment="1" applyBorder="1" applyFill="1" applyFont="1">
      <alignment horizontal="center" readingOrder="0" shrinkToFit="0" vertical="center" wrapText="1"/>
    </xf>
    <xf borderId="1" fillId="36" fontId="48" numFmtId="0" xfId="0" applyAlignment="1" applyBorder="1" applyFill="1" applyFont="1">
      <alignment horizontal="left" readingOrder="0" shrinkToFit="0" vertical="center" wrapText="1"/>
    </xf>
    <xf borderId="1" fillId="36" fontId="54" numFmtId="0" xfId="0" applyAlignment="1" applyBorder="1" applyFill="1" applyFont="1">
      <alignment horizontal="center" readingOrder="0" shrinkToFit="0" vertical="center" wrapText="1"/>
    </xf>
    <xf borderId="1" fillId="36" fontId="53" numFmtId="0" xfId="0" applyAlignment="1" applyBorder="1" applyFill="1" applyFont="1">
      <alignment horizontal="center" shrinkToFit="0" vertical="center" wrapText="1"/>
    </xf>
    <xf borderId="1" fillId="36" fontId="15" numFmtId="0" xfId="0" applyBorder="1" applyFill="1" applyFont="1"/>
    <xf borderId="1" fillId="36" fontId="128" numFmtId="0" xfId="0" applyAlignment="1" applyBorder="1" applyFill="1" applyFont="1">
      <alignment horizontal="center" shrinkToFit="0" vertical="center" wrapText="1"/>
    </xf>
    <xf borderId="1" fillId="36" fontId="129" numFmtId="0" xfId="0" applyAlignment="1" applyBorder="1" applyFill="1" applyFont="1">
      <alignment horizontal="center" readingOrder="0" shrinkToFit="0" vertical="center" wrapText="1"/>
    </xf>
    <xf borderId="1" fillId="36" fontId="53" numFmtId="0" xfId="0" applyAlignment="1" applyBorder="1" applyFill="1" applyFont="1">
      <alignment horizontal="left" readingOrder="0" shrinkToFit="0" vertical="center" wrapText="1"/>
    </xf>
    <xf borderId="1" fillId="36" fontId="57" numFmtId="0" xfId="0" applyAlignment="1" applyBorder="1" applyFill="1" applyFont="1">
      <alignment horizontal="center" readingOrder="0" shrinkToFit="0" vertical="center" wrapText="1"/>
    </xf>
    <xf borderId="1" fillId="36" fontId="58" numFmtId="0" xfId="0" applyAlignment="1" applyBorder="1" applyFill="1" applyFont="1">
      <alignment horizontal="center" readingOrder="0" shrinkToFit="0" vertical="center" wrapText="1"/>
    </xf>
    <xf borderId="1" fillId="36" fontId="53" numFmtId="0" xfId="0" applyAlignment="1" applyBorder="1" applyFill="1" applyFont="1">
      <alignment horizontal="left" readingOrder="0" shrinkToFit="0" vertical="center" wrapText="1"/>
    </xf>
    <xf borderId="1" fillId="36" fontId="59" numFmtId="0" xfId="0" applyAlignment="1" applyBorder="1" applyFill="1" applyFont="1">
      <alignment horizontal="left" readingOrder="0" shrinkToFit="0" vertical="center" wrapText="1"/>
    </xf>
    <xf borderId="1" fillId="36" fontId="60" numFmtId="0" xfId="0" applyAlignment="1" applyBorder="1" applyFill="1" applyFont="1">
      <alignment horizontal="left" readingOrder="0" shrinkToFit="0" vertical="center" wrapText="1"/>
    </xf>
    <xf borderId="1" fillId="36" fontId="61" numFmtId="0" xfId="0" applyAlignment="1" applyBorder="1" applyFill="1" applyFont="1">
      <alignment horizontal="left" readingOrder="0" shrinkToFit="0" vertical="center" wrapText="1"/>
    </xf>
    <xf borderId="1" fillId="22" fontId="130" numFmtId="0" xfId="0" applyAlignment="1" applyBorder="1" applyFill="1" applyFont="1">
      <alignment horizontal="left" readingOrder="0" shrinkToFit="0" vertical="center" wrapText="1"/>
    </xf>
    <xf borderId="1" fillId="22" fontId="131" numFmtId="0" xfId="0" applyAlignment="1" applyBorder="1" applyFill="1" applyFont="1">
      <alignment horizontal="left" readingOrder="0" shrinkToFit="0" vertical="center" wrapText="1"/>
    </xf>
    <xf borderId="1" fillId="5" fontId="47" numFmtId="0" xfId="0" applyAlignment="1" applyBorder="1" applyFill="1" applyFont="1">
      <alignment horizontal="center" readingOrder="0" shrinkToFit="0" vertical="center" wrapText="1"/>
    </xf>
    <xf borderId="1" fillId="5" fontId="48" numFmtId="0" xfId="0" applyAlignment="1" applyBorder="1" applyFill="1" applyFont="1">
      <alignment horizontal="center" readingOrder="0" shrinkToFit="0" vertical="center" wrapText="1"/>
    </xf>
    <xf borderId="1" fillId="5" fontId="49" numFmtId="0" xfId="0" applyAlignment="1" applyBorder="1" applyFill="1" applyFont="1">
      <alignment horizontal="center" readingOrder="0" shrinkToFit="0" vertical="center" wrapText="1"/>
    </xf>
    <xf borderId="1" fillId="5" fontId="50" numFmtId="0" xfId="0" applyAlignment="1" applyBorder="1" applyFill="1" applyFont="1">
      <alignment horizontal="center" readingOrder="0" shrinkToFit="0" vertical="center" wrapText="1"/>
    </xf>
    <xf borderId="1" fillId="5" fontId="51" numFmtId="0" xfId="0" applyAlignment="1" applyBorder="1" applyFill="1" applyFont="1">
      <alignment horizontal="center" readingOrder="0" shrinkToFit="0" vertical="center" wrapText="1"/>
    </xf>
    <xf borderId="1" fillId="5" fontId="52" numFmtId="0" xfId="0" applyAlignment="1" applyBorder="1" applyFill="1" applyFont="1">
      <alignment horizontal="center" readingOrder="0" shrinkToFit="0" vertical="center" wrapText="1"/>
    </xf>
    <xf borderId="1" fillId="5" fontId="53" numFmtId="0" xfId="0" applyAlignment="1" applyBorder="1" applyFill="1" applyFont="1">
      <alignment horizontal="center" readingOrder="0" shrinkToFit="0" vertical="center" wrapText="1"/>
    </xf>
    <xf borderId="1" fillId="5" fontId="48" numFmtId="0" xfId="0" applyAlignment="1" applyBorder="1" applyFill="1" applyFont="1">
      <alignment horizontal="left" readingOrder="0" shrinkToFit="0" vertical="center" wrapText="1"/>
    </xf>
    <xf borderId="1" fillId="5" fontId="54" numFmtId="0" xfId="0" applyAlignment="1" applyBorder="1" applyFill="1" applyFont="1">
      <alignment horizontal="center" readingOrder="0" shrinkToFit="0" vertical="center" wrapText="1"/>
    </xf>
    <xf borderId="1" fillId="5" fontId="53" numFmtId="0" xfId="0" applyAlignment="1" applyBorder="1" applyFill="1" applyFont="1">
      <alignment horizontal="center" shrinkToFit="0" vertical="center" wrapText="1"/>
    </xf>
    <xf borderId="1" fillId="5" fontId="15" numFmtId="0" xfId="0" applyBorder="1" applyFill="1" applyFont="1"/>
    <xf borderId="1" fillId="5" fontId="132" numFmtId="0" xfId="0" applyAlignment="1" applyBorder="1" applyFill="1" applyFont="1">
      <alignment horizontal="center" shrinkToFit="0" vertical="center" wrapText="1"/>
    </xf>
    <xf borderId="1" fillId="5" fontId="133" numFmtId="0" xfId="0" applyAlignment="1" applyBorder="1" applyFill="1" applyFont="1">
      <alignment horizontal="center" readingOrder="0" shrinkToFit="0" vertical="center" wrapText="1"/>
    </xf>
    <xf borderId="1" fillId="5" fontId="53" numFmtId="0" xfId="0" applyAlignment="1" applyBorder="1" applyFill="1" applyFont="1">
      <alignment horizontal="left" readingOrder="0" shrinkToFit="0" vertical="center" wrapText="1"/>
    </xf>
    <xf borderId="1" fillId="5" fontId="57" numFmtId="0" xfId="0" applyAlignment="1" applyBorder="1" applyFill="1" applyFont="1">
      <alignment horizontal="center" readingOrder="0" shrinkToFit="0" vertical="center" wrapText="1"/>
    </xf>
    <xf borderId="1" fillId="5" fontId="58" numFmtId="0" xfId="0" applyAlignment="1" applyBorder="1" applyFill="1" applyFont="1">
      <alignment horizontal="center" readingOrder="0" shrinkToFit="0" vertical="center" wrapText="1"/>
    </xf>
    <xf borderId="1" fillId="5" fontId="43" numFmtId="165" xfId="0" applyAlignment="1" applyBorder="1" applyFill="1" applyFont="1" applyNumberFormat="1">
      <alignment horizontal="center" readingOrder="0" shrinkToFit="0" vertical="center" wrapText="1"/>
    </xf>
    <xf borderId="1" fillId="5" fontId="44" numFmtId="0" xfId="0" applyAlignment="1" applyBorder="1" applyFill="1" applyFont="1">
      <alignment horizontal="center" readingOrder="0" vertical="center"/>
    </xf>
    <xf borderId="1" fillId="5" fontId="53" numFmtId="0" xfId="0" applyAlignment="1" applyBorder="1" applyFill="1" applyFont="1">
      <alignment horizontal="left" readingOrder="0" shrinkToFit="0" vertical="center" wrapText="1"/>
    </xf>
    <xf borderId="1" fillId="5" fontId="59" numFmtId="0" xfId="0" applyAlignment="1" applyBorder="1" applyFill="1" applyFont="1">
      <alignment horizontal="left" readingOrder="0" shrinkToFit="0" vertical="center" wrapText="1"/>
    </xf>
    <xf borderId="1" fillId="5" fontId="60" numFmtId="0" xfId="0" applyAlignment="1" applyBorder="1" applyFill="1" applyFont="1">
      <alignment horizontal="left" readingOrder="0" shrinkToFit="0" vertical="center" wrapText="1"/>
    </xf>
    <xf borderId="1" fillId="5" fontId="61" numFmtId="0" xfId="0" applyAlignment="1" applyBorder="1" applyFill="1" applyFont="1">
      <alignment horizontal="left" readingOrder="0" shrinkToFit="0" vertical="center" wrapText="1"/>
    </xf>
    <xf borderId="1" fillId="15" fontId="53" numFmtId="0" xfId="0" applyAlignment="1" applyBorder="1" applyFill="1" applyFont="1">
      <alignment horizontal="center" shrinkToFit="0" vertical="center" wrapText="1"/>
    </xf>
    <xf borderId="1" fillId="15" fontId="134" numFmtId="0" xfId="0" applyAlignment="1" applyBorder="1" applyFill="1" applyFont="1">
      <alignment horizontal="center" shrinkToFit="0" vertical="center" wrapText="1"/>
    </xf>
    <xf borderId="1" fillId="16" fontId="13" numFmtId="0" xfId="0" applyAlignment="1" applyBorder="1" applyFill="1" applyFont="1">
      <alignment horizontal="left" readingOrder="0" shrinkToFit="0" vertical="center" wrapText="1"/>
    </xf>
    <xf borderId="1" fillId="16" fontId="20" numFmtId="0" xfId="0" applyAlignment="1" applyBorder="1" applyFill="1" applyFont="1">
      <alignment horizontal="center" readingOrder="0" shrinkToFit="0" vertical="center" wrapText="1"/>
    </xf>
    <xf borderId="1" fillId="16" fontId="135" numFmtId="0" xfId="0" applyAlignment="1" applyBorder="1" applyFill="1" applyFont="1">
      <alignment horizontal="center" readingOrder="0" shrinkToFit="0" vertical="center" wrapText="1"/>
    </xf>
    <xf borderId="1" fillId="21" fontId="20" numFmtId="0" xfId="0" applyAlignment="1" applyBorder="1" applyFill="1" applyFont="1">
      <alignment horizontal="center" readingOrder="0" shrinkToFit="0" vertical="center" wrapText="1"/>
    </xf>
    <xf borderId="1" fillId="21" fontId="135" numFmtId="0" xfId="0" applyAlignment="1" applyBorder="1" applyFill="1" applyFont="1">
      <alignment horizontal="center" readingOrder="0" shrinkToFit="0" vertical="center" wrapText="1"/>
    </xf>
    <xf borderId="1" fillId="16" fontId="136" numFmtId="0" xfId="0" applyAlignment="1" applyBorder="1" applyFill="1" applyFont="1">
      <alignment horizontal="center" readingOrder="0" shrinkToFit="0" vertical="center" wrapText="1"/>
    </xf>
    <xf borderId="1" fillId="16" fontId="137" numFmtId="0" xfId="0" applyAlignment="1" applyBorder="1" applyFill="1" applyFont="1">
      <alignment horizontal="center" readingOrder="0" shrinkToFit="0" vertical="center" wrapText="1"/>
    </xf>
    <xf borderId="1" fillId="16" fontId="138" numFmtId="0" xfId="0" applyAlignment="1" applyBorder="1" applyFill="1" applyFont="1">
      <alignment horizontal="center" readingOrder="0" shrinkToFit="0" vertical="center" wrapText="1"/>
    </xf>
    <xf borderId="1" fillId="16" fontId="138" numFmtId="0" xfId="0" applyAlignment="1" applyBorder="1" applyFill="1" applyFont="1">
      <alignment horizontal="center" shrinkToFit="0" vertical="center" wrapText="1"/>
    </xf>
    <xf borderId="1" fillId="16" fontId="139" numFmtId="0" xfId="0" applyAlignment="1" applyBorder="1" applyFill="1" applyFont="1">
      <alignment horizontal="center" shrinkToFit="0" vertical="center" wrapText="1"/>
    </xf>
    <xf borderId="1" fillId="16" fontId="138" numFmtId="0" xfId="0" applyAlignment="1" applyBorder="1" applyFill="1" applyFont="1">
      <alignment horizontal="left" readingOrder="0" shrinkToFit="0" vertical="center" wrapText="1"/>
    </xf>
    <xf borderId="1" fillId="16" fontId="21" numFmtId="0" xfId="0" applyAlignment="1" applyBorder="1" applyFill="1" applyFont="1">
      <alignment horizontal="center" readingOrder="0" shrinkToFit="0" vertical="center" wrapText="1"/>
    </xf>
    <xf borderId="1" fillId="25" fontId="24" numFmtId="165" xfId="0" applyAlignment="1" applyBorder="1" applyFill="1" applyFont="1" applyNumberFormat="1">
      <alignment horizontal="center" readingOrder="0" shrinkToFit="0" vertical="center" wrapText="1"/>
    </xf>
    <xf borderId="1" fillId="16" fontId="138" numFmtId="0" xfId="0" applyAlignment="1" applyBorder="1" applyFill="1" applyFont="1">
      <alignment horizontal="left" readingOrder="0" shrinkToFit="0" vertical="center" wrapText="1"/>
    </xf>
    <xf borderId="1" fillId="16" fontId="72" numFmtId="0" xfId="0" applyAlignment="1" applyBorder="1" applyFill="1" applyFont="1">
      <alignment horizontal="left" readingOrder="0" shrinkToFit="0" vertical="center" wrapText="1"/>
    </xf>
    <xf borderId="1" fillId="16" fontId="73" numFmtId="0" xfId="0" applyAlignment="1" applyBorder="1" applyFill="1" applyFont="1">
      <alignment horizontal="left" readingOrder="0" shrinkToFit="0" vertical="center" wrapText="1"/>
    </xf>
    <xf borderId="1" fillId="3" fontId="64" numFmtId="166" xfId="0" applyAlignment="1" applyBorder="1" applyFill="1" applyFont="1" applyNumberFormat="1">
      <alignment horizontal="left" readingOrder="0" shrinkToFit="0" vertical="center" wrapText="1"/>
    </xf>
    <xf borderId="1" fillId="3" fontId="65" numFmtId="166" xfId="0" applyAlignment="1" applyBorder="1" applyFill="1" applyFont="1" applyNumberFormat="1">
      <alignment horizontal="left" readingOrder="0" shrinkToFit="0" vertical="center" wrapText="1"/>
    </xf>
    <xf borderId="1" fillId="28" fontId="64" numFmtId="166" xfId="0" applyAlignment="1" applyBorder="1" applyFill="1" applyFont="1" applyNumberFormat="1">
      <alignment horizontal="left" readingOrder="0" shrinkToFit="0" vertical="center" wrapText="1"/>
    </xf>
    <xf borderId="1" fillId="28" fontId="65" numFmtId="166" xfId="0" applyAlignment="1" applyBorder="1" applyFill="1" applyFont="1" applyNumberFormat="1">
      <alignment horizontal="left" readingOrder="0" shrinkToFit="0" vertical="center" wrapText="1"/>
    </xf>
    <xf borderId="1" fillId="16" fontId="60" numFmtId="166" xfId="0" applyAlignment="1" applyBorder="1" applyFill="1" applyFont="1" applyNumberFormat="1">
      <alignment horizontal="left" readingOrder="0" shrinkToFit="0" vertical="center" wrapText="1"/>
    </xf>
    <xf borderId="1" fillId="16" fontId="61" numFmtId="166" xfId="0" applyAlignment="1" applyBorder="1" applyFill="1" applyFont="1" applyNumberFormat="1">
      <alignment horizontal="left" readingOrder="0" shrinkToFit="0" vertical="center" wrapText="1"/>
    </xf>
    <xf borderId="1" fillId="24" fontId="30" numFmtId="10" xfId="0" applyAlignment="1" applyBorder="1" applyFill="1" applyFont="1" applyNumberFormat="1">
      <alignment horizontal="center" readingOrder="0" shrinkToFit="0" vertical="center" wrapText="1"/>
    </xf>
    <xf borderId="1" fillId="24" fontId="64" numFmtId="166" xfId="0" applyAlignment="1" applyBorder="1" applyFill="1" applyFont="1" applyNumberFormat="1">
      <alignment horizontal="left" readingOrder="0" shrinkToFit="0" vertical="center" wrapText="1"/>
    </xf>
    <xf borderId="1" fillId="24" fontId="65" numFmtId="166" xfId="0" applyAlignment="1" applyBorder="1" applyFill="1" applyFont="1" applyNumberFormat="1">
      <alignment horizontal="left" readingOrder="0" shrinkToFit="0" vertical="center" wrapText="1"/>
    </xf>
    <xf borderId="1" fillId="37" fontId="29" numFmtId="0" xfId="0" applyAlignment="1" applyBorder="1" applyFill="1" applyFont="1">
      <alignment horizontal="center" readingOrder="0" shrinkToFit="0" vertical="center" wrapText="1"/>
    </xf>
    <xf borderId="1" fillId="37" fontId="30" numFmtId="0" xfId="0" applyAlignment="1" applyBorder="1" applyFill="1" applyFont="1">
      <alignment horizontal="center" readingOrder="0" shrinkToFit="0" vertical="center" wrapText="1"/>
    </xf>
    <xf borderId="1" fillId="37" fontId="31" numFmtId="0" xfId="0" applyAlignment="1" applyBorder="1" applyFill="1" applyFont="1">
      <alignment horizontal="center" readingOrder="0" shrinkToFit="0" vertical="center" wrapText="1"/>
    </xf>
    <xf borderId="1" fillId="37" fontId="32" numFmtId="0" xfId="0" applyAlignment="1" applyBorder="1" applyFill="1" applyFont="1">
      <alignment horizontal="center" readingOrder="0" shrinkToFit="0" vertical="center" wrapText="1"/>
    </xf>
    <xf borderId="1" fillId="37" fontId="33" numFmtId="0" xfId="0" applyAlignment="1" applyBorder="1" applyFill="1" applyFont="1">
      <alignment horizontal="center" readingOrder="0" shrinkToFit="0" vertical="center" wrapText="1"/>
    </xf>
    <xf borderId="1" fillId="37" fontId="34" numFmtId="0" xfId="0" applyAlignment="1" applyBorder="1" applyFill="1" applyFont="1">
      <alignment horizontal="center" readingOrder="0" shrinkToFit="0" vertical="center" wrapText="1"/>
    </xf>
    <xf borderId="1" fillId="37" fontId="35" numFmtId="0" xfId="0" applyAlignment="1" applyBorder="1" applyFill="1" applyFont="1">
      <alignment horizontal="center" readingOrder="0" shrinkToFit="0" vertical="center" wrapText="1"/>
    </xf>
    <xf borderId="1" fillId="37" fontId="30" numFmtId="0" xfId="0" applyAlignment="1" applyBorder="1" applyFill="1" applyFont="1">
      <alignment horizontal="left" readingOrder="0" shrinkToFit="0" vertical="center" wrapText="1"/>
    </xf>
    <xf borderId="1" fillId="37" fontId="36" numFmtId="0" xfId="0" applyAlignment="1" applyBorder="1" applyFill="1" applyFont="1">
      <alignment horizontal="center" readingOrder="0" shrinkToFit="0" vertical="center" wrapText="1"/>
    </xf>
    <xf borderId="1" fillId="37" fontId="35" numFmtId="0" xfId="0" applyAlignment="1" applyBorder="1" applyFill="1" applyFont="1">
      <alignment horizontal="center" shrinkToFit="0" vertical="center" wrapText="1"/>
    </xf>
    <xf borderId="1" fillId="37" fontId="38" numFmtId="0" xfId="0" applyBorder="1" applyFill="1" applyFont="1"/>
    <xf borderId="1" fillId="37" fontId="140" numFmtId="0" xfId="0" applyAlignment="1" applyBorder="1" applyFill="1" applyFont="1">
      <alignment horizontal="center" shrinkToFit="0" vertical="center" wrapText="1"/>
    </xf>
    <xf borderId="1" fillId="37" fontId="141" numFmtId="0" xfId="0" applyAlignment="1" applyBorder="1" applyFill="1" applyFont="1">
      <alignment horizontal="center" readingOrder="0" shrinkToFit="0" vertical="center" wrapText="1"/>
    </xf>
    <xf borderId="1" fillId="37" fontId="35" numFmtId="0" xfId="0" applyAlignment="1" applyBorder="1" applyFill="1" applyFont="1">
      <alignment horizontal="left" readingOrder="0" shrinkToFit="0" vertical="center" wrapText="1"/>
    </xf>
    <xf borderId="1" fillId="37" fontId="41" numFmtId="0" xfId="0" applyAlignment="1" applyBorder="1" applyFill="1" applyFont="1">
      <alignment horizontal="center" readingOrder="0" shrinkToFit="0" vertical="center" wrapText="1"/>
    </xf>
    <xf borderId="1" fillId="37" fontId="42" numFmtId="0" xfId="0" applyAlignment="1" applyBorder="1" applyFill="1" applyFont="1">
      <alignment horizontal="center" readingOrder="0" shrinkToFit="0" vertical="center" wrapText="1"/>
    </xf>
    <xf borderId="1" fillId="37" fontId="35" numFmtId="0" xfId="0" applyAlignment="1" applyBorder="1" applyFill="1" applyFont="1">
      <alignment horizontal="left" readingOrder="0" shrinkToFit="0" vertical="center" wrapText="1"/>
    </xf>
    <xf borderId="1" fillId="37" fontId="45" numFmtId="0" xfId="0" applyAlignment="1" applyBorder="1" applyFill="1" applyFont="1">
      <alignment horizontal="left" readingOrder="0" shrinkToFit="0" vertical="center" wrapText="1"/>
    </xf>
    <xf borderId="1" fillId="37" fontId="64" numFmtId="0" xfId="0" applyAlignment="1" applyBorder="1" applyFill="1" applyFont="1">
      <alignment horizontal="left" readingOrder="0" shrinkToFit="0" vertical="center" wrapText="1"/>
    </xf>
    <xf borderId="1" fillId="37" fontId="65" numFmtId="0" xfId="0" applyAlignment="1" applyBorder="1" applyFill="1" applyFont="1">
      <alignment horizontal="left" readingOrder="0" shrinkToFit="0" vertical="center" wrapText="1"/>
    </xf>
    <xf borderId="1" fillId="23" fontId="53" numFmtId="0" xfId="0" applyAlignment="1" applyBorder="1" applyFill="1" applyFont="1">
      <alignment horizontal="center" shrinkToFit="0" vertical="center" wrapText="1"/>
    </xf>
    <xf borderId="1" fillId="23" fontId="142" numFmtId="0" xfId="0" applyAlignment="1" applyBorder="1" applyFill="1" applyFont="1">
      <alignment horizontal="center" shrinkToFit="0" vertical="center" wrapText="1"/>
    </xf>
    <xf borderId="1" fillId="23" fontId="60" numFmtId="0" xfId="0" applyAlignment="1" applyBorder="1" applyFill="1" applyFont="1">
      <alignment horizontal="left" readingOrder="0" shrinkToFit="0" vertical="center" wrapText="1"/>
    </xf>
    <xf borderId="1" fillId="23" fontId="61" numFmtId="0" xfId="0" applyAlignment="1" applyBorder="1" applyFill="1" applyFont="1">
      <alignment horizontal="left" readingOrder="0" shrinkToFit="0" vertical="center" wrapText="1"/>
    </xf>
    <xf borderId="1" fillId="3" fontId="51" numFmtId="0" xfId="0" applyAlignment="1" applyBorder="1" applyFill="1" applyFont="1">
      <alignment horizontal="center" readingOrder="0" shrinkToFit="0" vertical="center" wrapText="1"/>
    </xf>
    <xf borderId="1" fillId="3" fontId="48" numFmtId="0" xfId="0" applyAlignment="1" applyBorder="1" applyFill="1" applyFont="1">
      <alignment horizontal="center" readingOrder="0" shrinkToFit="0" vertical="center" wrapText="1"/>
    </xf>
    <xf borderId="1" fillId="3" fontId="48" numFmtId="0" xfId="0" applyAlignment="1" applyBorder="1" applyFill="1" applyFont="1">
      <alignment horizontal="left" readingOrder="0" shrinkToFit="0" vertical="center" wrapText="1"/>
    </xf>
    <xf borderId="1" fillId="26" fontId="143" numFmtId="0" xfId="0" applyAlignment="1" applyBorder="1" applyFill="1" applyFont="1">
      <alignment horizontal="left" readingOrder="0" shrinkToFit="0" vertical="center" wrapText="1"/>
    </xf>
    <xf borderId="1" fillId="28" fontId="30" numFmtId="0" xfId="0" applyAlignment="1" applyBorder="1" applyFill="1" applyFont="1">
      <alignment horizontal="center" readingOrder="0" shrinkToFit="0" vertical="center" wrapText="1"/>
    </xf>
    <xf borderId="1" fillId="28" fontId="42" numFmtId="0" xfId="0" applyAlignment="1" applyBorder="1" applyFill="1" applyFont="1">
      <alignment horizontal="center" readingOrder="0" shrinkToFit="0" vertical="center" wrapText="1"/>
    </xf>
    <xf borderId="1" fillId="30" fontId="30" numFmtId="0" xfId="0" applyAlignment="1" applyBorder="1" applyFill="1" applyFont="1">
      <alignment horizontal="center" readingOrder="0" shrinkToFit="0" vertical="center" wrapText="1"/>
    </xf>
    <xf borderId="1" fillId="30" fontId="42" numFmtId="0" xfId="0" applyAlignment="1" applyBorder="1" applyFill="1" applyFont="1">
      <alignment horizontal="center" readingOrder="0" shrinkToFit="0" vertical="center" wrapText="1"/>
    </xf>
    <xf borderId="1" fillId="30" fontId="64" numFmtId="166" xfId="0" applyAlignment="1" applyBorder="1" applyFill="1" applyFont="1" applyNumberFormat="1">
      <alignment horizontal="left" readingOrder="0" shrinkToFit="0" vertical="center" wrapText="1"/>
    </xf>
    <xf borderId="1" fillId="30" fontId="65" numFmtId="166" xfId="0" applyAlignment="1" applyBorder="1" applyFill="1" applyFont="1" applyNumberFormat="1">
      <alignment horizontal="left" readingOrder="0" shrinkToFit="0" vertical="center" wrapText="1"/>
    </xf>
    <xf borderId="1" fillId="33" fontId="29" numFmtId="0" xfId="0" applyAlignment="1" applyBorder="1" applyFill="1" applyFont="1">
      <alignment horizontal="center" readingOrder="0" shrinkToFit="0" vertical="center" wrapText="1"/>
    </xf>
    <xf borderId="1" fillId="33" fontId="144" numFmtId="0" xfId="0" applyAlignment="1" applyBorder="1" applyFill="1" applyFont="1">
      <alignment horizontal="center" readingOrder="0" shrinkToFit="0" vertical="center" wrapText="1"/>
    </xf>
    <xf borderId="1" fillId="33" fontId="31" numFmtId="0" xfId="0" applyAlignment="1" applyBorder="1" applyFill="1" applyFont="1">
      <alignment horizontal="center" readingOrder="0" shrinkToFit="0" vertical="center" wrapText="1"/>
    </xf>
    <xf borderId="1" fillId="33" fontId="30" numFmtId="0" xfId="0" applyAlignment="1" applyBorder="1" applyFill="1" applyFont="1">
      <alignment horizontal="center" readingOrder="0" shrinkToFit="0" vertical="center" wrapText="1"/>
    </xf>
    <xf borderId="1" fillId="33" fontId="32" numFmtId="0" xfId="0" applyAlignment="1" applyBorder="1" applyFill="1" applyFont="1">
      <alignment horizontal="center" readingOrder="0" shrinkToFit="0" vertical="center" wrapText="1"/>
    </xf>
    <xf borderId="1" fillId="33" fontId="33" numFmtId="0" xfId="0" applyAlignment="1" applyBorder="1" applyFill="1" applyFont="1">
      <alignment horizontal="center" readingOrder="0" shrinkToFit="0" vertical="center" wrapText="1"/>
    </xf>
    <xf borderId="1" fillId="33" fontId="34" numFmtId="0" xfId="0" applyAlignment="1" applyBorder="1" applyFill="1" applyFont="1">
      <alignment horizontal="center" readingOrder="0" shrinkToFit="0" vertical="center" wrapText="1"/>
    </xf>
    <xf borderId="1" fillId="33" fontId="35" numFmtId="0" xfId="0" applyAlignment="1" applyBorder="1" applyFill="1" applyFont="1">
      <alignment horizontal="center" readingOrder="0" shrinkToFit="0" vertical="center" wrapText="1"/>
    </xf>
    <xf borderId="1" fillId="33" fontId="30" numFmtId="0" xfId="0" applyAlignment="1" applyBorder="1" applyFill="1" applyFont="1">
      <alignment horizontal="left" readingOrder="0" shrinkToFit="0" vertical="center" wrapText="1"/>
    </xf>
    <xf borderId="1" fillId="33" fontId="36" numFmtId="0" xfId="0" applyAlignment="1" applyBorder="1" applyFill="1" applyFont="1">
      <alignment horizontal="center" readingOrder="0" shrinkToFit="0" vertical="center" wrapText="1"/>
    </xf>
    <xf borderId="1" fillId="33" fontId="35" numFmtId="0" xfId="0" applyAlignment="1" applyBorder="1" applyFill="1" applyFont="1">
      <alignment horizontal="center" shrinkToFit="0" vertical="center" wrapText="1"/>
    </xf>
    <xf borderId="1" fillId="33" fontId="38" numFmtId="0" xfId="0" applyBorder="1" applyFill="1" applyFont="1"/>
    <xf borderId="1" fillId="33" fontId="145" numFmtId="0" xfId="0" applyAlignment="1" applyBorder="1" applyFill="1" applyFont="1">
      <alignment horizontal="center" shrinkToFit="0" vertical="center" wrapText="1"/>
    </xf>
    <xf borderId="1" fillId="33" fontId="35" numFmtId="0" xfId="0" applyAlignment="1" applyBorder="1" applyFill="1" applyFont="1">
      <alignment horizontal="left" readingOrder="0" shrinkToFit="0" vertical="center" wrapText="1"/>
    </xf>
    <xf borderId="1" fillId="33" fontId="41" numFmtId="0" xfId="0" applyAlignment="1" applyBorder="1" applyFill="1" applyFont="1">
      <alignment horizontal="center" readingOrder="0" shrinkToFit="0" vertical="center" wrapText="1"/>
    </xf>
    <xf borderId="1" fillId="33" fontId="30" numFmtId="0" xfId="0" applyAlignment="1" applyBorder="1" applyFill="1" applyFont="1">
      <alignment horizontal="center" readingOrder="0" shrinkToFit="0" vertical="center" wrapText="1"/>
    </xf>
    <xf borderId="1" fillId="33" fontId="42" numFmtId="0" xfId="0" applyAlignment="1" applyBorder="1" applyFill="1" applyFont="1">
      <alignment horizontal="center" readingOrder="0" shrinkToFit="0" vertical="center" wrapText="1"/>
    </xf>
    <xf borderId="1" fillId="25" fontId="44" numFmtId="0" xfId="0" applyAlignment="1" applyBorder="1" applyFill="1" applyFont="1">
      <alignment horizontal="center" vertical="center"/>
    </xf>
    <xf borderId="1" fillId="33" fontId="35" numFmtId="0" xfId="0" applyAlignment="1" applyBorder="1" applyFill="1" applyFont="1">
      <alignment horizontal="left" readingOrder="0" shrinkToFit="0" vertical="center" wrapText="1"/>
    </xf>
    <xf borderId="1" fillId="33" fontId="45" numFmtId="0" xfId="0" applyAlignment="1" applyBorder="1" applyFill="1" applyFont="1">
      <alignment horizontal="left" readingOrder="0" shrinkToFit="0" vertical="center" wrapText="1"/>
    </xf>
    <xf borderId="1" fillId="33" fontId="64" numFmtId="0" xfId="0" applyAlignment="1" applyBorder="1" applyFill="1" applyFont="1">
      <alignment horizontal="left" readingOrder="0" shrinkToFit="0" vertical="center" wrapText="1"/>
    </xf>
    <xf borderId="1" fillId="33" fontId="65" numFmtId="0" xfId="0" applyAlignment="1" applyBorder="1" applyFill="1" applyFont="1">
      <alignment horizontal="left" readingOrder="0" shrinkToFit="0" vertical="center" wrapText="1"/>
    </xf>
    <xf borderId="1" fillId="29" fontId="47" numFmtId="0" xfId="0" applyAlignment="1" applyBorder="1" applyFill="1" applyFont="1">
      <alignment horizontal="center" readingOrder="0" shrinkToFit="0" vertical="center" wrapText="1"/>
    </xf>
    <xf borderId="1" fillId="29" fontId="48" numFmtId="0" xfId="0" applyAlignment="1" applyBorder="1" applyFill="1" applyFont="1">
      <alignment horizontal="center" readingOrder="0" shrinkToFit="0" vertical="center" wrapText="1"/>
    </xf>
    <xf borderId="1" fillId="29" fontId="49" numFmtId="0" xfId="0" applyAlignment="1" applyBorder="1" applyFill="1" applyFont="1">
      <alignment horizontal="center" readingOrder="0" shrinkToFit="0" vertical="center" wrapText="1"/>
    </xf>
    <xf borderId="1" fillId="29" fontId="50" numFmtId="0" xfId="0" applyAlignment="1" applyBorder="1" applyFill="1" applyFont="1">
      <alignment horizontal="center" readingOrder="0" shrinkToFit="0" vertical="center" wrapText="1"/>
    </xf>
    <xf borderId="1" fillId="29" fontId="51" numFmtId="0" xfId="0" applyAlignment="1" applyBorder="1" applyFill="1" applyFont="1">
      <alignment horizontal="center" readingOrder="0" shrinkToFit="0" vertical="center" wrapText="1"/>
    </xf>
    <xf borderId="1" fillId="29" fontId="52" numFmtId="0" xfId="0" applyAlignment="1" applyBorder="1" applyFill="1" applyFont="1">
      <alignment horizontal="center" readingOrder="0" shrinkToFit="0" vertical="center" wrapText="1"/>
    </xf>
    <xf borderId="1" fillId="29" fontId="53" numFmtId="0" xfId="0" applyAlignment="1" applyBorder="1" applyFill="1" applyFont="1">
      <alignment horizontal="center" readingOrder="0" shrinkToFit="0" vertical="center" wrapText="1"/>
    </xf>
    <xf borderId="1" fillId="29" fontId="48" numFmtId="0" xfId="0" applyAlignment="1" applyBorder="1" applyFill="1" applyFont="1">
      <alignment horizontal="left" readingOrder="0" shrinkToFit="0" vertical="center" wrapText="1"/>
    </xf>
    <xf borderId="1" fillId="29" fontId="54" numFmtId="0" xfId="0" applyAlignment="1" applyBorder="1" applyFill="1" applyFont="1">
      <alignment horizontal="center" readingOrder="0" shrinkToFit="0" vertical="center" wrapText="1"/>
    </xf>
    <xf borderId="1" fillId="29" fontId="53" numFmtId="0" xfId="0" applyAlignment="1" applyBorder="1" applyFill="1" applyFont="1">
      <alignment horizontal="center" shrinkToFit="0" vertical="center" wrapText="1"/>
    </xf>
    <xf borderId="1" fillId="29" fontId="15" numFmtId="0" xfId="0" applyBorder="1" applyFill="1" applyFont="1"/>
    <xf borderId="1" fillId="29" fontId="146" numFmtId="0" xfId="0" applyAlignment="1" applyBorder="1" applyFill="1" applyFont="1">
      <alignment horizontal="center" shrinkToFit="0" vertical="center" wrapText="1"/>
    </xf>
    <xf borderId="1" fillId="29" fontId="147" numFmtId="0" xfId="0" applyAlignment="1" applyBorder="1" applyFill="1" applyFont="1">
      <alignment horizontal="center" readingOrder="0" shrinkToFit="0" vertical="center" wrapText="1"/>
    </xf>
    <xf borderId="1" fillId="29" fontId="53" numFmtId="0" xfId="0" applyAlignment="1" applyBorder="1" applyFill="1" applyFont="1">
      <alignment horizontal="left" readingOrder="0" shrinkToFit="0" vertical="center" wrapText="1"/>
    </xf>
    <xf borderId="1" fillId="29" fontId="57" numFmtId="0" xfId="0" applyAlignment="1" applyBorder="1" applyFill="1" applyFont="1">
      <alignment horizontal="center" readingOrder="0" shrinkToFit="0" vertical="center" wrapText="1"/>
    </xf>
    <xf borderId="1" fillId="29" fontId="58" numFmtId="0" xfId="0" applyAlignment="1" applyBorder="1" applyFill="1" applyFont="1">
      <alignment horizontal="center" readingOrder="0" shrinkToFit="0" vertical="center" wrapText="1"/>
    </xf>
    <xf borderId="1" fillId="29" fontId="43" numFmtId="165" xfId="0" applyAlignment="1" applyBorder="1" applyFill="1" applyFont="1" applyNumberFormat="1">
      <alignment horizontal="center" readingOrder="0" shrinkToFit="0" vertical="center" wrapText="1"/>
    </xf>
    <xf borderId="1" fillId="29" fontId="44" numFmtId="0" xfId="0" applyAlignment="1" applyBorder="1" applyFill="1" applyFont="1">
      <alignment horizontal="center" readingOrder="0" vertical="center"/>
    </xf>
    <xf borderId="1" fillId="29" fontId="53" numFmtId="0" xfId="0" applyAlignment="1" applyBorder="1" applyFill="1" applyFont="1">
      <alignment horizontal="left" readingOrder="0" shrinkToFit="0" vertical="center" wrapText="1"/>
    </xf>
    <xf borderId="1" fillId="29" fontId="59" numFmtId="0" xfId="0" applyAlignment="1" applyBorder="1" applyFill="1" applyFont="1">
      <alignment horizontal="left" readingOrder="0" shrinkToFit="0" vertical="center" wrapText="1"/>
    </xf>
    <xf borderId="1" fillId="29" fontId="60" numFmtId="0" xfId="0" applyAlignment="1" applyBorder="1" applyFill="1" applyFont="1">
      <alignment horizontal="left" readingOrder="0" shrinkToFit="0" vertical="center" wrapText="1"/>
    </xf>
    <xf borderId="1" fillId="29" fontId="61" numFmtId="0" xfId="0" applyAlignment="1" applyBorder="1" applyFill="1" applyFont="1">
      <alignment horizontal="left" readingOrder="0" shrinkToFit="0" vertical="center" wrapText="1"/>
    </xf>
    <xf borderId="1" fillId="16" fontId="58" numFmtId="0" xfId="0" applyAlignment="1" applyBorder="1" applyFill="1" applyFont="1">
      <alignment horizontal="center" readingOrder="0" shrinkToFit="0" vertical="center" wrapText="1"/>
    </xf>
    <xf borderId="1" fillId="21" fontId="148" numFmtId="0" xfId="0" applyAlignment="1" applyBorder="1" applyFill="1" applyFont="1">
      <alignment horizontal="center" readingOrder="0" shrinkToFit="0" vertical="center" wrapText="1"/>
    </xf>
    <xf borderId="1" fillId="4" fontId="149" numFmtId="0" xfId="0" applyAlignment="1" applyBorder="1" applyFill="1" applyFont="1">
      <alignment horizontal="center" readingOrder="0" shrinkToFit="0" vertical="center" wrapText="1"/>
    </xf>
    <xf borderId="1" fillId="38" fontId="47" numFmtId="0" xfId="0" applyAlignment="1" applyBorder="1" applyFill="1" applyFont="1">
      <alignment horizontal="center" readingOrder="0" shrinkToFit="0" vertical="center" wrapText="1"/>
    </xf>
    <xf borderId="1" fillId="38" fontId="48" numFmtId="0" xfId="0" applyAlignment="1" applyBorder="1" applyFill="1" applyFont="1">
      <alignment horizontal="center" readingOrder="0" shrinkToFit="0" vertical="center" wrapText="1"/>
    </xf>
    <xf borderId="1" fillId="38" fontId="49" numFmtId="0" xfId="0" applyAlignment="1" applyBorder="1" applyFill="1" applyFont="1">
      <alignment horizontal="center" readingOrder="0" shrinkToFit="0" vertical="center" wrapText="1"/>
    </xf>
    <xf borderId="1" fillId="38" fontId="50" numFmtId="0" xfId="0" applyAlignment="1" applyBorder="1" applyFill="1" applyFont="1">
      <alignment horizontal="center" readingOrder="0" shrinkToFit="0" vertical="center" wrapText="1"/>
    </xf>
    <xf borderId="1" fillId="38" fontId="52" numFmtId="0" xfId="0" applyAlignment="1" applyBorder="1" applyFill="1" applyFont="1">
      <alignment horizontal="center" readingOrder="0" shrinkToFit="0" vertical="center" wrapText="1"/>
    </xf>
    <xf borderId="1" fillId="38" fontId="53" numFmtId="0" xfId="0" applyAlignment="1" applyBorder="1" applyFill="1" applyFont="1">
      <alignment horizontal="center" readingOrder="0" shrinkToFit="0" vertical="center" wrapText="1"/>
    </xf>
    <xf borderId="1" fillId="38" fontId="54" numFmtId="0" xfId="0" applyAlignment="1" applyBorder="1" applyFill="1" applyFont="1">
      <alignment horizontal="center" readingOrder="0" shrinkToFit="0" vertical="center" wrapText="1"/>
    </xf>
    <xf borderId="1" fillId="38" fontId="53" numFmtId="0" xfId="0" applyAlignment="1" applyBorder="1" applyFill="1" applyFont="1">
      <alignment horizontal="center" shrinkToFit="0" vertical="center" wrapText="1"/>
    </xf>
    <xf borderId="1" fillId="38" fontId="15" numFmtId="0" xfId="0" applyBorder="1" applyFill="1" applyFont="1"/>
    <xf borderId="1" fillId="38" fontId="150" numFmtId="0" xfId="0" applyAlignment="1" applyBorder="1" applyFill="1" applyFont="1">
      <alignment horizontal="center" shrinkToFit="0" vertical="center" wrapText="1"/>
    </xf>
    <xf borderId="1" fillId="38" fontId="151" numFmtId="0" xfId="0" applyAlignment="1" applyBorder="1" applyFill="1" applyFont="1">
      <alignment horizontal="center" readingOrder="0" shrinkToFit="0" vertical="center" wrapText="1"/>
    </xf>
    <xf borderId="1" fillId="38" fontId="53" numFmtId="0" xfId="0" applyAlignment="1" applyBorder="1" applyFill="1" applyFont="1">
      <alignment horizontal="left" readingOrder="0" shrinkToFit="0" vertical="center" wrapText="1"/>
    </xf>
    <xf borderId="1" fillId="38" fontId="57" numFmtId="0" xfId="0" applyAlignment="1" applyBorder="1" applyFill="1" applyFont="1">
      <alignment horizontal="center" readingOrder="0" shrinkToFit="0" vertical="center" wrapText="1"/>
    </xf>
    <xf borderId="1" fillId="38" fontId="58" numFmtId="0" xfId="0" applyAlignment="1" applyBorder="1" applyFill="1" applyFont="1">
      <alignment horizontal="center" readingOrder="0" shrinkToFit="0" vertical="center" wrapText="1"/>
    </xf>
    <xf borderId="1" fillId="38" fontId="43" numFmtId="165" xfId="0" applyAlignment="1" applyBorder="1" applyFill="1" applyFont="1" applyNumberFormat="1">
      <alignment horizontal="center" readingOrder="0" shrinkToFit="0" vertical="center" wrapText="1"/>
    </xf>
    <xf borderId="1" fillId="38" fontId="44" numFmtId="0" xfId="0" applyAlignment="1" applyBorder="1" applyFill="1" applyFont="1">
      <alignment horizontal="center" readingOrder="0" vertical="center"/>
    </xf>
    <xf borderId="1" fillId="38" fontId="53" numFmtId="0" xfId="0" applyAlignment="1" applyBorder="1" applyFill="1" applyFont="1">
      <alignment horizontal="left" readingOrder="0" shrinkToFit="0" vertical="center" wrapText="1"/>
    </xf>
    <xf borderId="1" fillId="38" fontId="59" numFmtId="0" xfId="0" applyAlignment="1" applyBorder="1" applyFill="1" applyFont="1">
      <alignment horizontal="left" readingOrder="0" shrinkToFit="0" vertical="center" wrapText="1"/>
    </xf>
    <xf borderId="1" fillId="38" fontId="60" numFmtId="0" xfId="0" applyAlignment="1" applyBorder="1" applyFill="1" applyFont="1">
      <alignment horizontal="left" readingOrder="0" shrinkToFit="0" vertical="center" wrapText="1"/>
    </xf>
    <xf borderId="1" fillId="38" fontId="61" numFmtId="0" xfId="0" applyAlignment="1" applyBorder="1" applyFill="1" applyFont="1">
      <alignment horizontal="left" readingOrder="0" shrinkToFit="0" vertical="center" wrapText="1"/>
    </xf>
    <xf borderId="1" fillId="21" fontId="152" numFmtId="0" xfId="0" applyAlignment="1" applyBorder="1" applyFill="1" applyFont="1">
      <alignment horizontal="center" readingOrder="0" shrinkToFit="0" vertical="center" wrapText="1"/>
    </xf>
    <xf borderId="1" fillId="21" fontId="153" numFmtId="0" xfId="0" applyAlignment="1" applyBorder="1" applyFill="1" applyFont="1">
      <alignment horizontal="center" readingOrder="0" shrinkToFit="0" vertical="center" wrapText="1"/>
    </xf>
    <xf borderId="1" fillId="31" fontId="154" numFmtId="0" xfId="0" applyAlignment="1" applyBorder="1" applyFill="1" applyFont="1">
      <alignment horizontal="center" readingOrder="0" shrinkToFit="0" vertical="center" wrapText="1"/>
    </xf>
    <xf borderId="1" fillId="21" fontId="155" numFmtId="0" xfId="0" applyAlignment="1" applyBorder="1" applyFill="1" applyFont="1">
      <alignment horizontal="center" readingOrder="0" shrinkToFit="0" vertical="center" wrapText="1"/>
    </xf>
    <xf borderId="1" fillId="28" fontId="156" numFmtId="0" xfId="0" applyAlignment="1" applyBorder="1" applyFill="1" applyFont="1">
      <alignment horizontal="center" readingOrder="0" shrinkToFit="0" vertical="center" wrapText="1"/>
    </xf>
    <xf borderId="1" fillId="21" fontId="157" numFmtId="0" xfId="0" applyAlignment="1" applyBorder="1" applyFill="1" applyFont="1">
      <alignment horizontal="center" readingOrder="0" shrinkToFit="0" vertical="center" wrapText="1"/>
    </xf>
    <xf borderId="1" fillId="28" fontId="158" numFmtId="0" xfId="0" applyAlignment="1" applyBorder="1" applyFill="1" applyFont="1">
      <alignment horizontal="center" readingOrder="0" shrinkToFit="0" vertical="center" wrapText="1"/>
    </xf>
    <xf borderId="1" fillId="4" fontId="159" numFmtId="0" xfId="0" applyAlignment="1" applyBorder="1" applyFill="1" applyFont="1">
      <alignment horizontal="center" readingOrder="0" shrinkToFit="0" vertical="center" wrapText="1"/>
    </xf>
    <xf borderId="1" fillId="4" fontId="20" numFmtId="0" xfId="0" applyAlignment="1" applyBorder="1" applyFill="1" applyFont="1">
      <alignment horizontal="center" readingOrder="0" shrinkToFit="0" vertical="center" wrapText="1"/>
    </xf>
    <xf borderId="1" fillId="11" fontId="159" numFmtId="0" xfId="0" applyAlignment="1" applyBorder="1" applyFill="1" applyFont="1">
      <alignment horizontal="center" readingOrder="0" shrinkToFit="0" vertical="center" wrapText="1"/>
    </xf>
    <xf borderId="1" fillId="11" fontId="20" numFmtId="0" xfId="0" applyAlignment="1" applyBorder="1" applyFill="1" applyFont="1">
      <alignment horizontal="center" readingOrder="0" shrinkToFit="0" vertical="center" wrapText="1"/>
    </xf>
    <xf borderId="1" fillId="11" fontId="53" numFmtId="0" xfId="0" applyAlignment="1" applyBorder="1" applyFill="1" applyFont="1">
      <alignment horizontal="center" shrinkToFit="0" vertical="center" wrapText="1"/>
    </xf>
    <xf borderId="1" fillId="11" fontId="160" numFmtId="0" xfId="0" applyAlignment="1" applyBorder="1" applyFill="1" applyFont="1">
      <alignment horizontal="center" shrinkToFit="0" vertical="center" wrapText="1"/>
    </xf>
    <xf borderId="1" fillId="23" fontId="43" numFmtId="165" xfId="0" applyAlignment="1" applyBorder="1" applyFill="1" applyFont="1" applyNumberFormat="1">
      <alignment horizontal="center" readingOrder="0" shrinkToFit="0" vertical="center" wrapText="1"/>
    </xf>
    <xf borderId="1" fillId="23" fontId="44" numFmtId="0" xfId="0" applyAlignment="1" applyBorder="1" applyFill="1" applyFont="1">
      <alignment horizontal="center" readingOrder="0" vertical="center"/>
    </xf>
    <xf borderId="1" fillId="16" fontId="59" numFmtId="0" xfId="0" applyAlignment="1" applyBorder="1" applyFill="1" applyFont="1">
      <alignment horizontal="left" readingOrder="0" shrinkToFit="0" vertical="center" wrapText="1"/>
    </xf>
    <xf borderId="1" fillId="16" fontId="161" numFmtId="0" xfId="0" applyAlignment="1" applyBorder="1" applyFill="1" applyFont="1">
      <alignment horizontal="center" readingOrder="0" shrinkToFit="0" vertical="center" wrapText="1"/>
    </xf>
    <xf borderId="1" fillId="21" fontId="58" numFmtId="0" xfId="0" applyAlignment="1" applyBorder="1" applyFill="1" applyFont="1">
      <alignment horizontal="center" readingOrder="0" shrinkToFit="0" vertical="center" wrapText="1"/>
    </xf>
    <xf borderId="1" fillId="24" fontId="156" numFmtId="0" xfId="0" applyAlignment="1" applyBorder="1" applyFill="1" applyFont="1">
      <alignment horizontal="center" readingOrder="0" shrinkToFit="0" vertical="center" wrapText="1"/>
    </xf>
    <xf borderId="1" fillId="24" fontId="18" numFmtId="0" xfId="0" applyAlignment="1" applyBorder="1" applyFill="1" applyFont="1">
      <alignment horizontal="center" readingOrder="0" shrinkToFit="0" vertical="center" wrapText="1"/>
    </xf>
    <xf borderId="1" fillId="24" fontId="28" numFmtId="166" xfId="0" applyAlignment="1" applyBorder="1" applyFill="1" applyFont="1" applyNumberFormat="1">
      <alignment horizontal="left" readingOrder="0" shrinkToFit="0" vertical="center" wrapText="1"/>
    </xf>
    <xf borderId="1" fillId="24" fontId="46" numFmtId="166" xfId="0" applyAlignment="1" applyBorder="1" applyFill="1" applyFont="1" applyNumberFormat="1">
      <alignment horizontal="left" readingOrder="0" shrinkToFit="0" vertical="center" wrapText="1"/>
    </xf>
    <xf borderId="1" fillId="28" fontId="18" numFmtId="0" xfId="0" applyAlignment="1" applyBorder="1" applyFill="1" applyFont="1">
      <alignment horizontal="center" readingOrder="0" shrinkToFit="0" vertical="center" wrapText="1"/>
    </xf>
    <xf borderId="1" fillId="28" fontId="28" numFmtId="166" xfId="0" applyAlignment="1" applyBorder="1" applyFill="1" applyFont="1" applyNumberFormat="1">
      <alignment horizontal="left" readingOrder="0" shrinkToFit="0" vertical="center" wrapText="1"/>
    </xf>
    <xf borderId="1" fillId="28" fontId="46" numFmtId="166" xfId="0" applyAlignment="1" applyBorder="1" applyFill="1" applyFont="1" applyNumberFormat="1">
      <alignment horizontal="left" readingOrder="0" shrinkToFit="0" vertical="center" wrapText="1"/>
    </xf>
    <xf borderId="1" fillId="28" fontId="162" numFmtId="0" xfId="0" applyAlignment="1" applyBorder="1" applyFill="1" applyFont="1">
      <alignment horizontal="center" readingOrder="0" shrinkToFit="0" vertical="center" wrapText="1"/>
    </xf>
    <xf borderId="1" fillId="28" fontId="156" numFmtId="10" xfId="0" applyAlignment="1" applyBorder="1" applyFill="1" applyFont="1" applyNumberFormat="1">
      <alignment horizontal="center" readingOrder="0" shrinkToFit="0" vertical="center" wrapText="1"/>
    </xf>
    <xf borderId="1" fillId="4" fontId="163" numFmtId="0" xfId="0" applyAlignment="1" applyBorder="1" applyFill="1" applyFont="1">
      <alignment horizontal="center" shrinkToFit="0" vertical="center" wrapText="1"/>
    </xf>
    <xf borderId="1" fillId="4" fontId="164" numFmtId="0" xfId="0" applyAlignment="1" applyBorder="1" applyFill="1" applyFont="1">
      <alignment horizontal="center" readingOrder="0" shrinkToFit="0" vertical="center" wrapText="1"/>
    </xf>
    <xf borderId="1" fillId="4" fontId="135" numFmtId="0" xfId="0" applyAlignment="1" applyBorder="1" applyFill="1" applyFont="1">
      <alignment horizontal="center" readingOrder="0" shrinkToFit="0" vertical="center" wrapText="1"/>
    </xf>
    <xf borderId="1" fillId="4" fontId="72" numFmtId="166" xfId="0" applyAlignment="1" applyBorder="1" applyFill="1" applyFont="1" applyNumberFormat="1">
      <alignment horizontal="left" readingOrder="0" shrinkToFit="0" vertical="center" wrapText="1"/>
    </xf>
    <xf borderId="1" fillId="4" fontId="73" numFmtId="166" xfId="0" applyAlignment="1" applyBorder="1" applyFill="1" applyFont="1" applyNumberFormat="1">
      <alignment horizontal="left" readingOrder="0" shrinkToFit="0" vertical="center" wrapText="1"/>
    </xf>
    <xf borderId="1" fillId="4" fontId="165" numFmtId="0" xfId="0" applyAlignment="1" applyBorder="1" applyFill="1" applyFont="1">
      <alignment horizontal="left" readingOrder="0" shrinkToFit="0" vertical="center" wrapText="1"/>
    </xf>
    <xf borderId="1" fillId="4" fontId="166" numFmtId="0" xfId="0" applyAlignment="1" applyBorder="1" applyFill="1" applyFont="1">
      <alignment horizontal="left" readingOrder="0" shrinkToFit="0" vertical="center" wrapText="1"/>
    </xf>
    <xf borderId="1" fillId="22" fontId="59" numFmtId="0" xfId="0" applyAlignment="1" applyBorder="1" applyFill="1" applyFont="1">
      <alignment horizontal="left" readingOrder="0" shrinkToFit="0" vertical="center" wrapText="1"/>
    </xf>
    <xf borderId="1" fillId="22" fontId="20" numFmtId="0" xfId="0" applyAlignment="1" applyBorder="1" applyFill="1" applyFont="1">
      <alignment horizontal="center" readingOrder="0" shrinkToFit="0" vertical="center" wrapText="1"/>
    </xf>
    <xf borderId="1" fillId="22" fontId="135" numFmtId="0" xfId="0" applyAlignment="1" applyBorder="1" applyFill="1" applyFont="1">
      <alignment horizontal="center" readingOrder="0" shrinkToFit="0" vertical="center" wrapText="1"/>
    </xf>
    <xf borderId="1" fillId="22" fontId="20" numFmtId="10" xfId="0" applyAlignment="1" applyBorder="1" applyFill="1" applyFont="1" applyNumberFormat="1">
      <alignment horizontal="center" readingOrder="0" shrinkToFit="0" vertical="center" wrapText="1"/>
    </xf>
    <xf borderId="1" fillId="13" fontId="47" numFmtId="0" xfId="0" applyAlignment="1" applyBorder="1" applyFill="1" applyFont="1">
      <alignment horizontal="center" readingOrder="0" shrinkToFit="0" vertical="center" wrapText="1"/>
    </xf>
    <xf borderId="1" fillId="13" fontId="48" numFmtId="0" xfId="0" applyAlignment="1" applyBorder="1" applyFill="1" applyFont="1">
      <alignment horizontal="center" readingOrder="0" shrinkToFit="0" vertical="center" wrapText="1"/>
    </xf>
    <xf borderId="1" fillId="13" fontId="49" numFmtId="0" xfId="0" applyAlignment="1" applyBorder="1" applyFill="1" applyFont="1">
      <alignment horizontal="center" readingOrder="0" shrinkToFit="0" vertical="center" wrapText="1"/>
    </xf>
    <xf borderId="1" fillId="13" fontId="50" numFmtId="0" xfId="0" applyAlignment="1" applyBorder="1" applyFill="1" applyFont="1">
      <alignment horizontal="center" readingOrder="0" shrinkToFit="0" vertical="center" wrapText="1"/>
    </xf>
    <xf borderId="1" fillId="13" fontId="51" numFmtId="0" xfId="0" applyAlignment="1" applyBorder="1" applyFill="1" applyFont="1">
      <alignment horizontal="center" readingOrder="0" shrinkToFit="0" vertical="center" wrapText="1"/>
    </xf>
    <xf borderId="1" fillId="13" fontId="52" numFmtId="0" xfId="0" applyAlignment="1" applyBorder="1" applyFill="1" applyFont="1">
      <alignment horizontal="center" readingOrder="0" shrinkToFit="0" vertical="center" wrapText="1"/>
    </xf>
    <xf borderId="1" fillId="13" fontId="53" numFmtId="0" xfId="0" applyAlignment="1" applyBorder="1" applyFill="1" applyFont="1">
      <alignment horizontal="center" readingOrder="0" shrinkToFit="0" vertical="center" wrapText="1"/>
    </xf>
    <xf borderId="1" fillId="13" fontId="48" numFmtId="0" xfId="0" applyAlignment="1" applyBorder="1" applyFill="1" applyFont="1">
      <alignment horizontal="left" readingOrder="0" shrinkToFit="0" vertical="center" wrapText="1"/>
    </xf>
    <xf borderId="1" fillId="13" fontId="54" numFmtId="0" xfId="0" applyAlignment="1" applyBorder="1" applyFill="1" applyFont="1">
      <alignment horizontal="center" readingOrder="0" shrinkToFit="0" vertical="center" wrapText="1"/>
    </xf>
    <xf borderId="1" fillId="13" fontId="53" numFmtId="0" xfId="0" applyAlignment="1" applyBorder="1" applyFill="1" applyFont="1">
      <alignment horizontal="center" shrinkToFit="0" vertical="center" wrapText="1"/>
    </xf>
    <xf borderId="1" fillId="13" fontId="15" numFmtId="0" xfId="0" applyBorder="1" applyFill="1" applyFont="1"/>
    <xf borderId="1" fillId="13" fontId="167" numFmtId="0" xfId="0" applyAlignment="1" applyBorder="1" applyFill="1" applyFont="1">
      <alignment horizontal="center" shrinkToFit="0" vertical="center" wrapText="1"/>
    </xf>
    <xf borderId="1" fillId="13" fontId="168" numFmtId="0" xfId="0" applyAlignment="1" applyBorder="1" applyFill="1" applyFont="1">
      <alignment horizontal="center" readingOrder="0" shrinkToFit="0" vertical="center" wrapText="1"/>
    </xf>
    <xf borderId="1" fillId="13" fontId="53" numFmtId="0" xfId="0" applyAlignment="1" applyBorder="1" applyFill="1" applyFont="1">
      <alignment horizontal="left" readingOrder="0" shrinkToFit="0" vertical="center" wrapText="1"/>
    </xf>
    <xf borderId="1" fillId="13" fontId="57" numFmtId="0" xfId="0" applyAlignment="1" applyBorder="1" applyFill="1" applyFont="1">
      <alignment horizontal="center" readingOrder="0" shrinkToFit="0" vertical="center" wrapText="1"/>
    </xf>
    <xf borderId="1" fillId="13" fontId="58" numFmtId="0" xfId="0" applyAlignment="1" applyBorder="1" applyFill="1" applyFont="1">
      <alignment horizontal="center" readingOrder="0" shrinkToFit="0" vertical="center" wrapText="1"/>
    </xf>
    <xf borderId="1" fillId="13" fontId="43" numFmtId="165" xfId="0" applyAlignment="1" applyBorder="1" applyFill="1" applyFont="1" applyNumberFormat="1">
      <alignment horizontal="center" readingOrder="0" shrinkToFit="0" vertical="center" wrapText="1"/>
    </xf>
    <xf borderId="1" fillId="13" fontId="44" numFmtId="0" xfId="0" applyAlignment="1" applyBorder="1" applyFill="1" applyFont="1">
      <alignment horizontal="center" readingOrder="0" vertical="center"/>
    </xf>
    <xf borderId="1" fillId="13" fontId="53" numFmtId="0" xfId="0" applyAlignment="1" applyBorder="1" applyFill="1" applyFont="1">
      <alignment horizontal="left" readingOrder="0" shrinkToFit="0" vertical="center" wrapText="1"/>
    </xf>
    <xf borderId="1" fillId="13" fontId="59" numFmtId="0" xfId="0" applyAlignment="1" applyBorder="1" applyFill="1" applyFont="1">
      <alignment horizontal="left" readingOrder="0" shrinkToFit="0" vertical="center" wrapText="1"/>
    </xf>
    <xf borderId="1" fillId="13" fontId="60" numFmtId="0" xfId="0" applyAlignment="1" applyBorder="1" applyFill="1" applyFont="1">
      <alignment horizontal="left" readingOrder="0" shrinkToFit="0" vertical="center" wrapText="1"/>
    </xf>
    <xf borderId="1" fillId="13" fontId="61" numFmtId="0" xfId="0" applyAlignment="1" applyBorder="1" applyFill="1" applyFont="1">
      <alignment horizontal="left" readingOrder="0" shrinkToFit="0" vertical="center" wrapText="1"/>
    </xf>
    <xf borderId="1" fillId="31" fontId="64" numFmtId="166" xfId="0" applyAlignment="1" applyBorder="1" applyFill="1" applyFont="1" applyNumberFormat="1">
      <alignment horizontal="left" readingOrder="0" shrinkToFit="0" vertical="center" wrapText="1"/>
    </xf>
    <xf borderId="1" fillId="31" fontId="65" numFmtId="166" xfId="0" applyAlignment="1" applyBorder="1" applyFill="1" applyFont="1" applyNumberFormat="1">
      <alignment horizontal="left" readingOrder="0"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1">
    <tableStyle count="3" pivot="0" name="COD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39</xdr:col>
      <xdr:colOff>0</xdr:colOff>
      <xdr:row>71</xdr:row>
      <xdr:rowOff>0</xdr:rowOff>
    </xdr:from>
    <xdr:ext cx="152400"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71</xdr:row>
      <xdr:rowOff>0</xdr:rowOff>
    </xdr:from>
    <xdr:ext cx="152400"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52400"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52400"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52400" cy="676275"/>
    <xdr:sp>
      <xdr:nvSpPr>
        <xdr:cNvPr descr="PubMed Central (PMC)" id="4" name="Shape 4"/>
        <xdr:cNvSpPr/>
      </xdr:nvSpPr>
      <xdr:spPr>
        <a:xfrm>
          <a:off x="5269800" y="3446625"/>
          <a:ext cx="152400" cy="666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52400" cy="676275"/>
    <xdr:sp>
      <xdr:nvSpPr>
        <xdr:cNvPr descr="PubMed Central (PMC)" id="4" name="Shape 4"/>
        <xdr:cNvSpPr/>
      </xdr:nvSpPr>
      <xdr:spPr>
        <a:xfrm>
          <a:off x="5269800" y="3446625"/>
          <a:ext cx="152400" cy="666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55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55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55</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55</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6" name="Shape 6"/>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6" name="Shape 6"/>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7" name="Shape 7"/>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7" name="Shape 7"/>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134</xdr:row>
      <xdr:rowOff>0</xdr:rowOff>
    </xdr:from>
    <xdr:ext cx="161925" cy="161925"/>
    <xdr:sp>
      <xdr:nvSpPr>
        <xdr:cNvPr descr="PubMed Central (PMC)" id="8" name="Shape 8"/>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134</xdr:row>
      <xdr:rowOff>0</xdr:rowOff>
    </xdr:from>
    <xdr:ext cx="161925" cy="161925"/>
    <xdr:sp>
      <xdr:nvSpPr>
        <xdr:cNvPr descr="PubMed Central (PMC)" id="8" name="Shape 8"/>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1" name="Shape 11"/>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1" name="Shape 11"/>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55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55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6" name="Shape 6"/>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6" name="Shape 6"/>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100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100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72</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72</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98</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98</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99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99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97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97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101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101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98</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98</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99</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99</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100</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100</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101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101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72</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72</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71</xdr:row>
      <xdr:rowOff>0</xdr:rowOff>
    </xdr:from>
    <xdr:ext cx="161925" cy="161925"/>
    <xdr:sp>
      <xdr:nvSpPr>
        <xdr:cNvPr descr="PubMed Central (PMC)" id="13" name="Shape 13"/>
        <xdr:cNvSpPr/>
      </xdr:nvSpPr>
      <xdr:spPr>
        <a:xfrm>
          <a:off x="5269800" y="3702200"/>
          <a:ext cx="152400" cy="155601"/>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71</xdr:row>
      <xdr:rowOff>0</xdr:rowOff>
    </xdr:from>
    <xdr:ext cx="161925" cy="161925"/>
    <xdr:sp>
      <xdr:nvSpPr>
        <xdr:cNvPr descr="PubMed Central (PMC)" id="13" name="Shape 13"/>
        <xdr:cNvSpPr/>
      </xdr:nvSpPr>
      <xdr:spPr>
        <a:xfrm>
          <a:off x="5269800" y="3702200"/>
          <a:ext cx="152400" cy="155601"/>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72</xdr:row>
      <xdr:rowOff>0</xdr:rowOff>
    </xdr:from>
    <xdr:ext cx="161925" cy="161925"/>
    <xdr:sp>
      <xdr:nvSpPr>
        <xdr:cNvPr descr="PubMed Central (PMC)" id="13" name="Shape 13"/>
        <xdr:cNvSpPr/>
      </xdr:nvSpPr>
      <xdr:spPr>
        <a:xfrm>
          <a:off x="5269800" y="3702200"/>
          <a:ext cx="152400" cy="155601"/>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72</xdr:row>
      <xdr:rowOff>0</xdr:rowOff>
    </xdr:from>
    <xdr:ext cx="161925" cy="161925"/>
    <xdr:sp>
      <xdr:nvSpPr>
        <xdr:cNvPr descr="PubMed Central (PMC)" id="13" name="Shape 13"/>
        <xdr:cNvSpPr/>
      </xdr:nvSpPr>
      <xdr:spPr>
        <a:xfrm>
          <a:off x="5269800" y="3702200"/>
          <a:ext cx="152400" cy="155601"/>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0</xdr:colOff>
      <xdr:row>221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66</xdr:row>
      <xdr:rowOff>0</xdr:rowOff>
    </xdr:from>
    <xdr:ext cx="152400"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66</xdr:row>
      <xdr:rowOff>0</xdr:rowOff>
    </xdr:from>
    <xdr:ext cx="152400"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324</xdr:row>
      <xdr:rowOff>0</xdr:rowOff>
    </xdr:from>
    <xdr:ext cx="152400"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324</xdr:row>
      <xdr:rowOff>0</xdr:rowOff>
    </xdr:from>
    <xdr:ext cx="152400"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337</xdr:row>
      <xdr:rowOff>0</xdr:rowOff>
    </xdr:from>
    <xdr:ext cx="152400" cy="676275"/>
    <xdr:sp>
      <xdr:nvSpPr>
        <xdr:cNvPr descr="PubMed Central (PMC)" id="4" name="Shape 4"/>
        <xdr:cNvSpPr/>
      </xdr:nvSpPr>
      <xdr:spPr>
        <a:xfrm>
          <a:off x="5269800" y="3446625"/>
          <a:ext cx="152400" cy="666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337</xdr:row>
      <xdr:rowOff>0</xdr:rowOff>
    </xdr:from>
    <xdr:ext cx="152400" cy="676275"/>
    <xdr:sp>
      <xdr:nvSpPr>
        <xdr:cNvPr descr="PubMed Central (PMC)" id="4" name="Shape 4"/>
        <xdr:cNvSpPr/>
      </xdr:nvSpPr>
      <xdr:spPr>
        <a:xfrm>
          <a:off x="5269800" y="3446625"/>
          <a:ext cx="152400" cy="666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66</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66</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324</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324</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337</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337</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70</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70</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50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50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50</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50</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70</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70</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70</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70</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701</xdr:row>
      <xdr:rowOff>0</xdr:rowOff>
    </xdr:from>
    <xdr:ext cx="161925" cy="161925"/>
    <xdr:sp>
      <xdr:nvSpPr>
        <xdr:cNvPr descr="PubMed Central (PMC)" id="6" name="Shape 6"/>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701</xdr:row>
      <xdr:rowOff>0</xdr:rowOff>
    </xdr:from>
    <xdr:ext cx="161925" cy="161925"/>
    <xdr:sp>
      <xdr:nvSpPr>
        <xdr:cNvPr descr="PubMed Central (PMC)" id="6" name="Shape 6"/>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701</xdr:row>
      <xdr:rowOff>0</xdr:rowOff>
    </xdr:from>
    <xdr:ext cx="161925" cy="161925"/>
    <xdr:sp>
      <xdr:nvSpPr>
        <xdr:cNvPr descr="PubMed Central (PMC)" id="7" name="Shape 7"/>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701</xdr:row>
      <xdr:rowOff>0</xdr:rowOff>
    </xdr:from>
    <xdr:ext cx="161925" cy="161925"/>
    <xdr:sp>
      <xdr:nvSpPr>
        <xdr:cNvPr descr="PubMed Central (PMC)" id="7" name="Shape 7"/>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127</xdr:row>
      <xdr:rowOff>0</xdr:rowOff>
    </xdr:from>
    <xdr:ext cx="161925" cy="161925"/>
    <xdr:sp>
      <xdr:nvSpPr>
        <xdr:cNvPr descr="PubMed Central (PMC)" id="8" name="Shape 8"/>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127</xdr:row>
      <xdr:rowOff>0</xdr:rowOff>
    </xdr:from>
    <xdr:ext cx="161925" cy="161925"/>
    <xdr:sp>
      <xdr:nvSpPr>
        <xdr:cNvPr descr="PubMed Central (PMC)" id="8" name="Shape 8"/>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316</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316</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316</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316</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321</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316</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316</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316</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316</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315</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315</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315</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315</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315</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315</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318</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318</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318</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318</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318</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318</xdr:row>
      <xdr:rowOff>0</xdr:rowOff>
    </xdr:from>
    <xdr:ext cx="161925" cy="161925"/>
    <xdr:sp>
      <xdr:nvSpPr>
        <xdr:cNvPr descr="PubMed Central (PMC)" id="5" name="Shape 5"/>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318</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318</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385</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385</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701</xdr:row>
      <xdr:rowOff>0</xdr:rowOff>
    </xdr:from>
    <xdr:ext cx="161925" cy="161925"/>
    <xdr:sp>
      <xdr:nvSpPr>
        <xdr:cNvPr descr="PubMed Central (PMC)" id="11" name="Shape 11"/>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701</xdr:row>
      <xdr:rowOff>0</xdr:rowOff>
    </xdr:from>
    <xdr:ext cx="161925" cy="161925"/>
    <xdr:sp>
      <xdr:nvSpPr>
        <xdr:cNvPr descr="PubMed Central (PMC)" id="11" name="Shape 11"/>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318</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318</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316</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316</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50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50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66</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66</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385</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385</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387</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387</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701</xdr:row>
      <xdr:rowOff>0</xdr:rowOff>
    </xdr:from>
    <xdr:ext cx="161925" cy="161925"/>
    <xdr:sp>
      <xdr:nvSpPr>
        <xdr:cNvPr descr="PubMed Central (PMC)" id="6" name="Shape 6"/>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701</xdr:row>
      <xdr:rowOff>0</xdr:rowOff>
    </xdr:from>
    <xdr:ext cx="161925" cy="161925"/>
    <xdr:sp>
      <xdr:nvSpPr>
        <xdr:cNvPr descr="PubMed Central (PMC)" id="6" name="Shape 6"/>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196</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196</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93</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93</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612</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612</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250</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250</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196</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196</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319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323</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323</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326</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326</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328</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328</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329</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332</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332</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333</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333</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335</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67</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196</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196</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197</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197</xdr:row>
      <xdr:rowOff>0</xdr:rowOff>
    </xdr:from>
    <xdr:ext cx="161925" cy="161925"/>
    <xdr:sp>
      <xdr:nvSpPr>
        <xdr:cNvPr descr="PubMed Central (PMC)" id="12" name="Shape 12"/>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91</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92</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92</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94</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91</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92</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92</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93</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93</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94</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94</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67</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67</xdr:row>
      <xdr:rowOff>0</xdr:rowOff>
    </xdr:from>
    <xdr:ext cx="161925" cy="161925"/>
    <xdr:sp>
      <xdr:nvSpPr>
        <xdr:cNvPr descr="PubMed Central (PMC)" id="9" name="Shape 9"/>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320</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322</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322</xdr:row>
      <xdr:rowOff>0</xdr:rowOff>
    </xdr:from>
    <xdr:ext cx="161925" cy="161925"/>
    <xdr:sp>
      <xdr:nvSpPr>
        <xdr:cNvPr descr="PubMed Central (PMC)" id="3" name="Shape 3"/>
        <xdr:cNvSpPr/>
      </xdr:nvSpPr>
      <xdr:spPr>
        <a:xfrm>
          <a:off x="5269800" y="3703800"/>
          <a:ext cx="152400" cy="152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66</xdr:row>
      <xdr:rowOff>0</xdr:rowOff>
    </xdr:from>
    <xdr:ext cx="161925" cy="161925"/>
    <xdr:sp>
      <xdr:nvSpPr>
        <xdr:cNvPr descr="PubMed Central (PMC)" id="13" name="Shape 13"/>
        <xdr:cNvSpPr/>
      </xdr:nvSpPr>
      <xdr:spPr>
        <a:xfrm>
          <a:off x="5269800" y="3702200"/>
          <a:ext cx="152400" cy="155601"/>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66</xdr:row>
      <xdr:rowOff>0</xdr:rowOff>
    </xdr:from>
    <xdr:ext cx="161925" cy="161925"/>
    <xdr:sp>
      <xdr:nvSpPr>
        <xdr:cNvPr descr="PubMed Central (PMC)" id="13" name="Shape 13"/>
        <xdr:cNvSpPr/>
      </xdr:nvSpPr>
      <xdr:spPr>
        <a:xfrm>
          <a:off x="5269800" y="3702200"/>
          <a:ext cx="152400" cy="155601"/>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67</xdr:row>
      <xdr:rowOff>0</xdr:rowOff>
    </xdr:from>
    <xdr:ext cx="161925" cy="161925"/>
    <xdr:sp>
      <xdr:nvSpPr>
        <xdr:cNvPr descr="PubMed Central (PMC)" id="13" name="Shape 13"/>
        <xdr:cNvSpPr/>
      </xdr:nvSpPr>
      <xdr:spPr>
        <a:xfrm>
          <a:off x="5269800" y="3702200"/>
          <a:ext cx="152400" cy="155601"/>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67</xdr:row>
      <xdr:rowOff>0</xdr:rowOff>
    </xdr:from>
    <xdr:ext cx="161925" cy="161925"/>
    <xdr:sp>
      <xdr:nvSpPr>
        <xdr:cNvPr descr="PubMed Central (PMC)" id="13" name="Shape 13"/>
        <xdr:cNvSpPr/>
      </xdr:nvSpPr>
      <xdr:spPr>
        <a:xfrm>
          <a:off x="5269800" y="3702200"/>
          <a:ext cx="152400" cy="155601"/>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386</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386</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290</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290</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290</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290</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294</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294</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294</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294</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294</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294</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292</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292</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292</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292</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292</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292</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293</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291</xdr:row>
      <xdr:rowOff>0</xdr:rowOff>
    </xdr:from>
    <xdr:ext cx="161925" cy="161925"/>
    <xdr:sp>
      <xdr:nvSpPr>
        <xdr:cNvPr descr="PubMed Central (PMC)" id="10" name="Shape 10"/>
        <xdr:cNvSpPr/>
      </xdr:nvSpPr>
      <xdr:spPr>
        <a:xfrm>
          <a:off x="5269800" y="3701399"/>
          <a:ext cx="152400" cy="157202"/>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I1092" displayName="Table_1" name="Table_1" id="1">
  <tableColumns count="9">
    <tableColumn name="Parent" id="1"/>
    <tableColumn name="Child Disease_x000a_" id="2"/>
    <tableColumn name="prevtype_x000a_(I incidence)_x000a_P prevalence)" id="3"/>
    <tableColumn name="List_x000a_🛒_x000a_L?_x000a_O?" id="4"/>
    <tableColumn name="Disease Code_x000a_A (acronym)_x000a_C (this means there are multiple concept IDs in the OMOP vocabulary - something that should be fix)_x000a_G A group name - not to be Included_x000a_N (our official name)_x000a_S (synonym)_x000a_T (subType) Type_x000a_U (Obsolete SNOMED code that we must keep to work with old data)_x000a_V (A disease name that conflates a suspected or confirmed autoimmune disease with a disease that is not autoimmune)_x000a_Z (high prevalence disease with low % of autoimmune)" id="5"/>
    <tableColumn name="SNOMED_x000a_CODE_x000a_⛄️_x000a_C (code plus?) A record for an additional snomed code for the disease_x000a_G (general) Group Not in Use at this Time_x000a_H (A record with the name that does not use any special characters (e.g., Sjogrens instead of Sjögren's)_x000a_N (name) This is Not a synonym, it is the main record for the disease_x000a_R (An N record that has been removed from the list of diseases)_x000a_S (synonym)_x000a_T (subType) Type_x000a_Z (high prevalence condition that is rarely autoimmune)" id="6"/>
    <tableColumn name="DXCODE?" id="7"/>
    <tableColumn name="ConceptID?" id="8"/>
    <tableColumn name="Sort" id="9"/>
  </tableColumns>
  <tableStyleInfo name="COD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121212"/>
      </a:lt1>
      <a:dk2>
        <a:srgbClr val="000000"/>
      </a:dk2>
      <a:lt2>
        <a:srgbClr val="121212"/>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ubmed.ncbi.nlm.nih.gov/17259865/" TargetMode="External"/><Relationship Id="rId3" Type="http://schemas.openxmlformats.org/officeDocument/2006/relationships/hyperlink" Target="https://pubmed.ncbi.nlm.nih.gov/27606347/" TargetMode="External"/><Relationship Id="rId4" Type="http://schemas.openxmlformats.org/officeDocument/2006/relationships/hyperlink" Target="https://ard.bmj.com/content/58/10/656"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atabrowser.researchallofus.org/ehr/conditions/81931" TargetMode="External"/><Relationship Id="rId2" Type="http://schemas.openxmlformats.org/officeDocument/2006/relationships/hyperlink" Target="https://databrowser.researchallofus.org/ehr/conditions/4143972"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45.14"/>
    <col customWidth="1" min="2" max="2" width="82.43"/>
    <col customWidth="1" min="3" max="3" width="52.43"/>
    <col customWidth="1" min="4" max="4" width="159.57"/>
    <col customWidth="1" min="5" max="5" width="186.86"/>
    <col customWidth="1" hidden="1" min="6" max="6" width="120.57"/>
    <col customWidth="1" min="7" max="7" width="97.14"/>
    <col customWidth="1" min="8" max="10" width="92.86"/>
    <col customWidth="1" min="11" max="11" width="295.86"/>
    <col customWidth="1" hidden="1" min="12" max="12" width="42.86"/>
    <col customWidth="1" min="13" max="13" width="73.43"/>
    <col customWidth="1" min="14" max="14" width="93.0"/>
    <col customWidth="1" min="15" max="15" width="64.29"/>
    <col customWidth="1" min="16" max="16" width="60.29"/>
    <col customWidth="1" min="17" max="17" width="67.0"/>
    <col customWidth="1" min="18" max="18" width="56.86"/>
    <col customWidth="1" min="19" max="19" width="100.29"/>
    <col customWidth="1" min="20" max="20" width="161.43"/>
    <col customWidth="1" min="21" max="21" width="33.0"/>
    <col customWidth="1" min="22" max="22" width="62.43"/>
    <col customWidth="1" min="23" max="23" width="33.0"/>
    <col customWidth="1" min="24" max="24" width="62.43"/>
    <col customWidth="1" min="25" max="26" width="15.43"/>
    <col customWidth="1" min="27" max="27" width="17.0"/>
    <col customWidth="1" hidden="1" min="28" max="28" width="37.0"/>
    <col customWidth="1" min="29" max="29" width="72.14"/>
    <col customWidth="1" min="30" max="30" width="61.14"/>
    <col customWidth="1" min="31" max="31" width="61.71"/>
    <col customWidth="1" min="32" max="32" width="70.29"/>
    <col customWidth="1" min="33" max="33" width="62.43"/>
    <col customWidth="1" min="34" max="34" width="77.0"/>
    <col customWidth="1" min="35" max="36" width="58.14"/>
    <col customWidth="1" min="37" max="37" width="105.71"/>
    <col customWidth="1" min="38" max="39" width="42.0"/>
  </cols>
  <sheetData>
    <row r="1">
      <c r="A1" s="2" t="s">
        <v>0</v>
      </c>
      <c r="B1" s="5" t="s">
        <v>3</v>
      </c>
      <c r="C1" s="7" t="s">
        <v>6</v>
      </c>
      <c r="D1" s="9" t="s">
        <v>8</v>
      </c>
      <c r="E1" s="12" t="s">
        <v>11</v>
      </c>
      <c r="F1" s="14" t="s">
        <v>13</v>
      </c>
      <c r="G1" s="16" t="s">
        <v>15</v>
      </c>
      <c r="H1" s="19" t="s">
        <v>17</v>
      </c>
      <c r="I1" s="21" t="s">
        <v>18</v>
      </c>
      <c r="J1" s="23" t="s">
        <v>20</v>
      </c>
      <c r="K1" s="26" t="s">
        <v>23</v>
      </c>
      <c r="L1" s="27" t="s">
        <v>24</v>
      </c>
      <c r="M1" s="28" t="s">
        <v>25</v>
      </c>
      <c r="N1" s="28" t="s">
        <v>26</v>
      </c>
      <c r="O1" s="28" t="s">
        <v>27</v>
      </c>
      <c r="P1" s="28" t="s">
        <v>28</v>
      </c>
      <c r="Q1" s="28" t="s">
        <v>29</v>
      </c>
      <c r="R1" s="29" t="s">
        <v>30</v>
      </c>
      <c r="S1" s="29" t="s">
        <v>31</v>
      </c>
      <c r="T1" s="30" t="s">
        <v>32</v>
      </c>
      <c r="U1" s="31" t="s">
        <v>4</v>
      </c>
      <c r="V1" s="32" t="s">
        <v>33</v>
      </c>
      <c r="W1" s="33" t="s">
        <v>35</v>
      </c>
      <c r="X1" s="36" t="s">
        <v>36</v>
      </c>
      <c r="Y1" s="38" t="s">
        <v>37</v>
      </c>
      <c r="Z1" s="33" t="s">
        <v>38</v>
      </c>
      <c r="AA1" s="39" t="s">
        <v>39</v>
      </c>
      <c r="AB1" s="40" t="s">
        <v>40</v>
      </c>
      <c r="AC1" s="40" t="s">
        <v>41</v>
      </c>
      <c r="AD1" s="40" t="s">
        <v>42</v>
      </c>
      <c r="AE1" s="40" t="s">
        <v>43</v>
      </c>
      <c r="AF1" s="40" t="s">
        <v>44</v>
      </c>
      <c r="AG1" s="40" t="s">
        <v>45</v>
      </c>
      <c r="AH1" s="40" t="s">
        <v>46</v>
      </c>
      <c r="AI1" s="42" t="s">
        <v>47</v>
      </c>
      <c r="AJ1" s="42" t="s">
        <v>48</v>
      </c>
      <c r="AK1" s="43" t="s">
        <v>49</v>
      </c>
      <c r="AL1" s="46" t="s">
        <v>50</v>
      </c>
      <c r="AM1" s="46" t="s">
        <v>52</v>
      </c>
    </row>
    <row r="2">
      <c r="A2" s="47" t="s">
        <v>53</v>
      </c>
      <c r="B2" s="48" t="s">
        <v>55</v>
      </c>
      <c r="C2" s="49" t="s">
        <v>59</v>
      </c>
      <c r="D2" s="48" t="s">
        <v>60</v>
      </c>
      <c r="E2" s="51" t="s">
        <v>61</v>
      </c>
      <c r="F2" s="53" t="s">
        <v>62</v>
      </c>
      <c r="G2" s="56" t="s">
        <v>63</v>
      </c>
      <c r="H2" s="48" t="s">
        <v>64</v>
      </c>
      <c r="I2" s="58" t="s">
        <v>65</v>
      </c>
      <c r="J2" s="48" t="s">
        <v>66</v>
      </c>
      <c r="K2" s="60" t="s">
        <v>68</v>
      </c>
      <c r="L2" s="63" t="s">
        <v>71</v>
      </c>
      <c r="M2" s="58"/>
      <c r="N2" s="65"/>
      <c r="O2" s="58"/>
      <c r="P2" s="58"/>
      <c r="Q2" s="58"/>
      <c r="R2" s="70" t="str">
        <f>HYPERLINK("https://pubmed.ncbi.nlm.nih.gov/32809329/", "Franchini (2020) - Acquired Hemophilia A: Diagnosis and Treatment")</f>
        <v>Franchini (2020) - Acquired Hemophilia A: Diagnosis and Treatment</v>
      </c>
      <c r="S2" s="71" t="str">
        <f>HYPERLINK("https://pubmed.ncbi.nlm.nih.gov/17047148/", "Collins (2007) - Acquired Hemophilia A Surveillance Study")</f>
        <v>Collins (2007) - Acquired Hemophilia A Surveillance Study</v>
      </c>
      <c r="T2" s="72" t="s">
        <v>77</v>
      </c>
      <c r="U2" s="48" t="s">
        <v>79</v>
      </c>
      <c r="V2" s="73" t="s">
        <v>80</v>
      </c>
      <c r="W2" s="48" t="s">
        <v>79</v>
      </c>
      <c r="X2" s="75" t="s">
        <v>80</v>
      </c>
      <c r="Y2" s="76">
        <v>0.2</v>
      </c>
      <c r="Z2" s="78">
        <v>65.0</v>
      </c>
      <c r="AA2" s="78">
        <v>100.0</v>
      </c>
      <c r="AB2" s="48" t="s">
        <v>84</v>
      </c>
      <c r="AC2" s="58"/>
      <c r="AD2" s="58"/>
      <c r="AE2" s="58"/>
      <c r="AF2" s="58"/>
      <c r="AG2" s="58"/>
      <c r="AH2" s="58"/>
      <c r="AI2" s="84" t="s">
        <v>86</v>
      </c>
      <c r="AJ2" s="84" t="s">
        <v>87</v>
      </c>
      <c r="AK2" s="85" t="s">
        <v>89</v>
      </c>
      <c r="AL2" s="86" t="s">
        <v>91</v>
      </c>
      <c r="AM2" s="87" t="s">
        <v>92</v>
      </c>
    </row>
    <row r="3">
      <c r="A3" s="88" t="s">
        <v>69</v>
      </c>
      <c r="B3" s="89" t="s">
        <v>95</v>
      </c>
      <c r="C3" s="90" t="s">
        <v>59</v>
      </c>
      <c r="D3" s="89" t="s">
        <v>98</v>
      </c>
      <c r="E3" s="91" t="s">
        <v>99</v>
      </c>
      <c r="F3" s="92" t="s">
        <v>101</v>
      </c>
      <c r="G3" s="93" t="s">
        <v>103</v>
      </c>
      <c r="H3" s="89" t="s">
        <v>104</v>
      </c>
      <c r="I3" s="94" t="s">
        <v>105</v>
      </c>
      <c r="J3" s="89" t="s">
        <v>107</v>
      </c>
      <c r="K3" s="96" t="s">
        <v>108</v>
      </c>
      <c r="L3" s="97" t="s">
        <v>71</v>
      </c>
      <c r="M3" s="94"/>
      <c r="N3" s="98"/>
      <c r="O3" s="94"/>
      <c r="P3" s="94"/>
      <c r="Q3" s="94"/>
      <c r="R3" s="99" t="str">
        <f>HYPERLINK("https://pubmed.ncbi.nlm.nih.gov/27445203/", "Pohl (2016) - Acute Disseminated Encephalomyelitis: Updates on Diagnosis and Management")</f>
        <v>Pohl (2016) - Acute Disseminated Encephalomyelitis: Updates on Diagnosis and Management</v>
      </c>
      <c r="S3" s="100" t="str">
        <f>HYPERLINK("https://pubmed.ncbi.nlm.nih.gov/12391351/", "Tenembaum (2002) - Acute Disseminated Encephalomyelitis Follow-Up")</f>
        <v>Tenembaum (2002) - Acute Disseminated Encephalomyelitis Follow-Up</v>
      </c>
      <c r="T3" s="101" t="s">
        <v>113</v>
      </c>
      <c r="U3" s="89" t="s">
        <v>79</v>
      </c>
      <c r="V3" s="102" t="s">
        <v>114</v>
      </c>
      <c r="W3" s="89" t="s">
        <v>79</v>
      </c>
      <c r="X3" s="104" t="s">
        <v>116</v>
      </c>
      <c r="Y3" s="76">
        <v>1.2</v>
      </c>
      <c r="Z3" s="78" t="s">
        <v>117</v>
      </c>
      <c r="AA3" s="78" t="s">
        <v>118</v>
      </c>
      <c r="AB3" s="89" t="s">
        <v>84</v>
      </c>
      <c r="AC3" s="94"/>
      <c r="AD3" s="94"/>
      <c r="AE3" s="94"/>
      <c r="AF3" s="94"/>
      <c r="AG3" s="94"/>
      <c r="AH3" s="94"/>
      <c r="AI3" s="110" t="s">
        <v>119</v>
      </c>
      <c r="AJ3" s="110" t="s">
        <v>121</v>
      </c>
      <c r="AK3" s="111" t="s">
        <v>122</v>
      </c>
      <c r="AL3" s="112" t="s">
        <v>123</v>
      </c>
      <c r="AM3" s="113" t="s">
        <v>126</v>
      </c>
    </row>
    <row r="4">
      <c r="A4" s="114" t="s">
        <v>82</v>
      </c>
      <c r="B4" s="115" t="s">
        <v>128</v>
      </c>
      <c r="C4" s="116" t="s">
        <v>59</v>
      </c>
      <c r="D4" s="115" t="s">
        <v>130</v>
      </c>
      <c r="E4" s="118" t="s">
        <v>132</v>
      </c>
      <c r="F4" s="120" t="s">
        <v>133</v>
      </c>
      <c r="G4" s="121" t="s">
        <v>134</v>
      </c>
      <c r="H4" s="115" t="s">
        <v>135</v>
      </c>
      <c r="I4" s="125" t="s">
        <v>136</v>
      </c>
      <c r="J4" s="115" t="s">
        <v>137</v>
      </c>
      <c r="K4" s="128" t="s">
        <v>138</v>
      </c>
      <c r="L4" s="129" t="s">
        <v>71</v>
      </c>
      <c r="M4" s="130"/>
      <c r="N4" s="132"/>
      <c r="O4" s="130"/>
      <c r="P4" s="130"/>
      <c r="Q4" s="130"/>
      <c r="R4" s="133" t="str">
        <f>HYPERLINK("https://pubmed.ncbi.nlm.nih.gov/28356445/", "McCrindle (2017) - Diagnosis, Treatment, and Long-Term Management of Kawasaki Disease")</f>
        <v>McCrindle (2017) - Diagnosis, Treatment, and Long-Term Management of Kawasaki Disease</v>
      </c>
      <c r="S4" s="134" t="str">
        <f>HYPERLINK("https://pubmed.ncbi.nlm.nih.gov/30892569/", "Huang (2019) - Long-Term Coronary Risks of Kawasaki Disease")</f>
        <v>Huang (2019) - Long-Term Coronary Risks of Kawasaki Disease</v>
      </c>
      <c r="T4" s="135" t="s">
        <v>147</v>
      </c>
      <c r="U4" s="115" t="s">
        <v>79</v>
      </c>
      <c r="V4" s="136" t="s">
        <v>148</v>
      </c>
      <c r="W4" s="115" t="s">
        <v>150</v>
      </c>
      <c r="X4" s="137" t="s">
        <v>151</v>
      </c>
      <c r="Y4" s="76">
        <v>0.6</v>
      </c>
      <c r="Z4" s="78">
        <v>0.0</v>
      </c>
      <c r="AA4" s="78">
        <v>5.0</v>
      </c>
      <c r="AB4" s="115" t="s">
        <v>153</v>
      </c>
      <c r="AC4" s="130"/>
      <c r="AD4" s="130"/>
      <c r="AE4" s="130"/>
      <c r="AF4" s="130"/>
      <c r="AG4" s="130"/>
      <c r="AH4" s="130"/>
      <c r="AI4" s="138" t="s">
        <v>156</v>
      </c>
      <c r="AJ4" s="138" t="s">
        <v>157</v>
      </c>
      <c r="AK4" s="140" t="s">
        <v>158</v>
      </c>
      <c r="AL4" s="142" t="s">
        <v>159</v>
      </c>
      <c r="AM4" s="145" t="s">
        <v>160</v>
      </c>
    </row>
    <row r="5">
      <c r="A5" s="148" t="s">
        <v>106</v>
      </c>
      <c r="B5" s="149" t="s">
        <v>163</v>
      </c>
      <c r="C5" s="150" t="s">
        <v>137</v>
      </c>
      <c r="D5" s="149" t="s">
        <v>165</v>
      </c>
      <c r="E5" s="152" t="s">
        <v>167</v>
      </c>
      <c r="F5" s="153" t="s">
        <v>168</v>
      </c>
      <c r="G5" s="156" t="s">
        <v>170</v>
      </c>
      <c r="H5" s="149" t="s">
        <v>171</v>
      </c>
      <c r="I5" s="158" t="s">
        <v>170</v>
      </c>
      <c r="J5" s="149" t="s">
        <v>137</v>
      </c>
      <c r="K5" s="161" t="s">
        <v>172</v>
      </c>
      <c r="L5" s="162" t="s">
        <v>137</v>
      </c>
      <c r="M5" s="163"/>
      <c r="N5" s="164"/>
      <c r="O5" s="163"/>
      <c r="P5" s="163"/>
      <c r="Q5" s="163"/>
      <c r="R5" s="165" t="str">
        <f>HYPERLINK("https://pubmed.ncbi.nlm.nih.gov/34293816/", "Fernandes (2021) - Pityriasis Lichenoides: A Comprehensive Review")</f>
        <v>Fernandes (2021) - Pityriasis Lichenoides: A Comprehensive Review</v>
      </c>
      <c r="S5" s="166" t="str">
        <f>HYPERLINK("https://pubmed.ncbi.nlm.nih.gov/17598036/", "Bowers (2006) - Pityriasis Lichenoides: Review and Management")</f>
        <v>Bowers (2006) - Pityriasis Lichenoides: Review and Management</v>
      </c>
      <c r="T5" s="167" t="s">
        <v>180</v>
      </c>
      <c r="U5" s="149" t="s">
        <v>150</v>
      </c>
      <c r="V5" s="168" t="s">
        <v>181</v>
      </c>
      <c r="W5" s="149" t="s">
        <v>150</v>
      </c>
      <c r="X5" s="169" t="s">
        <v>184</v>
      </c>
      <c r="Y5" s="76">
        <v>4.4</v>
      </c>
      <c r="Z5" s="78">
        <v>0.0</v>
      </c>
      <c r="AA5" s="78">
        <v>30.0</v>
      </c>
      <c r="AB5" s="149" t="s">
        <v>137</v>
      </c>
      <c r="AC5" s="163"/>
      <c r="AD5" s="163"/>
      <c r="AE5" s="163"/>
      <c r="AF5" s="163"/>
      <c r="AG5" s="163"/>
      <c r="AH5" s="163"/>
      <c r="AI5" s="171" t="s">
        <v>188</v>
      </c>
      <c r="AJ5" s="171" t="s">
        <v>189</v>
      </c>
      <c r="AK5" s="172" t="s">
        <v>191</v>
      </c>
      <c r="AL5" s="173" t="s">
        <v>192</v>
      </c>
      <c r="AM5" s="174" t="s">
        <v>195</v>
      </c>
    </row>
    <row r="6">
      <c r="A6" s="175" t="s">
        <v>115</v>
      </c>
      <c r="B6" s="176" t="s">
        <v>197</v>
      </c>
      <c r="C6" s="177" t="s">
        <v>59</v>
      </c>
      <c r="D6" s="176" t="s">
        <v>199</v>
      </c>
      <c r="E6" s="178" t="s">
        <v>201</v>
      </c>
      <c r="F6" s="179" t="s">
        <v>203</v>
      </c>
      <c r="G6" s="180" t="s">
        <v>205</v>
      </c>
      <c r="H6" s="176" t="s">
        <v>207</v>
      </c>
      <c r="I6" s="181" t="s">
        <v>208</v>
      </c>
      <c r="J6" s="176" t="s">
        <v>210</v>
      </c>
      <c r="K6" s="182" t="s">
        <v>212</v>
      </c>
      <c r="L6" s="183" t="s">
        <v>71</v>
      </c>
      <c r="M6" s="181"/>
      <c r="N6" s="184"/>
      <c r="O6" s="181"/>
      <c r="P6" s="181"/>
      <c r="Q6" s="181"/>
      <c r="R6" s="186" t="str">
        <f>HYPERLINK("[link removed]", "Husebye (2021) - Adrenal Insufficiency")</f>
        <v>Husebye (2021) - Adrenal Insufficiency</v>
      </c>
      <c r="S6" s="187" t="str">
        <f>HYPERLINK("https://pubmed.ncbi.nlm.nih.gov/26437215/", "Bjornsdottir (2016) - Increasing Prevalence of Addison Disease")</f>
        <v>Bjornsdottir (2016) - Increasing Prevalence of Addison Disease</v>
      </c>
      <c r="T6" s="188" t="s">
        <v>218</v>
      </c>
      <c r="U6" s="176" t="s">
        <v>150</v>
      </c>
      <c r="V6" s="189" t="s">
        <v>220</v>
      </c>
      <c r="W6" s="176" t="s">
        <v>150</v>
      </c>
      <c r="X6" s="190" t="s">
        <v>222</v>
      </c>
      <c r="Y6" s="76">
        <v>0.0</v>
      </c>
      <c r="Z6" s="78">
        <v>40.0</v>
      </c>
      <c r="AA6" s="78">
        <v>40.0</v>
      </c>
      <c r="AB6" s="176" t="s">
        <v>153</v>
      </c>
      <c r="AC6" s="181"/>
      <c r="AD6" s="181"/>
      <c r="AE6" s="181"/>
      <c r="AF6" s="181"/>
      <c r="AG6" s="181"/>
      <c r="AH6" s="181"/>
      <c r="AI6" s="192" t="s">
        <v>224</v>
      </c>
      <c r="AJ6" s="192" t="s">
        <v>225</v>
      </c>
      <c r="AK6" s="194" t="s">
        <v>226</v>
      </c>
      <c r="AL6" s="196" t="s">
        <v>227</v>
      </c>
      <c r="AM6" s="199" t="s">
        <v>228</v>
      </c>
    </row>
    <row r="7">
      <c r="A7" s="201" t="s">
        <v>131</v>
      </c>
      <c r="B7" s="203" t="s">
        <v>229</v>
      </c>
      <c r="C7" s="204" t="s">
        <v>59</v>
      </c>
      <c r="D7" s="203" t="s">
        <v>232</v>
      </c>
      <c r="E7" s="205" t="s">
        <v>233</v>
      </c>
      <c r="F7" s="206" t="s">
        <v>234</v>
      </c>
      <c r="G7" s="208" t="s">
        <v>170</v>
      </c>
      <c r="H7" s="203" t="s">
        <v>236</v>
      </c>
      <c r="I7" s="209" t="s">
        <v>237</v>
      </c>
      <c r="J7" s="203" t="s">
        <v>137</v>
      </c>
      <c r="K7" s="210" t="s">
        <v>239</v>
      </c>
      <c r="L7" s="212" t="s">
        <v>71</v>
      </c>
      <c r="M7" s="209"/>
      <c r="N7" s="213"/>
      <c r="O7" s="209"/>
      <c r="P7" s="209"/>
      <c r="Q7" s="209"/>
      <c r="R7" s="217" t="str">
        <f>HYPERLINK("https://pubmed.ncbi.nlm.nih.gov/29337583/", "Giacomelli (2018) - Adult-Onset Still's Disease: State of the Art and Future Perspectives")</f>
        <v>Giacomelli (2018) - Adult-Onset Still's Disease: State of the Art and Future Perspectives</v>
      </c>
      <c r="S7" s="221" t="str">
        <f>HYPERLINK("https://pubmed.ncbi.nlm.nih.gov/5315135/", "Bywaters (1971) - Still's Disease in the Adult")</f>
        <v>Bywaters (1971) - Still's Disease in the Adult</v>
      </c>
      <c r="T7" s="223" t="s">
        <v>245</v>
      </c>
      <c r="U7" s="203" t="s">
        <v>150</v>
      </c>
      <c r="V7" s="224" t="s">
        <v>246</v>
      </c>
      <c r="W7" s="203" t="s">
        <v>150</v>
      </c>
      <c r="X7" s="225" t="s">
        <v>248</v>
      </c>
      <c r="Y7" s="76">
        <v>1.8</v>
      </c>
      <c r="Z7" s="78">
        <v>20.0</v>
      </c>
      <c r="AA7" s="78">
        <v>45.0</v>
      </c>
      <c r="AB7" s="203" t="s">
        <v>153</v>
      </c>
      <c r="AC7" s="209"/>
      <c r="AD7" s="209"/>
      <c r="AE7" s="209"/>
      <c r="AF7" s="209"/>
      <c r="AG7" s="209"/>
      <c r="AH7" s="209"/>
      <c r="AI7" s="227" t="s">
        <v>251</v>
      </c>
      <c r="AJ7" s="227" t="s">
        <v>253</v>
      </c>
      <c r="AK7" s="228" t="s">
        <v>254</v>
      </c>
      <c r="AL7" s="229" t="s">
        <v>256</v>
      </c>
      <c r="AM7" s="230" t="s">
        <v>259</v>
      </c>
    </row>
    <row r="8">
      <c r="A8" s="231" t="s">
        <v>261</v>
      </c>
      <c r="B8" s="203" t="s">
        <v>263</v>
      </c>
      <c r="C8" s="204" t="s">
        <v>137</v>
      </c>
      <c r="D8" s="203" t="s">
        <v>265</v>
      </c>
      <c r="E8" s="205" t="s">
        <v>266</v>
      </c>
      <c r="F8" s="206" t="s">
        <v>234</v>
      </c>
      <c r="G8" s="208" t="s">
        <v>269</v>
      </c>
      <c r="H8" s="203" t="s">
        <v>271</v>
      </c>
      <c r="I8" s="209" t="s">
        <v>272</v>
      </c>
      <c r="J8" s="203" t="s">
        <v>274</v>
      </c>
      <c r="K8" s="210" t="s">
        <v>275</v>
      </c>
      <c r="L8" s="212"/>
      <c r="M8" s="209"/>
      <c r="N8" s="213"/>
      <c r="O8" s="209"/>
      <c r="P8" s="209"/>
      <c r="Q8" s="209"/>
      <c r="R8" s="217" t="str">
        <f>HYPERLINK("https://pubmed.ncbi.nlm.nih.gov/32426861/", "Hong (2020) - Anti-IFN-gamma Autoantibody-Associated Immunodeficiency")</f>
        <v>Hong (2020) - Anti-IFN-gamma Autoantibody-Associated Immunodeficiency</v>
      </c>
      <c r="S8" s="238" t="str">
        <f>HYPERLINK("https://pubmed.ncbi.nlm.nih.gov/22913666/", "Browne (2012) - Adult-Onset Immunodeficiency with Anti-IFN-γ Autoantibodies")</f>
        <v>Browne (2012) - Adult-Onset Immunodeficiency with Anti-IFN-γ Autoantibodies</v>
      </c>
      <c r="T8" s="223" t="s">
        <v>282</v>
      </c>
      <c r="U8" s="203" t="s">
        <v>150</v>
      </c>
      <c r="V8" s="224" t="s">
        <v>284</v>
      </c>
      <c r="W8" s="203" t="s">
        <v>150</v>
      </c>
      <c r="X8" s="225" t="s">
        <v>285</v>
      </c>
      <c r="Y8" s="241"/>
      <c r="Z8" s="242"/>
      <c r="AA8" s="242"/>
      <c r="AB8" s="203"/>
      <c r="AC8" s="209"/>
      <c r="AD8" s="209"/>
      <c r="AE8" s="209"/>
      <c r="AF8" s="209"/>
      <c r="AG8" s="209"/>
      <c r="AH8" s="209"/>
      <c r="AI8" s="227" t="s">
        <v>288</v>
      </c>
      <c r="AJ8" s="227" t="s">
        <v>289</v>
      </c>
      <c r="AK8" s="228" t="s">
        <v>291</v>
      </c>
      <c r="AL8" s="229" t="s">
        <v>292</v>
      </c>
      <c r="AM8" s="230" t="s">
        <v>293</v>
      </c>
    </row>
    <row r="9">
      <c r="A9" s="244" t="s">
        <v>141</v>
      </c>
      <c r="B9" s="245" t="s">
        <v>141</v>
      </c>
      <c r="C9" s="246" t="s">
        <v>137</v>
      </c>
      <c r="D9" s="245" t="s">
        <v>298</v>
      </c>
      <c r="E9" s="247" t="s">
        <v>299</v>
      </c>
      <c r="F9" s="248" t="s">
        <v>301</v>
      </c>
      <c r="G9" s="249" t="s">
        <v>170</v>
      </c>
      <c r="H9" s="245" t="s">
        <v>303</v>
      </c>
      <c r="I9" s="250" t="s">
        <v>170</v>
      </c>
      <c r="J9" s="245" t="s">
        <v>137</v>
      </c>
      <c r="K9" s="252" t="s">
        <v>304</v>
      </c>
      <c r="L9" s="253" t="s">
        <v>137</v>
      </c>
      <c r="M9" s="254"/>
      <c r="N9" s="255"/>
      <c r="O9" s="254"/>
      <c r="P9" s="254"/>
      <c r="Q9" s="254"/>
      <c r="R9" s="258" t="str">
        <f>HYPERLINK("https://pubmed.ncbi.nlm.nih.gov/30300108/", "Mitchell (2018) - Age-Related Macular Degeneration")</f>
        <v>Mitchell (2018) - Age-Related Macular Degeneration</v>
      </c>
      <c r="S9" s="262" t="str">
        <f>HYPERLINK("https://pubmed.ncbi.nlm.nih.gov/36326759/", "Rein (2022) - Prevalence of Age-Related Macular Degeneration in the US")</f>
        <v>Rein (2022) - Prevalence of Age-Related Macular Degeneration in the US</v>
      </c>
      <c r="T9" s="265" t="s">
        <v>309</v>
      </c>
      <c r="U9" s="245" t="s">
        <v>150</v>
      </c>
      <c r="V9" s="266" t="s">
        <v>311</v>
      </c>
      <c r="W9" s="245" t="s">
        <v>150</v>
      </c>
      <c r="X9" s="267" t="s">
        <v>313</v>
      </c>
      <c r="Y9" s="268">
        <v>1.7</v>
      </c>
      <c r="Z9" s="269">
        <v>50.0</v>
      </c>
      <c r="AA9" s="269">
        <v>100.0</v>
      </c>
      <c r="AB9" s="245" t="s">
        <v>137</v>
      </c>
      <c r="AC9" s="254"/>
      <c r="AD9" s="254"/>
      <c r="AE9" s="254"/>
      <c r="AF9" s="254"/>
      <c r="AG9" s="254"/>
      <c r="AH9" s="254"/>
      <c r="AI9" s="270" t="s">
        <v>318</v>
      </c>
      <c r="AJ9" s="270" t="s">
        <v>319</v>
      </c>
      <c r="AK9" s="271" t="s">
        <v>321</v>
      </c>
      <c r="AL9" s="272" t="s">
        <v>322</v>
      </c>
      <c r="AM9" s="273" t="s">
        <v>324</v>
      </c>
    </row>
    <row r="10">
      <c r="A10" s="148" t="s">
        <v>143</v>
      </c>
      <c r="B10" s="149" t="s">
        <v>326</v>
      </c>
      <c r="C10" s="150" t="s">
        <v>59</v>
      </c>
      <c r="D10" s="149" t="s">
        <v>328</v>
      </c>
      <c r="E10" s="152" t="s">
        <v>329</v>
      </c>
      <c r="F10" s="153" t="s">
        <v>168</v>
      </c>
      <c r="G10" s="156" t="s">
        <v>330</v>
      </c>
      <c r="H10" s="149" t="s">
        <v>332</v>
      </c>
      <c r="I10" s="158" t="s">
        <v>333</v>
      </c>
      <c r="J10" s="149" t="s">
        <v>334</v>
      </c>
      <c r="K10" s="161" t="s">
        <v>336</v>
      </c>
      <c r="L10" s="162" t="s">
        <v>71</v>
      </c>
      <c r="M10" s="158"/>
      <c r="N10" s="164"/>
      <c r="O10" s="158"/>
      <c r="P10" s="158"/>
      <c r="Q10" s="158"/>
      <c r="R10" s="275" t="str">
        <f>HYPERLINK("https://pubmed.ncbi.nlm.nih.gov/28300084/", "Pratt (2017) - Alopecia Areata")</f>
        <v>Pratt (2017) - Alopecia Areata</v>
      </c>
      <c r="S10" s="278" t="str">
        <f>HYPERLINK("https://pubmed.ncbi.nlm.nih.gov/37099277/", "Mostaghimi (2023) - Prevalence of Alopecia Areata in the United States")</f>
        <v>Mostaghimi (2023) - Prevalence of Alopecia Areata in the United States</v>
      </c>
      <c r="T10" s="167" t="s">
        <v>342</v>
      </c>
      <c r="U10" s="149" t="s">
        <v>150</v>
      </c>
      <c r="V10" s="168" t="s">
        <v>344</v>
      </c>
      <c r="W10" s="149" t="s">
        <v>150</v>
      </c>
      <c r="X10" s="169" t="s">
        <v>345</v>
      </c>
      <c r="Y10" s="76">
        <v>1.6</v>
      </c>
      <c r="Z10" s="78">
        <v>0.0</v>
      </c>
      <c r="AA10" s="78">
        <v>30.0</v>
      </c>
      <c r="AB10" s="149" t="s">
        <v>153</v>
      </c>
      <c r="AC10" s="158"/>
      <c r="AD10" s="158"/>
      <c r="AE10" s="158"/>
      <c r="AF10" s="158"/>
      <c r="AG10" s="158"/>
      <c r="AH10" s="158"/>
      <c r="AI10" s="171" t="s">
        <v>347</v>
      </c>
      <c r="AJ10" s="171" t="s">
        <v>349</v>
      </c>
      <c r="AK10" s="172" t="s">
        <v>350</v>
      </c>
      <c r="AL10" s="284" t="s">
        <v>351</v>
      </c>
      <c r="AM10" s="285" t="s">
        <v>353</v>
      </c>
    </row>
    <row r="11">
      <c r="A11" s="201" t="s">
        <v>146</v>
      </c>
      <c r="B11" s="203" t="s">
        <v>354</v>
      </c>
      <c r="C11" s="204" t="s">
        <v>59</v>
      </c>
      <c r="D11" s="203" t="s">
        <v>356</v>
      </c>
      <c r="E11" s="205" t="s">
        <v>357</v>
      </c>
      <c r="F11" s="206" t="s">
        <v>234</v>
      </c>
      <c r="G11" s="208" t="s">
        <v>170</v>
      </c>
      <c r="H11" s="203" t="s">
        <v>359</v>
      </c>
      <c r="I11" s="209" t="s">
        <v>170</v>
      </c>
      <c r="J11" s="203" t="s">
        <v>137</v>
      </c>
      <c r="K11" s="210" t="s">
        <v>360</v>
      </c>
      <c r="L11" s="212" t="s">
        <v>71</v>
      </c>
      <c r="M11" s="286"/>
      <c r="N11" s="213"/>
      <c r="O11" s="286"/>
      <c r="P11" s="286"/>
      <c r="Q11" s="286"/>
      <c r="R11" s="287" t="str">
        <f>HYPERLINK("https://pubmed.ncbi.nlm.nih.gov/32339483/", "Dispenzieri (2020) - Castleman Disease")</f>
        <v>Dispenzieri (2020) - Castleman Disease</v>
      </c>
      <c r="S11" s="288" t="str">
        <f>HYPERLINK("https://pubmed.ncbi.nlm.nih.gov/34535010/", "Fajgenbaum (2022) - Epidemiology of Idiopathic Multicentric Castleman Disease")</f>
        <v>Fajgenbaum (2022) - Epidemiology of Idiopathic Multicentric Castleman Disease</v>
      </c>
      <c r="T11" s="223" t="s">
        <v>365</v>
      </c>
      <c r="U11" s="203" t="s">
        <v>150</v>
      </c>
      <c r="V11" s="224" t="s">
        <v>367</v>
      </c>
      <c r="W11" s="203" t="s">
        <v>150</v>
      </c>
      <c r="X11" s="225" t="s">
        <v>369</v>
      </c>
      <c r="Y11" s="76"/>
      <c r="Z11" s="289"/>
      <c r="AA11" s="289"/>
      <c r="AB11" s="203" t="s">
        <v>153</v>
      </c>
      <c r="AC11" s="286"/>
      <c r="AD11" s="286"/>
      <c r="AE11" s="286"/>
      <c r="AF11" s="286"/>
      <c r="AG11" s="286"/>
      <c r="AH11" s="286"/>
      <c r="AI11" s="227" t="s">
        <v>371</v>
      </c>
      <c r="AJ11" s="227" t="s">
        <v>372</v>
      </c>
      <c r="AK11" s="228" t="s">
        <v>374</v>
      </c>
      <c r="AL11" s="290" t="s">
        <v>376</v>
      </c>
      <c r="AM11" s="291" t="s">
        <v>378</v>
      </c>
    </row>
    <row r="12">
      <c r="A12" s="292" t="s">
        <v>155</v>
      </c>
      <c r="B12" s="294" t="s">
        <v>379</v>
      </c>
      <c r="C12" s="295" t="s">
        <v>137</v>
      </c>
      <c r="D12" s="294" t="s">
        <v>382</v>
      </c>
      <c r="E12" s="296" t="s">
        <v>384</v>
      </c>
      <c r="F12" s="298" t="s">
        <v>385</v>
      </c>
      <c r="G12" s="299" t="s">
        <v>170</v>
      </c>
      <c r="H12" s="294" t="s">
        <v>387</v>
      </c>
      <c r="I12" s="300" t="s">
        <v>170</v>
      </c>
      <c r="J12" s="294" t="s">
        <v>389</v>
      </c>
      <c r="K12" s="301" t="s">
        <v>390</v>
      </c>
      <c r="L12" s="302" t="s">
        <v>137</v>
      </c>
      <c r="M12" s="303"/>
      <c r="N12" s="304"/>
      <c r="O12" s="303"/>
      <c r="P12" s="303"/>
      <c r="Q12" s="303"/>
      <c r="R12" s="305" t="str">
        <f>HYPERLINK("[link removed]", "Sieper (2017) - Axial Spondyloarthritis")</f>
        <v>Sieper (2017) - Axial Spondyloarthritis</v>
      </c>
      <c r="S12" s="306" t="str">
        <f>HYPERLINK("https://pubmed.ncbi.nlm.nih.gov/16342091/", "Bakland (2005) - Incidence and Prevalence of Ankylosing Spondylitis")</f>
        <v>Bakland (2005) - Incidence and Prevalence of Ankylosing Spondylitis</v>
      </c>
      <c r="T12" s="307" t="s">
        <v>399</v>
      </c>
      <c r="U12" s="294" t="s">
        <v>150</v>
      </c>
      <c r="V12" s="308" t="s">
        <v>400</v>
      </c>
      <c r="W12" s="294" t="s">
        <v>150</v>
      </c>
      <c r="X12" s="309" t="s">
        <v>402</v>
      </c>
      <c r="Y12" s="76">
        <v>0.7</v>
      </c>
      <c r="Z12" s="78">
        <v>20.0</v>
      </c>
      <c r="AA12" s="78">
        <v>45.0</v>
      </c>
      <c r="AB12" s="294" t="s">
        <v>84</v>
      </c>
      <c r="AC12" s="303"/>
      <c r="AD12" s="303"/>
      <c r="AE12" s="303"/>
      <c r="AF12" s="303"/>
      <c r="AG12" s="303"/>
      <c r="AH12" s="303"/>
      <c r="AI12" s="311" t="s">
        <v>404</v>
      </c>
      <c r="AJ12" s="311" t="s">
        <v>406</v>
      </c>
      <c r="AK12" s="312" t="s">
        <v>407</v>
      </c>
      <c r="AL12" s="313" t="s">
        <v>409</v>
      </c>
      <c r="AM12" s="314" t="s">
        <v>410</v>
      </c>
    </row>
    <row r="13">
      <c r="A13" s="88" t="s">
        <v>412</v>
      </c>
      <c r="B13" s="89" t="s">
        <v>414</v>
      </c>
      <c r="C13" s="90" t="s">
        <v>137</v>
      </c>
      <c r="D13" s="89" t="s">
        <v>416</v>
      </c>
      <c r="E13" s="91" t="s">
        <v>417</v>
      </c>
      <c r="F13" s="92" t="s">
        <v>101</v>
      </c>
      <c r="G13" s="93" t="s">
        <v>420</v>
      </c>
      <c r="H13" s="89" t="s">
        <v>421</v>
      </c>
      <c r="I13" s="94" t="s">
        <v>422</v>
      </c>
      <c r="J13" s="89" t="s">
        <v>424</v>
      </c>
      <c r="K13" s="96" t="s">
        <v>425</v>
      </c>
      <c r="L13" s="97"/>
      <c r="M13" s="316"/>
      <c r="N13" s="98"/>
      <c r="O13" s="316"/>
      <c r="P13" s="316"/>
      <c r="Q13" s="316"/>
      <c r="R13" s="317" t="str">
        <f>HYPERLINK("https://pubmed.ncbi.nlm.nih.gov/25659850/", "Joubert (2015) - Autoimmune Encephalitis with Antibodies to AMPA Receptors")</f>
        <v>Joubert (2015) - Autoimmune Encephalitis with Antibodies to AMPA Receptors</v>
      </c>
      <c r="S13" s="99" t="str">
        <f>HYPERLINK("https://pubmed.ncbi.nlm.nih.gov/19446768/", "Lai (2009) - AMPA Receptor Antibodies in Limbic Encephalitis")</f>
        <v>Lai (2009) - AMPA Receptor Antibodies in Limbic Encephalitis</v>
      </c>
      <c r="T13" s="318" t="s">
        <v>430</v>
      </c>
      <c r="U13" s="89" t="s">
        <v>79</v>
      </c>
      <c r="V13" s="102" t="s">
        <v>432</v>
      </c>
      <c r="W13" s="89" t="s">
        <v>79</v>
      </c>
      <c r="X13" s="104" t="s">
        <v>434</v>
      </c>
      <c r="Y13" s="319"/>
      <c r="Z13" s="320"/>
      <c r="AA13" s="320"/>
      <c r="AB13" s="89"/>
      <c r="AC13" s="316"/>
      <c r="AD13" s="316"/>
      <c r="AE13" s="316"/>
      <c r="AF13" s="316"/>
      <c r="AG13" s="316"/>
      <c r="AH13" s="316"/>
      <c r="AI13" s="110" t="s">
        <v>437</v>
      </c>
      <c r="AJ13" s="110" t="s">
        <v>439</v>
      </c>
      <c r="AK13" s="111" t="s">
        <v>440</v>
      </c>
      <c r="AL13" s="112" t="s">
        <v>442</v>
      </c>
      <c r="AM13" s="113" t="s">
        <v>443</v>
      </c>
    </row>
    <row r="14">
      <c r="A14" s="321" t="s">
        <v>444</v>
      </c>
      <c r="B14" s="89" t="s">
        <v>445</v>
      </c>
      <c r="C14" s="90" t="s">
        <v>137</v>
      </c>
      <c r="D14" s="89" t="s">
        <v>447</v>
      </c>
      <c r="E14" s="91" t="s">
        <v>448</v>
      </c>
      <c r="F14" s="92" t="s">
        <v>101</v>
      </c>
      <c r="G14" s="93" t="s">
        <v>450</v>
      </c>
      <c r="H14" s="89" t="s">
        <v>451</v>
      </c>
      <c r="I14" s="94" t="s">
        <v>452</v>
      </c>
      <c r="J14" s="89" t="s">
        <v>454</v>
      </c>
      <c r="K14" s="96" t="s">
        <v>455</v>
      </c>
      <c r="L14" s="97"/>
      <c r="M14" s="316"/>
      <c r="N14" s="98"/>
      <c r="O14" s="316"/>
      <c r="P14" s="316"/>
      <c r="Q14" s="316"/>
      <c r="R14" s="317" t="str">
        <f>HYPERLINK("https://pubmed.ncbi.nlm.nih.gov/27642646/", "van Sonderen (2016) - The Clinical Spectrum of Caspr2 Antibody-Associated Disease")</f>
        <v>van Sonderen (2016) - The Clinical Spectrum of Caspr2 Antibody-Associated Disease</v>
      </c>
      <c r="S14" s="99" t="str">
        <f>HYPERLINK("https://pubmed.ncbi.nlm.nih.gov/20658824/", "Irani (2010) - CASPR2 Antibodies in Limbic Encephalitis and Neuromyotonia")</f>
        <v>Irani (2010) - CASPR2 Antibodies in Limbic Encephalitis and Neuromyotonia</v>
      </c>
      <c r="T14" s="318" t="s">
        <v>462</v>
      </c>
      <c r="U14" s="89" t="s">
        <v>79</v>
      </c>
      <c r="V14" s="102" t="s">
        <v>464</v>
      </c>
      <c r="W14" s="89" t="s">
        <v>79</v>
      </c>
      <c r="X14" s="104" t="s">
        <v>464</v>
      </c>
      <c r="Y14" s="319"/>
      <c r="Z14" s="320"/>
      <c r="AA14" s="320"/>
      <c r="AB14" s="89"/>
      <c r="AC14" s="316"/>
      <c r="AD14" s="316"/>
      <c r="AE14" s="316"/>
      <c r="AF14" s="316"/>
      <c r="AG14" s="316"/>
      <c r="AH14" s="316"/>
      <c r="AI14" s="110" t="s">
        <v>467</v>
      </c>
      <c r="AJ14" s="110" t="s">
        <v>468</v>
      </c>
      <c r="AK14" s="111" t="s">
        <v>469</v>
      </c>
      <c r="AL14" s="112" t="s">
        <v>470</v>
      </c>
      <c r="AM14" s="113" t="s">
        <v>472</v>
      </c>
    </row>
    <row r="15">
      <c r="A15" s="321" t="s">
        <v>473</v>
      </c>
      <c r="B15" s="89" t="s">
        <v>474</v>
      </c>
      <c r="C15" s="90" t="s">
        <v>137</v>
      </c>
      <c r="D15" s="89" t="s">
        <v>476</v>
      </c>
      <c r="E15" s="91" t="s">
        <v>477</v>
      </c>
      <c r="F15" s="92" t="s">
        <v>101</v>
      </c>
      <c r="G15" s="93" t="s">
        <v>478</v>
      </c>
      <c r="H15" s="89" t="s">
        <v>479</v>
      </c>
      <c r="I15" s="94" t="s">
        <v>480</v>
      </c>
      <c r="J15" s="89" t="s">
        <v>482</v>
      </c>
      <c r="K15" s="96" t="s">
        <v>483</v>
      </c>
      <c r="L15" s="97"/>
      <c r="M15" s="316"/>
      <c r="N15" s="98"/>
      <c r="O15" s="316"/>
      <c r="P15" s="316"/>
      <c r="Q15" s="316"/>
      <c r="R15" s="317" t="str">
        <f>HYPERLINK("https://pubmed.ncbi.nlm.nih.gov/28414436/", "Hara (2017) - Clinical and Immunological Aspects of Anti-DPPX Encephalitis")</f>
        <v>Hara (2017) - Clinical and Immunological Aspects of Anti-DPPX Encephalitis</v>
      </c>
      <c r="S15" s="99" t="str">
        <f>HYPERLINK("https://pubmed.ncbi.nlm.nih.gov/23280797/", "Boronat (2013) - DPPX Antibodies in Autoimmune Encephalitis")</f>
        <v>Boronat (2013) - DPPX Antibodies in Autoimmune Encephalitis</v>
      </c>
      <c r="T15" s="318" t="s">
        <v>489</v>
      </c>
      <c r="U15" s="89" t="s">
        <v>79</v>
      </c>
      <c r="V15" s="102" t="s">
        <v>432</v>
      </c>
      <c r="W15" s="89" t="s">
        <v>79</v>
      </c>
      <c r="X15" s="104" t="s">
        <v>434</v>
      </c>
      <c r="Y15" s="319"/>
      <c r="Z15" s="320"/>
      <c r="AA15" s="320"/>
      <c r="AB15" s="89"/>
      <c r="AC15" s="316"/>
      <c r="AD15" s="316"/>
      <c r="AE15" s="316"/>
      <c r="AF15" s="316"/>
      <c r="AG15" s="316"/>
      <c r="AH15" s="316"/>
      <c r="AI15" s="110" t="s">
        <v>493</v>
      </c>
      <c r="AJ15" s="110" t="s">
        <v>495</v>
      </c>
      <c r="AK15" s="111" t="s">
        <v>496</v>
      </c>
      <c r="AL15" s="112" t="s">
        <v>442</v>
      </c>
      <c r="AM15" s="113" t="s">
        <v>497</v>
      </c>
    </row>
    <row r="16">
      <c r="A16" s="321" t="s">
        <v>499</v>
      </c>
      <c r="B16" s="89" t="s">
        <v>501</v>
      </c>
      <c r="C16" s="90" t="s">
        <v>137</v>
      </c>
      <c r="D16" s="89" t="s">
        <v>502</v>
      </c>
      <c r="E16" s="91" t="s">
        <v>503</v>
      </c>
      <c r="F16" s="92" t="s">
        <v>101</v>
      </c>
      <c r="G16" s="93" t="s">
        <v>504</v>
      </c>
      <c r="H16" s="89" t="s">
        <v>505</v>
      </c>
      <c r="I16" s="94" t="s">
        <v>506</v>
      </c>
      <c r="J16" s="89" t="s">
        <v>507</v>
      </c>
      <c r="K16" s="96" t="s">
        <v>509</v>
      </c>
      <c r="L16" s="97"/>
      <c r="M16" s="316"/>
      <c r="N16" s="98"/>
      <c r="O16" s="316"/>
      <c r="P16" s="316"/>
      <c r="Q16" s="316"/>
      <c r="R16" s="317" t="str">
        <f>HYPERLINK("https://pubmed.ncbi.nlm.nih.gov/28679596/", "Spatola (2017) - Investigations in GABAA Receptor Antibody-Associated Encephalitis")</f>
        <v>Spatola (2017) - Investigations in GABAA Receptor Antibody-Associated Encephalitis</v>
      </c>
      <c r="S16" s="99" t="str">
        <f>HYPERLINK("https://pubmed.ncbi.nlm.nih.gov/24582775/", "Petit-Pedrol (2014) - GABAA Receptor Antibodies in Autoimmune Encephalitis")</f>
        <v>Petit-Pedrol (2014) - GABAA Receptor Antibodies in Autoimmune Encephalitis</v>
      </c>
      <c r="T16" s="318" t="s">
        <v>513</v>
      </c>
      <c r="U16" s="89" t="s">
        <v>79</v>
      </c>
      <c r="V16" s="102" t="s">
        <v>432</v>
      </c>
      <c r="W16" s="89" t="s">
        <v>79</v>
      </c>
      <c r="X16" s="104" t="s">
        <v>434</v>
      </c>
      <c r="Y16" s="319"/>
      <c r="Z16" s="320"/>
      <c r="AA16" s="320"/>
      <c r="AB16" s="89"/>
      <c r="AC16" s="316"/>
      <c r="AD16" s="316"/>
      <c r="AE16" s="316"/>
      <c r="AF16" s="316"/>
      <c r="AG16" s="316"/>
      <c r="AH16" s="316"/>
      <c r="AI16" s="110" t="s">
        <v>514</v>
      </c>
      <c r="AJ16" s="110" t="s">
        <v>515</v>
      </c>
      <c r="AK16" s="111" t="s">
        <v>516</v>
      </c>
      <c r="AL16" s="112" t="s">
        <v>517</v>
      </c>
      <c r="AM16" s="113" t="s">
        <v>518</v>
      </c>
    </row>
    <row r="17">
      <c r="A17" s="321" t="s">
        <v>519</v>
      </c>
      <c r="B17" s="89" t="s">
        <v>521</v>
      </c>
      <c r="C17" s="90" t="s">
        <v>137</v>
      </c>
      <c r="D17" s="89" t="s">
        <v>522</v>
      </c>
      <c r="E17" s="91" t="s">
        <v>523</v>
      </c>
      <c r="F17" s="92" t="s">
        <v>101</v>
      </c>
      <c r="G17" s="93" t="s">
        <v>524</v>
      </c>
      <c r="H17" s="89" t="s">
        <v>525</v>
      </c>
      <c r="I17" s="94" t="s">
        <v>526</v>
      </c>
      <c r="J17" s="89" t="s">
        <v>527</v>
      </c>
      <c r="K17" s="96" t="s">
        <v>528</v>
      </c>
      <c r="L17" s="97"/>
      <c r="M17" s="316"/>
      <c r="N17" s="98"/>
      <c r="O17" s="316"/>
      <c r="P17" s="316"/>
      <c r="Q17" s="316"/>
      <c r="R17" s="317" t="str">
        <f>HYPERLINK("https://pubmed.ncbi.nlm.nih.gov/20053349/", "Lancaster (2010) - Antibodies to Metabotropic GABAB Receptor in Autoimmune Encephalitis")</f>
        <v>Lancaster (2010) - Antibodies to Metabotropic GABAB Receptor in Autoimmune Encephalitis</v>
      </c>
      <c r="S17" s="99" t="str">
        <f>HYPERLINK("https://pubmed.ncbi.nlm.nih.gov/20053586/", "Lancaster (2010) - Antibodies to the GABAB Receptor in Limbic Encephalitis")</f>
        <v>Lancaster (2010) - Antibodies to the GABAB Receptor in Limbic Encephalitis</v>
      </c>
      <c r="T17" s="318" t="s">
        <v>647</v>
      </c>
      <c r="U17" s="89" t="s">
        <v>79</v>
      </c>
      <c r="V17" s="102" t="s">
        <v>464</v>
      </c>
      <c r="W17" s="89" t="s">
        <v>79</v>
      </c>
      <c r="X17" s="104" t="s">
        <v>464</v>
      </c>
      <c r="Y17" s="319"/>
      <c r="Z17" s="320"/>
      <c r="AA17" s="320"/>
      <c r="AB17" s="89"/>
      <c r="AC17" s="316"/>
      <c r="AD17" s="316"/>
      <c r="AE17" s="316"/>
      <c r="AF17" s="316"/>
      <c r="AG17" s="316"/>
      <c r="AH17" s="316"/>
      <c r="AI17" s="110" t="s">
        <v>653</v>
      </c>
      <c r="AJ17" s="110" t="s">
        <v>655</v>
      </c>
      <c r="AK17" s="111" t="s">
        <v>656</v>
      </c>
      <c r="AL17" s="112" t="s">
        <v>657</v>
      </c>
      <c r="AM17" s="113" t="s">
        <v>659</v>
      </c>
    </row>
    <row r="18">
      <c r="A18" s="347" t="s">
        <v>164</v>
      </c>
      <c r="B18" s="348" t="s">
        <v>662</v>
      </c>
      <c r="C18" s="349" t="s">
        <v>59</v>
      </c>
      <c r="D18" s="348" t="s">
        <v>665</v>
      </c>
      <c r="E18" s="350" t="s">
        <v>668</v>
      </c>
      <c r="F18" s="352" t="s">
        <v>670</v>
      </c>
      <c r="G18" s="353" t="s">
        <v>671</v>
      </c>
      <c r="H18" s="348" t="s">
        <v>673</v>
      </c>
      <c r="I18" s="354" t="s">
        <v>675</v>
      </c>
      <c r="J18" s="348" t="s">
        <v>677</v>
      </c>
      <c r="K18" s="355" t="s">
        <v>679</v>
      </c>
      <c r="L18" s="356" t="s">
        <v>71</v>
      </c>
      <c r="M18" s="354"/>
      <c r="N18" s="357"/>
      <c r="O18" s="354"/>
      <c r="P18" s="354"/>
      <c r="Q18" s="354"/>
      <c r="R18" s="358" t="str">
        <f>HYPERLINK("https://pubmed.ncbi.nlm.nih.gov/28473550/", "McAdoo (2017) - Anti-Glomerular Basement Membrane Disease")</f>
        <v>McAdoo (2017) - Anti-Glomerular Basement Membrane Disease</v>
      </c>
      <c r="S18" s="359" t="str">
        <f>HYPERLINK("https://pubmed.ncbi.nlm.nih.gov/6074944/", "Lerner (1967) - Antiglomerular Basement Membrane Antibody in Nephritis")</f>
        <v>Lerner (1967) - Antiglomerular Basement Membrane Antibody in Nephritis</v>
      </c>
      <c r="T18" s="360" t="s">
        <v>696</v>
      </c>
      <c r="U18" s="348" t="s">
        <v>79</v>
      </c>
      <c r="V18" s="362" t="s">
        <v>697</v>
      </c>
      <c r="W18" s="348" t="s">
        <v>79</v>
      </c>
      <c r="X18" s="363" t="s">
        <v>284</v>
      </c>
      <c r="Y18" s="76">
        <v>2.8</v>
      </c>
      <c r="Z18" s="78">
        <v>20.0</v>
      </c>
      <c r="AA18" s="78">
        <v>30.0</v>
      </c>
      <c r="AB18" s="348" t="s">
        <v>153</v>
      </c>
      <c r="AC18" s="354"/>
      <c r="AD18" s="354"/>
      <c r="AE18" s="354"/>
      <c r="AF18" s="354"/>
      <c r="AG18" s="354"/>
      <c r="AH18" s="354"/>
      <c r="AI18" s="364" t="s">
        <v>703</v>
      </c>
      <c r="AJ18" s="364" t="s">
        <v>705</v>
      </c>
      <c r="AK18" s="365" t="s">
        <v>717</v>
      </c>
      <c r="AL18" s="366" t="s">
        <v>724</v>
      </c>
      <c r="AM18" s="367" t="s">
        <v>727</v>
      </c>
    </row>
    <row r="19">
      <c r="A19" s="368" t="s">
        <v>728</v>
      </c>
      <c r="B19" s="89" t="s">
        <v>731</v>
      </c>
      <c r="C19" s="90" t="s">
        <v>137</v>
      </c>
      <c r="D19" s="89" t="s">
        <v>734</v>
      </c>
      <c r="E19" s="91" t="s">
        <v>736</v>
      </c>
      <c r="F19" s="92" t="s">
        <v>101</v>
      </c>
      <c r="G19" s="93" t="s">
        <v>740</v>
      </c>
      <c r="H19" s="89" t="s">
        <v>741</v>
      </c>
      <c r="I19" s="94" t="s">
        <v>743</v>
      </c>
      <c r="J19" s="89" t="s">
        <v>745</v>
      </c>
      <c r="K19" s="96" t="s">
        <v>747</v>
      </c>
      <c r="L19" s="97"/>
      <c r="M19" s="94"/>
      <c r="N19" s="98"/>
      <c r="O19" s="94"/>
      <c r="P19" s="94"/>
      <c r="Q19" s="94"/>
      <c r="R19" s="369" t="str">
        <f>HYPERLINK("https://pubmed.ncbi.nlm.nih.gov/28456673/", "Gaig (2017) - Clinical Manifestations of the Anti-IgLON5 Disease")</f>
        <v>Gaig (2017) - Clinical Manifestations of the Anti-IgLON5 Disease</v>
      </c>
      <c r="S19" s="370" t="str">
        <f>HYPERLINK("https://pubmed.ncbi.nlm.nih.gov/24703753/", "Sabater (2014) - Antibodies to IgLON5 in a Novel Autoimmune Sleep Disorder")</f>
        <v>Sabater (2014) - Antibodies to IgLON5 in a Novel Autoimmune Sleep Disorder</v>
      </c>
      <c r="T19" s="318" t="s">
        <v>763</v>
      </c>
      <c r="U19" s="89" t="s">
        <v>79</v>
      </c>
      <c r="V19" s="102" t="s">
        <v>464</v>
      </c>
      <c r="W19" s="89" t="s">
        <v>79</v>
      </c>
      <c r="X19" s="104" t="s">
        <v>464</v>
      </c>
      <c r="Y19" s="319"/>
      <c r="Z19" s="320"/>
      <c r="AA19" s="320"/>
      <c r="AB19" s="89"/>
      <c r="AC19" s="94"/>
      <c r="AD19" s="94"/>
      <c r="AE19" s="94"/>
      <c r="AF19" s="94"/>
      <c r="AG19" s="94"/>
      <c r="AH19" s="94"/>
      <c r="AI19" s="110" t="s">
        <v>768</v>
      </c>
      <c r="AJ19" s="110" t="s">
        <v>769</v>
      </c>
      <c r="AK19" s="111" t="s">
        <v>771</v>
      </c>
      <c r="AL19" s="371" t="s">
        <v>772</v>
      </c>
      <c r="AM19" s="372" t="s">
        <v>773</v>
      </c>
    </row>
    <row r="20">
      <c r="A20" s="368" t="s">
        <v>775</v>
      </c>
      <c r="B20" s="89" t="s">
        <v>776</v>
      </c>
      <c r="C20" s="90" t="s">
        <v>137</v>
      </c>
      <c r="D20" s="89" t="s">
        <v>777</v>
      </c>
      <c r="E20" s="91" t="s">
        <v>778</v>
      </c>
      <c r="F20" s="92" t="s">
        <v>101</v>
      </c>
      <c r="G20" s="93" t="s">
        <v>779</v>
      </c>
      <c r="H20" s="89" t="s">
        <v>780</v>
      </c>
      <c r="I20" s="94" t="s">
        <v>781</v>
      </c>
      <c r="J20" s="89" t="s">
        <v>782</v>
      </c>
      <c r="K20" s="96" t="s">
        <v>783</v>
      </c>
      <c r="L20" s="97"/>
      <c r="M20" s="94"/>
      <c r="N20" s="98"/>
      <c r="O20" s="94"/>
      <c r="P20" s="94"/>
      <c r="Q20" s="94"/>
      <c r="R20" s="369" t="str">
        <f>HYPERLINK("https://pubmed.ncbi.nlm.nih.gov/27440404/", "van Sonderen (2016) - The Expanded Clinical Spectrum of Anti-LGI1 Encephalitis")</f>
        <v>van Sonderen (2016) - The Expanded Clinical Spectrum of Anti-LGI1 Encephalitis</v>
      </c>
      <c r="S20" s="370" t="str">
        <f>HYPERLINK("https://pubmed.ncbi.nlm.nih.gov/20655805/", "Lai (2010) - LGI1 as the Antigen in Limbic Encephalitis")</f>
        <v>Lai (2010) - LGI1 as the Antigen in Limbic Encephalitis</v>
      </c>
      <c r="T20" s="318" t="s">
        <v>784</v>
      </c>
      <c r="U20" s="89" t="s">
        <v>79</v>
      </c>
      <c r="V20" s="102" t="s">
        <v>785</v>
      </c>
      <c r="W20" s="89" t="s">
        <v>79</v>
      </c>
      <c r="X20" s="104" t="s">
        <v>785</v>
      </c>
      <c r="Y20" s="319"/>
      <c r="Z20" s="320"/>
      <c r="AA20" s="320"/>
      <c r="AB20" s="89"/>
      <c r="AC20" s="94"/>
      <c r="AD20" s="94"/>
      <c r="AE20" s="94"/>
      <c r="AF20" s="94"/>
      <c r="AG20" s="94"/>
      <c r="AH20" s="94"/>
      <c r="AI20" s="110" t="s">
        <v>787</v>
      </c>
      <c r="AJ20" s="110" t="s">
        <v>788</v>
      </c>
      <c r="AK20" s="111" t="s">
        <v>789</v>
      </c>
      <c r="AL20" s="371" t="s">
        <v>790</v>
      </c>
      <c r="AM20" s="372" t="s">
        <v>791</v>
      </c>
    </row>
    <row r="21">
      <c r="A21" s="368" t="s">
        <v>792</v>
      </c>
      <c r="B21" s="89" t="s">
        <v>793</v>
      </c>
      <c r="C21" s="90" t="s">
        <v>137</v>
      </c>
      <c r="D21" s="89" t="s">
        <v>794</v>
      </c>
      <c r="E21" s="91" t="s">
        <v>795</v>
      </c>
      <c r="F21" s="92" t="s">
        <v>101</v>
      </c>
      <c r="G21" s="93" t="s">
        <v>796</v>
      </c>
      <c r="H21" s="89" t="s">
        <v>797</v>
      </c>
      <c r="I21" s="94" t="s">
        <v>798</v>
      </c>
      <c r="J21" s="89" t="s">
        <v>799</v>
      </c>
      <c r="K21" s="96" t="s">
        <v>800</v>
      </c>
      <c r="L21" s="97"/>
      <c r="M21" s="94"/>
      <c r="N21" s="98"/>
      <c r="O21" s="94"/>
      <c r="P21" s="94"/>
      <c r="Q21" s="94"/>
      <c r="R21" s="369" t="str">
        <f>HYPERLINK("https://pubmed.ncbi.nlm.nih.gov/31102008/", "Dalakas (2019) - Pathogenesis and Treatment of Anti-MAG Neuropathy")</f>
        <v>Dalakas (2019) - Pathogenesis and Treatment of Anti-MAG Neuropathy</v>
      </c>
      <c r="S21" s="370" t="str">
        <f>HYPERLINK("https://pubmed.ncbi.nlm.nih.gov/6157100/", "Latov (1980) - Neuropathy with Monoclonal Antibody to Myelin (Anti-MAG)")</f>
        <v>Latov (1980) - Neuropathy with Monoclonal Antibody to Myelin (Anti-MAG)</v>
      </c>
      <c r="T21" s="318" t="s">
        <v>804</v>
      </c>
      <c r="U21" s="89" t="s">
        <v>150</v>
      </c>
      <c r="V21" s="102" t="s">
        <v>805</v>
      </c>
      <c r="W21" s="89" t="s">
        <v>150</v>
      </c>
      <c r="X21" s="104" t="s">
        <v>805</v>
      </c>
      <c r="Y21" s="319"/>
      <c r="Z21" s="320"/>
      <c r="AA21" s="320"/>
      <c r="AB21" s="89"/>
      <c r="AC21" s="94"/>
      <c r="AD21" s="94"/>
      <c r="AE21" s="94"/>
      <c r="AF21" s="94"/>
      <c r="AG21" s="94"/>
      <c r="AH21" s="94"/>
      <c r="AI21" s="110" t="s">
        <v>808</v>
      </c>
      <c r="AJ21" s="110" t="s">
        <v>809</v>
      </c>
      <c r="AK21" s="111" t="s">
        <v>811</v>
      </c>
      <c r="AL21" s="371" t="s">
        <v>812</v>
      </c>
      <c r="AM21" s="372" t="s">
        <v>813</v>
      </c>
    </row>
    <row r="22">
      <c r="A22" s="231" t="s">
        <v>814</v>
      </c>
      <c r="B22" s="203" t="s">
        <v>815</v>
      </c>
      <c r="C22" s="204" t="s">
        <v>137</v>
      </c>
      <c r="D22" s="203" t="s">
        <v>816</v>
      </c>
      <c r="E22" s="205" t="s">
        <v>817</v>
      </c>
      <c r="F22" s="206" t="s">
        <v>234</v>
      </c>
      <c r="G22" s="208" t="s">
        <v>818</v>
      </c>
      <c r="H22" s="203" t="s">
        <v>819</v>
      </c>
      <c r="I22" s="209" t="s">
        <v>820</v>
      </c>
      <c r="J22" s="203" t="s">
        <v>821</v>
      </c>
      <c r="K22" s="210" t="s">
        <v>823</v>
      </c>
      <c r="L22" s="212"/>
      <c r="M22" s="209"/>
      <c r="N22" s="213"/>
      <c r="O22" s="209"/>
      <c r="P22" s="209"/>
      <c r="Q22" s="209"/>
      <c r="R22" s="217" t="str">
        <f>HYPERLINK("https://pubmed.ncbi.nlm.nih.gov/34298453/", "Nombel (2021) - Anti-MDA5 Antibody-Associated Dermatomyositis")</f>
        <v>Nombel (2021) - Anti-MDA5 Antibody-Associated Dermatomyositis</v>
      </c>
      <c r="S22" s="238" t="str">
        <f>HYPERLINK("https://pubmed.ncbi.nlm.nih.gov/15818616/", "Sato (2005) - CADM-140/MDA5 Antibodies in Amyopathic Dermatomyositis")</f>
        <v>Sato (2005) - CADM-140/MDA5 Antibodies in Amyopathic Dermatomyositis</v>
      </c>
      <c r="T22" s="223" t="s">
        <v>827</v>
      </c>
      <c r="U22" s="203" t="s">
        <v>150</v>
      </c>
      <c r="V22" s="224" t="s">
        <v>828</v>
      </c>
      <c r="W22" s="203" t="s">
        <v>150</v>
      </c>
      <c r="X22" s="225" t="s">
        <v>828</v>
      </c>
      <c r="Y22" s="241"/>
      <c r="Z22" s="242"/>
      <c r="AA22" s="242"/>
      <c r="AB22" s="203"/>
      <c r="AC22" s="209"/>
      <c r="AD22" s="209"/>
      <c r="AE22" s="209"/>
      <c r="AF22" s="209"/>
      <c r="AG22" s="209"/>
      <c r="AH22" s="209"/>
      <c r="AI22" s="227" t="s">
        <v>831</v>
      </c>
      <c r="AJ22" s="227" t="s">
        <v>833</v>
      </c>
      <c r="AK22" s="228" t="s">
        <v>834</v>
      </c>
      <c r="AL22" s="290" t="s">
        <v>835</v>
      </c>
      <c r="AM22" s="291" t="s">
        <v>836</v>
      </c>
    </row>
    <row r="23">
      <c r="A23" s="292" t="s">
        <v>837</v>
      </c>
      <c r="B23" s="294" t="s">
        <v>838</v>
      </c>
      <c r="C23" s="295" t="s">
        <v>137</v>
      </c>
      <c r="D23" s="294" t="s">
        <v>840</v>
      </c>
      <c r="E23" s="296" t="s">
        <v>841</v>
      </c>
      <c r="F23" s="298" t="s">
        <v>385</v>
      </c>
      <c r="G23" s="299" t="s">
        <v>842</v>
      </c>
      <c r="H23" s="294" t="s">
        <v>844</v>
      </c>
      <c r="I23" s="300" t="s">
        <v>846</v>
      </c>
      <c r="J23" s="294" t="s">
        <v>848</v>
      </c>
      <c r="K23" s="301" t="s">
        <v>849</v>
      </c>
      <c r="L23" s="302"/>
      <c r="M23" s="303"/>
      <c r="N23" s="304"/>
      <c r="O23" s="303"/>
      <c r="P23" s="303"/>
      <c r="Q23" s="303"/>
      <c r="R23" s="305" t="str">
        <f>HYPERLINK("https://pubmed.ncbi.nlm.nih.gov/28430263/", "Albayda (2017) - Clinical Phenotype and Imaging of Anti-NXP2 Myositis")</f>
        <v>Albayda (2017) - Clinical Phenotype and Imaging of Anti-NXP2 Myositis</v>
      </c>
      <c r="S23" s="373" t="str">
        <f>HYPERLINK("https://pubmed.ncbi.nlm.nih.gov/22461417/", "Ichimura (2012) - Anti-NXP2 Autoantibodies in Juvenile and Adult Dermatomyositis")</f>
        <v>Ichimura (2012) - Anti-NXP2 Autoantibodies in Juvenile and Adult Dermatomyositis</v>
      </c>
      <c r="T23" s="307" t="s">
        <v>850</v>
      </c>
      <c r="U23" s="294" t="s">
        <v>150</v>
      </c>
      <c r="V23" s="308" t="s">
        <v>852</v>
      </c>
      <c r="W23" s="294" t="s">
        <v>150</v>
      </c>
      <c r="X23" s="309" t="s">
        <v>852</v>
      </c>
      <c r="Y23" s="374"/>
      <c r="Z23" s="375"/>
      <c r="AA23" s="375"/>
      <c r="AB23" s="294"/>
      <c r="AC23" s="303"/>
      <c r="AD23" s="303"/>
      <c r="AE23" s="303"/>
      <c r="AF23" s="303"/>
      <c r="AG23" s="303"/>
      <c r="AH23" s="303"/>
      <c r="AI23" s="311" t="s">
        <v>855</v>
      </c>
      <c r="AJ23" s="311" t="s">
        <v>856</v>
      </c>
      <c r="AK23" s="312" t="s">
        <v>857</v>
      </c>
      <c r="AL23" s="313" t="s">
        <v>858</v>
      </c>
      <c r="AM23" s="314" t="s">
        <v>860</v>
      </c>
    </row>
    <row r="24">
      <c r="A24" s="114" t="s">
        <v>186</v>
      </c>
      <c r="B24" s="115" t="s">
        <v>861</v>
      </c>
      <c r="C24" s="116" t="s">
        <v>59</v>
      </c>
      <c r="D24" s="115" t="s">
        <v>863</v>
      </c>
      <c r="E24" s="118" t="s">
        <v>864</v>
      </c>
      <c r="F24" s="120" t="s">
        <v>133</v>
      </c>
      <c r="G24" s="121" t="s">
        <v>865</v>
      </c>
      <c r="H24" s="115" t="s">
        <v>867</v>
      </c>
      <c r="I24" s="125" t="s">
        <v>868</v>
      </c>
      <c r="J24" s="115" t="s">
        <v>870</v>
      </c>
      <c r="K24" s="128" t="s">
        <v>871</v>
      </c>
      <c r="L24" s="129" t="s">
        <v>71</v>
      </c>
      <c r="M24" s="125"/>
      <c r="N24" s="132"/>
      <c r="O24" s="125"/>
      <c r="P24" s="125"/>
      <c r="Q24" s="125"/>
      <c r="R24" s="376" t="str">
        <f>HYPERLINK("https://pubmed.ncbi.nlm.nih.gov/32855438/", "Kitching (2020) - ANCA-Associated Vasculitis")</f>
        <v>Kitching (2020) - ANCA-Associated Vasculitis</v>
      </c>
      <c r="S24" s="134" t="str">
        <f>HYPERLINK("https://pubmed.ncbi.nlm.nih.gov/28881446/", "Berti (2017) - Epidemiology of ANCA-Associated Vasculitis in Olmsted County")</f>
        <v>Berti (2017) - Epidemiology of ANCA-Associated Vasculitis in Olmsted County</v>
      </c>
      <c r="T24" s="135" t="s">
        <v>877</v>
      </c>
      <c r="U24" s="115" t="s">
        <v>150</v>
      </c>
      <c r="V24" s="136" t="s">
        <v>879</v>
      </c>
      <c r="W24" s="115" t="s">
        <v>150</v>
      </c>
      <c r="X24" s="137" t="s">
        <v>880</v>
      </c>
      <c r="Y24" s="76">
        <v>1.6</v>
      </c>
      <c r="Z24" s="78">
        <v>15.0</v>
      </c>
      <c r="AA24" s="78">
        <v>70.0</v>
      </c>
      <c r="AB24" s="115" t="s">
        <v>153</v>
      </c>
      <c r="AC24" s="125"/>
      <c r="AD24" s="125"/>
      <c r="AE24" s="125"/>
      <c r="AF24" s="125"/>
      <c r="AG24" s="125"/>
      <c r="AH24" s="125"/>
      <c r="AI24" s="138" t="s">
        <v>882</v>
      </c>
      <c r="AJ24" s="138" t="s">
        <v>883</v>
      </c>
      <c r="AK24" s="140" t="s">
        <v>885</v>
      </c>
      <c r="AL24" s="142" t="s">
        <v>886</v>
      </c>
      <c r="AM24" s="145" t="s">
        <v>887</v>
      </c>
    </row>
    <row r="25">
      <c r="A25" s="47" t="s">
        <v>215</v>
      </c>
      <c r="B25" s="48" t="s">
        <v>889</v>
      </c>
      <c r="C25" s="49" t="s">
        <v>59</v>
      </c>
      <c r="D25" s="48" t="s">
        <v>890</v>
      </c>
      <c r="E25" s="51" t="s">
        <v>892</v>
      </c>
      <c r="F25" s="53" t="s">
        <v>62</v>
      </c>
      <c r="G25" s="56" t="s">
        <v>893</v>
      </c>
      <c r="H25" s="48" t="s">
        <v>894</v>
      </c>
      <c r="I25" s="58" t="s">
        <v>895</v>
      </c>
      <c r="J25" s="48" t="s">
        <v>896</v>
      </c>
      <c r="K25" s="60" t="s">
        <v>897</v>
      </c>
      <c r="L25" s="63" t="s">
        <v>71</v>
      </c>
      <c r="M25" s="58"/>
      <c r="N25" s="65"/>
      <c r="O25" s="58"/>
      <c r="P25" s="58"/>
      <c r="Q25" s="58"/>
      <c r="R25" s="70" t="str">
        <f>HYPERLINK("https://pubmed.ncbi.nlm.nih.gov/29791828/", "Garcia (2018) - Diagnosis and Management of the Antiphospholipid Syndrome")</f>
        <v>Garcia (2018) - Diagnosis and Management of the Antiphospholipid Syndrome</v>
      </c>
      <c r="S25" s="71" t="str">
        <f>HYPERLINK("https://pubmed.ncbi.nlm.nih.gov/24461539/", "Gomez-Puerta (2014) - Diagnosis and Classification of Antiphospholipid Syndrome")</f>
        <v>Gomez-Puerta (2014) - Diagnosis and Classification of Antiphospholipid Syndrome</v>
      </c>
      <c r="T25" s="377" t="s">
        <v>899</v>
      </c>
      <c r="U25" s="48" t="s">
        <v>150</v>
      </c>
      <c r="V25" s="73" t="s">
        <v>901</v>
      </c>
      <c r="W25" s="48" t="s">
        <v>150</v>
      </c>
      <c r="X25" s="75" t="s">
        <v>901</v>
      </c>
      <c r="Y25" s="76">
        <v>2.8</v>
      </c>
      <c r="Z25" s="78">
        <v>3.0</v>
      </c>
      <c r="AA25" s="78">
        <v>35.0</v>
      </c>
      <c r="AB25" s="48" t="s">
        <v>153</v>
      </c>
      <c r="AC25" s="58"/>
      <c r="AD25" s="58"/>
      <c r="AE25" s="58"/>
      <c r="AF25" s="58"/>
      <c r="AG25" s="58"/>
      <c r="AH25" s="58"/>
      <c r="AI25" s="84" t="s">
        <v>903</v>
      </c>
      <c r="AJ25" s="84" t="s">
        <v>904</v>
      </c>
      <c r="AK25" s="85" t="s">
        <v>905</v>
      </c>
      <c r="AL25" s="379" t="s">
        <v>906</v>
      </c>
      <c r="AM25" s="380" t="s">
        <v>907</v>
      </c>
    </row>
    <row r="26">
      <c r="A26" s="201" t="s">
        <v>223</v>
      </c>
      <c r="B26" s="203" t="s">
        <v>909</v>
      </c>
      <c r="C26" s="204" t="s">
        <v>59</v>
      </c>
      <c r="D26" s="203" t="s">
        <v>911</v>
      </c>
      <c r="E26" s="205" t="s">
        <v>912</v>
      </c>
      <c r="F26" s="206" t="s">
        <v>234</v>
      </c>
      <c r="G26" s="208" t="s">
        <v>913</v>
      </c>
      <c r="H26" s="203" t="s">
        <v>914</v>
      </c>
      <c r="I26" s="209" t="s">
        <v>915</v>
      </c>
      <c r="J26" s="203" t="s">
        <v>916</v>
      </c>
      <c r="K26" s="210" t="s">
        <v>917</v>
      </c>
      <c r="L26" s="212" t="s">
        <v>71</v>
      </c>
      <c r="M26" s="209"/>
      <c r="N26" s="213"/>
      <c r="O26" s="209"/>
      <c r="P26" s="209"/>
      <c r="Q26" s="209"/>
      <c r="R26" s="217" t="str">
        <f>HYPERLINK("https://pubmed.ncbi.nlm.nih.gov/32770287/", "Marco (2020) - Antisynthetase Syndrome: A Distinct Clinical Entity")</f>
        <v>Marco (2020) - Antisynthetase Syndrome: A Distinct Clinical Entity</v>
      </c>
      <c r="S26" s="221" t="str">
        <f>HYPERLINK("https://pmc.ncbi.nlm.nih.gov/articles/PMC5394574/", "Cojocaru (2016) - New Insights into Antisynthetase Syndrome")</f>
        <v>Cojocaru (2016) - New Insights into Antisynthetase Syndrome</v>
      </c>
      <c r="T26" s="223" t="s">
        <v>921</v>
      </c>
      <c r="U26" s="203" t="s">
        <v>150</v>
      </c>
      <c r="V26" s="224" t="s">
        <v>922</v>
      </c>
      <c r="W26" s="203" t="s">
        <v>150</v>
      </c>
      <c r="X26" s="225" t="s">
        <v>923</v>
      </c>
      <c r="Y26" s="76">
        <v>0.0</v>
      </c>
      <c r="Z26" s="78">
        <v>43.0</v>
      </c>
      <c r="AA26" s="78">
        <v>60.0</v>
      </c>
      <c r="AB26" s="203" t="s">
        <v>153</v>
      </c>
      <c r="AC26" s="209"/>
      <c r="AD26" s="209"/>
      <c r="AE26" s="209"/>
      <c r="AF26" s="209"/>
      <c r="AG26" s="209"/>
      <c r="AH26" s="209"/>
      <c r="AI26" s="227" t="s">
        <v>926</v>
      </c>
      <c r="AJ26" s="227" t="s">
        <v>927</v>
      </c>
      <c r="AK26" s="228" t="s">
        <v>928</v>
      </c>
      <c r="AL26" s="381" t="s">
        <v>929</v>
      </c>
      <c r="AM26" s="382" t="s">
        <v>931</v>
      </c>
    </row>
    <row r="27">
      <c r="A27" s="47" t="s">
        <v>231</v>
      </c>
      <c r="B27" s="48" t="s">
        <v>231</v>
      </c>
      <c r="C27" s="49" t="s">
        <v>59</v>
      </c>
      <c r="D27" s="48" t="s">
        <v>933</v>
      </c>
      <c r="E27" s="51" t="s">
        <v>934</v>
      </c>
      <c r="F27" s="53" t="s">
        <v>62</v>
      </c>
      <c r="G27" s="56" t="s">
        <v>935</v>
      </c>
      <c r="H27" s="48" t="s">
        <v>936</v>
      </c>
      <c r="I27" s="58" t="s">
        <v>937</v>
      </c>
      <c r="J27" s="48" t="s">
        <v>938</v>
      </c>
      <c r="K27" s="60" t="s">
        <v>940</v>
      </c>
      <c r="L27" s="63" t="s">
        <v>941</v>
      </c>
      <c r="M27" s="58"/>
      <c r="N27" s="65"/>
      <c r="O27" s="58"/>
      <c r="P27" s="58"/>
      <c r="Q27" s="58"/>
      <c r="R27" s="70" t="str">
        <f>HYPERLINK("https://pubmed.ncbi.nlm.nih.gov/30354958/", "Young (2018) - Aplastic Anemia")</f>
        <v>Young (2018) - Aplastic Anemia</v>
      </c>
      <c r="S27" s="71" t="str">
        <f>HYPERLINK("https://pmc.ncbi.nlm.nih.gov/articles/PMC5622852/", "Vaht (2017) - Incidence and Outcome of Acquired Aplastic Anemia in Sweden")</f>
        <v>Vaht (2017) - Incidence and Outcome of Acquired Aplastic Anemia in Sweden</v>
      </c>
      <c r="T27" s="377" t="s">
        <v>945</v>
      </c>
      <c r="U27" s="48" t="s">
        <v>79</v>
      </c>
      <c r="V27" s="73" t="s">
        <v>946</v>
      </c>
      <c r="W27" s="48" t="s">
        <v>150</v>
      </c>
      <c r="X27" s="75" t="s">
        <v>947</v>
      </c>
      <c r="Y27" s="76">
        <v>1.2</v>
      </c>
      <c r="Z27" s="78">
        <v>15.0</v>
      </c>
      <c r="AA27" s="78">
        <v>25.0</v>
      </c>
      <c r="AB27" s="48" t="s">
        <v>153</v>
      </c>
      <c r="AC27" s="58"/>
      <c r="AD27" s="58"/>
      <c r="AE27" s="58"/>
      <c r="AF27" s="58"/>
      <c r="AG27" s="58"/>
      <c r="AH27" s="58"/>
      <c r="AI27" s="84" t="s">
        <v>948</v>
      </c>
      <c r="AJ27" s="84" t="s">
        <v>950</v>
      </c>
      <c r="AK27" s="85" t="s">
        <v>951</v>
      </c>
      <c r="AL27" s="379" t="s">
        <v>952</v>
      </c>
      <c r="AM27" s="380" t="s">
        <v>953</v>
      </c>
    </row>
    <row r="28">
      <c r="A28" s="201" t="s">
        <v>954</v>
      </c>
      <c r="B28" s="203" t="s">
        <v>955</v>
      </c>
      <c r="C28" s="204" t="s">
        <v>137</v>
      </c>
      <c r="D28" s="203" t="s">
        <v>956</v>
      </c>
      <c r="E28" s="205" t="s">
        <v>957</v>
      </c>
      <c r="F28" s="206" t="s">
        <v>234</v>
      </c>
      <c r="G28" s="208" t="s">
        <v>170</v>
      </c>
      <c r="H28" s="203" t="s">
        <v>958</v>
      </c>
      <c r="I28" s="209" t="s">
        <v>170</v>
      </c>
      <c r="J28" s="203" t="s">
        <v>137</v>
      </c>
      <c r="K28" s="210" t="s">
        <v>959</v>
      </c>
      <c r="L28" s="212"/>
      <c r="M28" s="286"/>
      <c r="N28" s="213"/>
      <c r="O28" s="286"/>
      <c r="P28" s="286"/>
      <c r="Q28" s="286"/>
      <c r="R28" s="390" t="str">
        <f>HYPERLINK("https://pubmed.ncbi.nlm.nih.gov/28408107/", "Watad (2017) - Autoimmune/Inflammatory Syndrome Induced by Adjuvants (ASIA)")</f>
        <v>Watad (2017) - Autoimmune/Inflammatory Syndrome Induced by Adjuvants (ASIA)</v>
      </c>
      <c r="S28" s="217" t="str">
        <f>HYPERLINK("https://pubmed.ncbi.nlm.nih.gov/20708902/", "Shoenfeld (2011) - ASIA: Autoimmune Syndrome Induced by Adjuvants")</f>
        <v>Shoenfeld (2011) - ASIA: Autoimmune Syndrome Induced by Adjuvants</v>
      </c>
      <c r="T28" s="223" t="s">
        <v>965</v>
      </c>
      <c r="U28" s="203" t="s">
        <v>150</v>
      </c>
      <c r="V28" s="224" t="s">
        <v>285</v>
      </c>
      <c r="W28" s="203" t="s">
        <v>150</v>
      </c>
      <c r="X28" s="225" t="s">
        <v>285</v>
      </c>
      <c r="Y28" s="241"/>
      <c r="Z28" s="242"/>
      <c r="AA28" s="242"/>
      <c r="AB28" s="203"/>
      <c r="AC28" s="286"/>
      <c r="AD28" s="286"/>
      <c r="AE28" s="286"/>
      <c r="AF28" s="286"/>
      <c r="AG28" s="286"/>
      <c r="AH28" s="286"/>
      <c r="AI28" s="227" t="s">
        <v>970</v>
      </c>
      <c r="AJ28" s="227" t="s">
        <v>971</v>
      </c>
      <c r="AK28" s="228" t="s">
        <v>972</v>
      </c>
      <c r="AL28" s="391" t="s">
        <v>974</v>
      </c>
      <c r="AM28" s="392" t="s">
        <v>975</v>
      </c>
    </row>
    <row r="29">
      <c r="A29" s="47" t="s">
        <v>976</v>
      </c>
      <c r="B29" s="48" t="s">
        <v>977</v>
      </c>
      <c r="C29" s="49" t="s">
        <v>137</v>
      </c>
      <c r="D29" s="48" t="s">
        <v>978</v>
      </c>
      <c r="E29" s="51" t="s">
        <v>980</v>
      </c>
      <c r="F29" s="53" t="s">
        <v>62</v>
      </c>
      <c r="G29" s="56" t="s">
        <v>981</v>
      </c>
      <c r="H29" s="48" t="s">
        <v>982</v>
      </c>
      <c r="I29" s="58" t="s">
        <v>983</v>
      </c>
      <c r="J29" s="48" t="s">
        <v>984</v>
      </c>
      <c r="K29" s="60" t="s">
        <v>986</v>
      </c>
      <c r="L29" s="63"/>
      <c r="M29" s="394"/>
      <c r="N29" s="65"/>
      <c r="O29" s="394"/>
      <c r="P29" s="394"/>
      <c r="Q29" s="394"/>
      <c r="R29" s="395" t="str">
        <f>HYPERLINK("https://pubmed.ncbi.nlm.nih.gov/28237250/", "Fakhouri (2017) - Haemolytic Uraemic Syndrome")</f>
        <v>Fakhouri (2017) - Haemolytic Uraemic Syndrome</v>
      </c>
      <c r="S29" s="70" t="str">
        <f>HYPERLINK("https://pubmed.ncbi.nlm.nih.gov/15677334/", "Dragon-Durey (2005) - Anti-Factor H Autoantibodies in Atypical HUS")</f>
        <v>Dragon-Durey (2005) - Anti-Factor H Autoantibodies in Atypical HUS</v>
      </c>
      <c r="T29" s="377" t="s">
        <v>992</v>
      </c>
      <c r="U29" s="48" t="s">
        <v>150</v>
      </c>
      <c r="V29" s="73" t="s">
        <v>284</v>
      </c>
      <c r="W29" s="48" t="s">
        <v>150</v>
      </c>
      <c r="X29" s="75" t="s">
        <v>284</v>
      </c>
      <c r="Y29" s="396"/>
      <c r="Z29" s="397"/>
      <c r="AA29" s="397"/>
      <c r="AB29" s="48"/>
      <c r="AC29" s="394"/>
      <c r="AD29" s="394"/>
      <c r="AE29" s="394"/>
      <c r="AF29" s="394"/>
      <c r="AG29" s="394"/>
      <c r="AH29" s="394"/>
      <c r="AI29" s="84" t="s">
        <v>994</v>
      </c>
      <c r="AJ29" s="84" t="s">
        <v>995</v>
      </c>
      <c r="AK29" s="85" t="s">
        <v>996</v>
      </c>
      <c r="AL29" s="379" t="s">
        <v>997</v>
      </c>
      <c r="AM29" s="380" t="s">
        <v>999</v>
      </c>
    </row>
    <row r="30">
      <c r="A30" s="148" t="s">
        <v>235</v>
      </c>
      <c r="B30" s="149" t="s">
        <v>1000</v>
      </c>
      <c r="C30" s="150" t="s">
        <v>59</v>
      </c>
      <c r="D30" s="149" t="s">
        <v>1003</v>
      </c>
      <c r="E30" s="152" t="s">
        <v>1004</v>
      </c>
      <c r="F30" s="153" t="s">
        <v>168</v>
      </c>
      <c r="G30" s="156" t="s">
        <v>1006</v>
      </c>
      <c r="H30" s="149" t="s">
        <v>1008</v>
      </c>
      <c r="I30" s="158" t="s">
        <v>1009</v>
      </c>
      <c r="J30" s="149" t="s">
        <v>1010</v>
      </c>
      <c r="K30" s="161" t="s">
        <v>1011</v>
      </c>
      <c r="L30" s="162" t="s">
        <v>1012</v>
      </c>
      <c r="M30" s="163"/>
      <c r="N30" s="164"/>
      <c r="O30" s="163"/>
      <c r="P30" s="163"/>
      <c r="Q30" s="163"/>
      <c r="R30" s="399" t="str">
        <f>HYPERLINK("[link removed]", "Cicardi (2014) - Acquired Angioedema: Consensus Document on Diagnosis and Treatment")</f>
        <v>Cicardi (2014) - Acquired Angioedema: Consensus Document on Diagnosis and Treatment</v>
      </c>
      <c r="S30" s="275" t="str">
        <f>HYPERLINK("https://pubmed.ncbi.nlm.nih.gov/24647380/", "Cicardi (2014) - Classification and Management of Acquired Angioedema")</f>
        <v>Cicardi (2014) - Classification and Management of Acquired Angioedema</v>
      </c>
      <c r="T30" s="167" t="s">
        <v>1023</v>
      </c>
      <c r="U30" s="149" t="s">
        <v>150</v>
      </c>
      <c r="V30" s="168" t="s">
        <v>1024</v>
      </c>
      <c r="W30" s="149" t="s">
        <v>150</v>
      </c>
      <c r="X30" s="169" t="s">
        <v>1024</v>
      </c>
      <c r="Y30" s="76">
        <v>0.0</v>
      </c>
      <c r="Z30" s="289"/>
      <c r="AA30" s="289"/>
      <c r="AB30" s="149" t="s">
        <v>137</v>
      </c>
      <c r="AC30" s="163"/>
      <c r="AD30" s="163"/>
      <c r="AE30" s="163"/>
      <c r="AF30" s="163"/>
      <c r="AG30" s="163"/>
      <c r="AH30" s="163"/>
      <c r="AI30" s="171" t="s">
        <v>1025</v>
      </c>
      <c r="AJ30" s="171" t="s">
        <v>1026</v>
      </c>
      <c r="AK30" s="172" t="s">
        <v>1027</v>
      </c>
      <c r="AL30" s="173" t="s">
        <v>1028</v>
      </c>
      <c r="AM30" s="174" t="s">
        <v>1029</v>
      </c>
    </row>
    <row r="31">
      <c r="A31" s="114" t="s">
        <v>1030</v>
      </c>
      <c r="B31" s="115" t="s">
        <v>1031</v>
      </c>
      <c r="C31" s="116" t="s">
        <v>137</v>
      </c>
      <c r="D31" s="115" t="s">
        <v>1033</v>
      </c>
      <c r="E31" s="118" t="s">
        <v>1034</v>
      </c>
      <c r="F31" s="120" t="s">
        <v>133</v>
      </c>
      <c r="G31" s="121" t="s">
        <v>170</v>
      </c>
      <c r="H31" s="115" t="s">
        <v>1036</v>
      </c>
      <c r="I31" s="125" t="s">
        <v>170</v>
      </c>
      <c r="J31" s="115" t="s">
        <v>1037</v>
      </c>
      <c r="K31" s="128" t="s">
        <v>1038</v>
      </c>
      <c r="L31" s="129"/>
      <c r="M31" s="130"/>
      <c r="N31" s="132"/>
      <c r="O31" s="130"/>
      <c r="P31" s="130"/>
      <c r="Q31" s="130"/>
      <c r="R31" s="133" t="str">
        <f>HYPERLINK("https://pubmed.ncbi.nlm.nih.gov/26422724/", "Stone (2015) - Aortitis and Ascending Aortitis")</f>
        <v>Stone (2015) - Aortitis and Ascending Aortitis</v>
      </c>
      <c r="S31" s="376" t="str">
        <f>HYPERLINK("https://pubmed.ncbi.nlm.nih.gov/26099307/", "Stone (2015) - Surgical Pathology and Classification of Autoimmune Aortitis")</f>
        <v>Stone (2015) - Surgical Pathology and Classification of Autoimmune Aortitis</v>
      </c>
      <c r="T31" s="135" t="s">
        <v>1043</v>
      </c>
      <c r="U31" s="115" t="s">
        <v>150</v>
      </c>
      <c r="V31" s="136" t="s">
        <v>805</v>
      </c>
      <c r="W31" s="115" t="s">
        <v>150</v>
      </c>
      <c r="X31" s="137" t="s">
        <v>805</v>
      </c>
      <c r="Y31" s="408"/>
      <c r="Z31" s="409"/>
      <c r="AA31" s="409"/>
      <c r="AB31" s="115"/>
      <c r="AC31" s="130"/>
      <c r="AD31" s="130"/>
      <c r="AE31" s="130"/>
      <c r="AF31" s="130"/>
      <c r="AG31" s="130"/>
      <c r="AH31" s="130"/>
      <c r="AI31" s="138" t="s">
        <v>1047</v>
      </c>
      <c r="AJ31" s="138" t="s">
        <v>1048</v>
      </c>
      <c r="AK31" s="140" t="s">
        <v>1050</v>
      </c>
      <c r="AL31" s="142" t="s">
        <v>1051</v>
      </c>
      <c r="AM31" s="145" t="s">
        <v>1053</v>
      </c>
    </row>
    <row r="32">
      <c r="A32" s="88" t="s">
        <v>1055</v>
      </c>
      <c r="B32" s="89" t="s">
        <v>1056</v>
      </c>
      <c r="C32" s="90" t="s">
        <v>137</v>
      </c>
      <c r="D32" s="89" t="s">
        <v>1058</v>
      </c>
      <c r="E32" s="91" t="s">
        <v>1059</v>
      </c>
      <c r="F32" s="92" t="s">
        <v>101</v>
      </c>
      <c r="G32" s="93" t="s">
        <v>1061</v>
      </c>
      <c r="H32" s="89" t="s">
        <v>1062</v>
      </c>
      <c r="I32" s="94" t="s">
        <v>1063</v>
      </c>
      <c r="J32" s="89" t="s">
        <v>1064</v>
      </c>
      <c r="K32" s="96" t="s">
        <v>1066</v>
      </c>
      <c r="L32" s="97"/>
      <c r="M32" s="316"/>
      <c r="N32" s="98"/>
      <c r="O32" s="316"/>
      <c r="P32" s="316"/>
      <c r="Q32" s="316"/>
      <c r="R32" s="317" t="str">
        <f>HYPERLINK("https://pubmed.ncbi.nlm.nih.gov/30817416/", "Gibbons (2019) - Autoimmune Autonomic Ganglionopathy")</f>
        <v>Gibbons (2019) - Autoimmune Autonomic Ganglionopathy</v>
      </c>
      <c r="S32" s="369" t="str">
        <f>HYPERLINK("https://pubmed.ncbi.nlm.nih.gov/11006367/", "Vernino (2000) - Autoantibodies to Ganglionic AChR in Autonomic Neuropathy")</f>
        <v>Vernino (2000) - Autoantibodies to Ganglionic AChR in Autonomic Neuropathy</v>
      </c>
      <c r="T32" s="318" t="s">
        <v>1072</v>
      </c>
      <c r="U32" s="89" t="s">
        <v>150</v>
      </c>
      <c r="V32" s="102" t="s">
        <v>284</v>
      </c>
      <c r="W32" s="89" t="s">
        <v>150</v>
      </c>
      <c r="X32" s="104" t="s">
        <v>284</v>
      </c>
      <c r="Y32" s="319"/>
      <c r="Z32" s="320"/>
      <c r="AA32" s="320"/>
      <c r="AB32" s="89"/>
      <c r="AC32" s="316"/>
      <c r="AD32" s="316"/>
      <c r="AE32" s="316"/>
      <c r="AF32" s="316"/>
      <c r="AG32" s="316"/>
      <c r="AH32" s="316"/>
      <c r="AI32" s="110" t="s">
        <v>1076</v>
      </c>
      <c r="AJ32" s="110" t="s">
        <v>1077</v>
      </c>
      <c r="AK32" s="111" t="s">
        <v>1079</v>
      </c>
      <c r="AL32" s="112" t="s">
        <v>1080</v>
      </c>
      <c r="AM32" s="113" t="s">
        <v>1081</v>
      </c>
    </row>
    <row r="33">
      <c r="A33" s="88" t="s">
        <v>1083</v>
      </c>
      <c r="B33" s="89" t="s">
        <v>1084</v>
      </c>
      <c r="C33" s="90" t="s">
        <v>137</v>
      </c>
      <c r="D33" s="89" t="s">
        <v>1085</v>
      </c>
      <c r="E33" s="91" t="s">
        <v>1087</v>
      </c>
      <c r="F33" s="92" t="s">
        <v>101</v>
      </c>
      <c r="G33" s="93" t="s">
        <v>1088</v>
      </c>
      <c r="H33" s="89" t="s">
        <v>1089</v>
      </c>
      <c r="I33" s="94" t="s">
        <v>1091</v>
      </c>
      <c r="J33" s="89" t="s">
        <v>1092</v>
      </c>
      <c r="K33" s="96" t="s">
        <v>1093</v>
      </c>
      <c r="L33" s="97"/>
      <c r="M33" s="316"/>
      <c r="N33" s="98"/>
      <c r="O33" s="316"/>
      <c r="P33" s="316"/>
      <c r="Q33" s="316"/>
      <c r="R33" s="317" t="str">
        <f>HYPERLINK("[link removed]", "Mitoma (2016) - Consensus Paper: Neuroimmune Mechanisms of Cerebellar Ataxias")</f>
        <v>Mitoma (2016) - Consensus Paper: Neuroimmune Mechanisms of Cerebellar Ataxias</v>
      </c>
      <c r="S33" s="369" t="str">
        <f>HYPERLINK("https://pubmed.ncbi.nlm.nih.gov/18798263/", "Hadjivassiliou (2008) - Anti-GAD Autoimmune Cerebellar Ataxia")</f>
        <v>Hadjivassiliou (2008) - Anti-GAD Autoimmune Cerebellar Ataxia</v>
      </c>
      <c r="T33" s="318" t="s">
        <v>1099</v>
      </c>
      <c r="U33" s="89" t="s">
        <v>150</v>
      </c>
      <c r="V33" s="102" t="s">
        <v>805</v>
      </c>
      <c r="W33" s="89" t="s">
        <v>150</v>
      </c>
      <c r="X33" s="104" t="s">
        <v>805</v>
      </c>
      <c r="Y33" s="319"/>
      <c r="Z33" s="320"/>
      <c r="AA33" s="320"/>
      <c r="AB33" s="89"/>
      <c r="AC33" s="316"/>
      <c r="AD33" s="316"/>
      <c r="AE33" s="316"/>
      <c r="AF33" s="316"/>
      <c r="AG33" s="316"/>
      <c r="AH33" s="316"/>
      <c r="AI33" s="110" t="s">
        <v>1102</v>
      </c>
      <c r="AJ33" s="110" t="s">
        <v>1103</v>
      </c>
      <c r="AK33" s="111" t="s">
        <v>1104</v>
      </c>
      <c r="AL33" s="112" t="s">
        <v>1028</v>
      </c>
      <c r="AM33" s="113" t="s">
        <v>1106</v>
      </c>
    </row>
    <row r="34">
      <c r="A34" s="410" t="s">
        <v>1107</v>
      </c>
      <c r="B34" s="411" t="s">
        <v>1109</v>
      </c>
      <c r="C34" s="412" t="s">
        <v>137</v>
      </c>
      <c r="D34" s="411" t="s">
        <v>1112</v>
      </c>
      <c r="E34" s="413" t="s">
        <v>1113</v>
      </c>
      <c r="F34" s="414" t="s">
        <v>1114</v>
      </c>
      <c r="G34" s="415" t="s">
        <v>1116</v>
      </c>
      <c r="H34" s="411" t="s">
        <v>1117</v>
      </c>
      <c r="I34" s="416" t="s">
        <v>1120</v>
      </c>
      <c r="J34" s="411" t="s">
        <v>1121</v>
      </c>
      <c r="K34" s="418" t="s">
        <v>1122</v>
      </c>
      <c r="L34" s="419"/>
      <c r="M34" s="420"/>
      <c r="N34" s="421"/>
      <c r="O34" s="420"/>
      <c r="P34" s="420"/>
      <c r="Q34" s="420"/>
      <c r="R34" s="422" t="str">
        <f>HYPERLINK("https://pubmed.ncbi.nlm.nih.gov/28379796/", "Beigneux (2017) - Autoantibodies Against GPIHBP1 as a Cause of Hypertriglyceridemia")</f>
        <v>Beigneux (2017) - Autoantibodies Against GPIHBP1 as a Cause of Hypertriglyceridemia</v>
      </c>
      <c r="S34" s="423" t="str">
        <f>HYPERLINK("https://pubmed.ncbi.nlm.nih.gov/28379796/", "Beigneux (2017) - Autoantibodies Against GPIHBP1 in Hyperchylomicronemia")</f>
        <v>Beigneux (2017) - Autoantibodies Against GPIHBP1 in Hyperchylomicronemia</v>
      </c>
      <c r="T34" s="424" t="s">
        <v>1132</v>
      </c>
      <c r="U34" s="411" t="s">
        <v>150</v>
      </c>
      <c r="V34" s="425" t="s">
        <v>284</v>
      </c>
      <c r="W34" s="411" t="s">
        <v>150</v>
      </c>
      <c r="X34" s="426" t="s">
        <v>284</v>
      </c>
      <c r="Y34" s="427"/>
      <c r="Z34" s="428"/>
      <c r="AA34" s="428"/>
      <c r="AB34" s="411"/>
      <c r="AC34" s="420"/>
      <c r="AD34" s="420"/>
      <c r="AE34" s="420"/>
      <c r="AF34" s="420"/>
      <c r="AG34" s="420"/>
      <c r="AH34" s="420"/>
      <c r="AI34" s="429" t="s">
        <v>1139</v>
      </c>
      <c r="AJ34" s="429" t="s">
        <v>1140</v>
      </c>
      <c r="AK34" s="430" t="s">
        <v>1142</v>
      </c>
      <c r="AL34" s="431" t="s">
        <v>442</v>
      </c>
      <c r="AM34" s="432" t="s">
        <v>1144</v>
      </c>
    </row>
    <row r="35">
      <c r="A35" s="175" t="s">
        <v>1146</v>
      </c>
      <c r="B35" s="176" t="s">
        <v>1147</v>
      </c>
      <c r="C35" s="177" t="s">
        <v>137</v>
      </c>
      <c r="D35" s="176" t="s">
        <v>1149</v>
      </c>
      <c r="E35" s="178" t="s">
        <v>1150</v>
      </c>
      <c r="F35" s="179" t="s">
        <v>203</v>
      </c>
      <c r="G35" s="180" t="s">
        <v>1152</v>
      </c>
      <c r="H35" s="176" t="s">
        <v>1153</v>
      </c>
      <c r="I35" s="181" t="s">
        <v>1155</v>
      </c>
      <c r="J35" s="176" t="s">
        <v>1157</v>
      </c>
      <c r="K35" s="182" t="s">
        <v>1158</v>
      </c>
      <c r="L35" s="183"/>
      <c r="M35" s="433"/>
      <c r="N35" s="184"/>
      <c r="O35" s="433"/>
      <c r="P35" s="433"/>
      <c r="Q35" s="433"/>
      <c r="R35" s="434" t="str">
        <f>HYPERLINK("https://pubmed.ncbi.nlm.nih.gov/30883653/", "Pivonello (2019) - Central Diabetes Insipidus: A Comprehensive Update")</f>
        <v>Pivonello (2019) - Central Diabetes Insipidus: A Comprehensive Update</v>
      </c>
      <c r="S35" s="186" t="str">
        <f>HYPERLINK("https://pubmed.ncbi.nlm.nih.gov/15760417/", "Pivonello (2005) - Anti-Vasopressin Cell Antibodies in Central Diabetes Insipidus")</f>
        <v>Pivonello (2005) - Anti-Vasopressin Cell Antibodies in Central Diabetes Insipidus</v>
      </c>
      <c r="T35" s="188" t="s">
        <v>1164</v>
      </c>
      <c r="U35" s="176" t="s">
        <v>150</v>
      </c>
      <c r="V35" s="189" t="s">
        <v>285</v>
      </c>
      <c r="W35" s="176" t="s">
        <v>150</v>
      </c>
      <c r="X35" s="190" t="s">
        <v>285</v>
      </c>
      <c r="Y35" s="435"/>
      <c r="Z35" s="436"/>
      <c r="AA35" s="436"/>
      <c r="AB35" s="176"/>
      <c r="AC35" s="433"/>
      <c r="AD35" s="433"/>
      <c r="AE35" s="433"/>
      <c r="AF35" s="433"/>
      <c r="AG35" s="433"/>
      <c r="AH35" s="433"/>
      <c r="AI35" s="192" t="s">
        <v>1169</v>
      </c>
      <c r="AJ35" s="192" t="s">
        <v>1170</v>
      </c>
      <c r="AK35" s="194" t="s">
        <v>1171</v>
      </c>
      <c r="AL35" s="196" t="s">
        <v>442</v>
      </c>
      <c r="AM35" s="199" t="s">
        <v>1173</v>
      </c>
    </row>
    <row r="36">
      <c r="A36" s="88" t="s">
        <v>243</v>
      </c>
      <c r="B36" s="89" t="s">
        <v>1174</v>
      </c>
      <c r="C36" s="90" t="s">
        <v>59</v>
      </c>
      <c r="D36" s="89" t="s">
        <v>1176</v>
      </c>
      <c r="E36" s="91" t="s">
        <v>1177</v>
      </c>
      <c r="F36" s="92" t="s">
        <v>101</v>
      </c>
      <c r="G36" s="93" t="s">
        <v>1178</v>
      </c>
      <c r="H36" s="89" t="s">
        <v>1180</v>
      </c>
      <c r="I36" s="94" t="s">
        <v>1181</v>
      </c>
      <c r="J36" s="89" t="s">
        <v>1182</v>
      </c>
      <c r="K36" s="96" t="s">
        <v>1183</v>
      </c>
      <c r="L36" s="97" t="s">
        <v>1185</v>
      </c>
      <c r="M36" s="94"/>
      <c r="N36" s="98"/>
      <c r="O36" s="94"/>
      <c r="P36" s="94"/>
      <c r="Q36" s="94"/>
      <c r="R36" s="369" t="str">
        <f>HYPERLINK("https://pubmed.ncbi.nlm.nih.gov/25852445/", "Goodall (2015) - Current Understanding of Autoimmune Inner Ear Disease")</f>
        <v>Goodall (2015) - Current Understanding of Autoimmune Inner Ear Disease</v>
      </c>
      <c r="S36" s="370" t="str">
        <f>HYPERLINK("https://pubmed.ncbi.nlm.nih.gov/496229/", "McCabe (1979) - Autoimmune Sensorineural Hearing Loss")</f>
        <v>McCabe (1979) - Autoimmune Sensorineural Hearing Loss</v>
      </c>
      <c r="T36" s="318" t="s">
        <v>1190</v>
      </c>
      <c r="U36" s="89" t="s">
        <v>150</v>
      </c>
      <c r="V36" s="102" t="s">
        <v>148</v>
      </c>
      <c r="W36" s="89" t="s">
        <v>150</v>
      </c>
      <c r="X36" s="104" t="s">
        <v>1191</v>
      </c>
      <c r="Y36" s="76">
        <v>0.0</v>
      </c>
      <c r="Z36" s="289"/>
      <c r="AA36" s="289"/>
      <c r="AB36" s="89" t="s">
        <v>84</v>
      </c>
      <c r="AC36" s="94"/>
      <c r="AD36" s="94"/>
      <c r="AE36" s="94"/>
      <c r="AF36" s="94"/>
      <c r="AG36" s="94"/>
      <c r="AH36" s="94"/>
      <c r="AI36" s="110" t="s">
        <v>1195</v>
      </c>
      <c r="AJ36" s="110" t="s">
        <v>1196</v>
      </c>
      <c r="AK36" s="111" t="s">
        <v>1197</v>
      </c>
      <c r="AL36" s="438" t="s">
        <v>1198</v>
      </c>
      <c r="AM36" s="439" t="s">
        <v>1200</v>
      </c>
    </row>
    <row r="37">
      <c r="A37" s="88" t="s">
        <v>247</v>
      </c>
      <c r="B37" s="89" t="s">
        <v>1202</v>
      </c>
      <c r="C37" s="90" t="s">
        <v>59</v>
      </c>
      <c r="D37" s="89" t="s">
        <v>1203</v>
      </c>
      <c r="E37" s="91" t="s">
        <v>1204</v>
      </c>
      <c r="F37" s="92" t="s">
        <v>101</v>
      </c>
      <c r="G37" s="93" t="s">
        <v>1206</v>
      </c>
      <c r="H37" s="89" t="s">
        <v>1207</v>
      </c>
      <c r="I37" s="94" t="s">
        <v>1208</v>
      </c>
      <c r="J37" s="89" t="s">
        <v>1209</v>
      </c>
      <c r="K37" s="96" t="s">
        <v>1210</v>
      </c>
      <c r="L37" s="97" t="s">
        <v>71</v>
      </c>
      <c r="M37" s="94"/>
      <c r="N37" s="98"/>
      <c r="O37" s="94"/>
      <c r="P37" s="94"/>
      <c r="Q37" s="94"/>
      <c r="R37" s="369" t="str">
        <f>HYPERLINK("https://pubmed.ncbi.nlm.nih.gov/29490181/", "Dalmau (2018) - Antibody-Mediated Encephalitis")</f>
        <v>Dalmau (2018) - Antibody-Mediated Encephalitis</v>
      </c>
      <c r="S37" s="370" t="str">
        <f>HYPERLINK("https://pubmed.ncbi.nlm.nih.gov/26906964/", "Graus (2016) - A Clinical Approach to Diagnosis of Autoimmune Encephalitis")</f>
        <v>Graus (2016) - A Clinical Approach to Diagnosis of Autoimmune Encephalitis</v>
      </c>
      <c r="T37" s="318" t="s">
        <v>1213</v>
      </c>
      <c r="U37" s="89" t="s">
        <v>79</v>
      </c>
      <c r="V37" s="102" t="s">
        <v>805</v>
      </c>
      <c r="W37" s="89" t="s">
        <v>150</v>
      </c>
      <c r="X37" s="104" t="s">
        <v>1215</v>
      </c>
      <c r="Y37" s="76">
        <v>1.7</v>
      </c>
      <c r="Z37" s="78">
        <v>20.0</v>
      </c>
      <c r="AA37" s="78">
        <v>20.0</v>
      </c>
      <c r="AB37" s="89" t="s">
        <v>84</v>
      </c>
      <c r="AC37" s="94"/>
      <c r="AD37" s="94"/>
      <c r="AE37" s="94"/>
      <c r="AF37" s="94"/>
      <c r="AG37" s="94"/>
      <c r="AH37" s="94"/>
      <c r="AI37" s="110" t="s">
        <v>1218</v>
      </c>
      <c r="AJ37" s="110" t="s">
        <v>1219</v>
      </c>
      <c r="AK37" s="111" t="s">
        <v>1220</v>
      </c>
      <c r="AL37" s="112" t="s">
        <v>1221</v>
      </c>
      <c r="AM37" s="113" t="s">
        <v>1222</v>
      </c>
    </row>
    <row r="38">
      <c r="A38" s="88" t="s">
        <v>260</v>
      </c>
      <c r="B38" s="89" t="s">
        <v>1224</v>
      </c>
      <c r="C38" s="90" t="s">
        <v>59</v>
      </c>
      <c r="D38" s="89" t="s">
        <v>1226</v>
      </c>
      <c r="E38" s="91" t="s">
        <v>1227</v>
      </c>
      <c r="F38" s="92" t="s">
        <v>101</v>
      </c>
      <c r="G38" s="93" t="s">
        <v>1228</v>
      </c>
      <c r="H38" s="89" t="s">
        <v>1230</v>
      </c>
      <c r="I38" s="94" t="s">
        <v>1231</v>
      </c>
      <c r="J38" s="89" t="s">
        <v>1232</v>
      </c>
      <c r="K38" s="96" t="s">
        <v>1233</v>
      </c>
      <c r="L38" s="97" t="s">
        <v>71</v>
      </c>
      <c r="M38" s="94"/>
      <c r="N38" s="98"/>
      <c r="O38" s="94"/>
      <c r="P38" s="94"/>
      <c r="Q38" s="94"/>
      <c r="R38" s="99" t="str">
        <f>HYPERLINK("https://pubmed.ncbi.nlm.nih.gov/21163473/", "Dalmau (2011) - Clinical Experience and Laboratory Investigations with Anti-NMDAR Encephalitis")</f>
        <v>Dalmau (2011) - Clinical Experience and Laboratory Investigations with Anti-NMDAR Encephalitis</v>
      </c>
      <c r="S38" s="369" t="str">
        <f>HYPERLINK("https://pubmed.ncbi.nlm.nih.gov/17262855/", "Dalmau (2007) - Paraneoplastic Anti-NMDAR Encephalitis")</f>
        <v>Dalmau (2007) - Paraneoplastic Anti-NMDAR Encephalitis</v>
      </c>
      <c r="T38" s="318" t="s">
        <v>1238</v>
      </c>
      <c r="U38" s="89" t="s">
        <v>79</v>
      </c>
      <c r="V38" s="102" t="s">
        <v>1239</v>
      </c>
      <c r="W38" s="89" t="s">
        <v>79</v>
      </c>
      <c r="X38" s="104" t="s">
        <v>1241</v>
      </c>
      <c r="Y38" s="76">
        <v>0.0</v>
      </c>
      <c r="Z38" s="78">
        <v>18.0</v>
      </c>
      <c r="AA38" s="78">
        <v>35.0</v>
      </c>
      <c r="AB38" s="89" t="s">
        <v>153</v>
      </c>
      <c r="AC38" s="94"/>
      <c r="AD38" s="94"/>
      <c r="AE38" s="94"/>
      <c r="AF38" s="94"/>
      <c r="AG38" s="94"/>
      <c r="AH38" s="94"/>
      <c r="AI38" s="110" t="s">
        <v>1243</v>
      </c>
      <c r="AJ38" s="110" t="s">
        <v>1244</v>
      </c>
      <c r="AK38" s="111" t="s">
        <v>1245</v>
      </c>
      <c r="AL38" s="112" t="s">
        <v>1246</v>
      </c>
      <c r="AM38" s="113" t="s">
        <v>1247</v>
      </c>
    </row>
    <row r="39">
      <c r="A39" s="440" t="s">
        <v>300</v>
      </c>
      <c r="B39" s="441"/>
      <c r="C39" s="442" t="s">
        <v>59</v>
      </c>
      <c r="D39" s="441" t="s">
        <v>1251</v>
      </c>
      <c r="E39" s="443" t="s">
        <v>1252</v>
      </c>
      <c r="F39" s="444" t="s">
        <v>1254</v>
      </c>
      <c r="G39" s="445" t="s">
        <v>1255</v>
      </c>
      <c r="H39" s="441" t="s">
        <v>1256</v>
      </c>
      <c r="I39" s="446" t="s">
        <v>1257</v>
      </c>
      <c r="J39" s="441" t="s">
        <v>1258</v>
      </c>
      <c r="K39" s="447" t="s">
        <v>1260</v>
      </c>
      <c r="L39" s="448" t="s">
        <v>1261</v>
      </c>
      <c r="M39" s="449"/>
      <c r="N39" s="450"/>
      <c r="O39" s="449"/>
      <c r="P39" s="449"/>
      <c r="Q39" s="449"/>
      <c r="R39" s="451" t="str">
        <f>HYPERLINK("https://pubmed.ncbi.nlm.nih.gov/35187747/", "Gentile (2022) - Autoimmune Enteropathy: A Review")</f>
        <v>Gentile (2022) - Autoimmune Enteropathy: A Review</v>
      </c>
      <c r="S39" s="452" t="str">
        <f>HYPERLINK("https://pubmed.ncbi.nlm.nih.gov/2677271/", "Powell (1989) - Autoimmune Enteropathy and Circulating Gut Antibodies")</f>
        <v>Powell (1989) - Autoimmune Enteropathy and Circulating Gut Antibodies</v>
      </c>
      <c r="T39" s="453" t="s">
        <v>1269</v>
      </c>
      <c r="U39" s="441" t="s">
        <v>150</v>
      </c>
      <c r="V39" s="454" t="s">
        <v>284</v>
      </c>
      <c r="W39" s="441" t="s">
        <v>150</v>
      </c>
      <c r="X39" s="455" t="s">
        <v>284</v>
      </c>
      <c r="Y39" s="76"/>
      <c r="Z39" s="289"/>
      <c r="AA39" s="289"/>
      <c r="AB39" s="441" t="s">
        <v>153</v>
      </c>
      <c r="AC39" s="449"/>
      <c r="AD39" s="449"/>
      <c r="AE39" s="449"/>
      <c r="AF39" s="449"/>
      <c r="AG39" s="449"/>
      <c r="AH39" s="449"/>
      <c r="AI39" s="456" t="s">
        <v>1272</v>
      </c>
      <c r="AJ39" s="456" t="s">
        <v>1273</v>
      </c>
      <c r="AK39" s="457" t="s">
        <v>1275</v>
      </c>
      <c r="AL39" s="458" t="s">
        <v>1276</v>
      </c>
      <c r="AM39" s="459" t="s">
        <v>1278</v>
      </c>
    </row>
    <row r="40">
      <c r="A40" s="440" t="s">
        <v>278</v>
      </c>
      <c r="B40" s="441" t="s">
        <v>1280</v>
      </c>
      <c r="C40" s="442" t="s">
        <v>59</v>
      </c>
      <c r="D40" s="441" t="s">
        <v>1281</v>
      </c>
      <c r="E40" s="443" t="s">
        <v>1283</v>
      </c>
      <c r="F40" s="444" t="s">
        <v>1284</v>
      </c>
      <c r="G40" s="445" t="s">
        <v>1285</v>
      </c>
      <c r="H40" s="441" t="s">
        <v>1288</v>
      </c>
      <c r="I40" s="446" t="s">
        <v>1289</v>
      </c>
      <c r="J40" s="441" t="s">
        <v>1290</v>
      </c>
      <c r="K40" s="447" t="s">
        <v>1292</v>
      </c>
      <c r="L40" s="448" t="s">
        <v>1293</v>
      </c>
      <c r="M40" s="449"/>
      <c r="N40" s="450"/>
      <c r="O40" s="449"/>
      <c r="P40" s="449"/>
      <c r="Q40" s="449"/>
      <c r="R40" s="451" t="str">
        <f>HYPERLINK("[link removed]", "Lenti (2020) - Autoimmune Gastritis")</f>
        <v>Lenti (2020) - Autoimmune Gastritis</v>
      </c>
      <c r="S40" s="452" t="str">
        <f>HYPERLINK("https://pubmed.ncbi.nlm.nih.gov/9358143/", "Toh (1997) - Pernicious Anemia and Autoimmune Gastritis")</f>
        <v>Toh (1997) - Pernicious Anemia and Autoimmune Gastritis</v>
      </c>
      <c r="T40" s="453" t="s">
        <v>1295</v>
      </c>
      <c r="U40" s="441" t="s">
        <v>150</v>
      </c>
      <c r="V40" s="454" t="s">
        <v>1296</v>
      </c>
      <c r="W40" s="441" t="s">
        <v>150</v>
      </c>
      <c r="X40" s="455" t="s">
        <v>1298</v>
      </c>
      <c r="Y40" s="76"/>
      <c r="Z40" s="78">
        <v>60.0</v>
      </c>
      <c r="AA40" s="78">
        <v>60.0</v>
      </c>
      <c r="AB40" s="441" t="s">
        <v>153</v>
      </c>
      <c r="AC40" s="449"/>
      <c r="AD40" s="449"/>
      <c r="AE40" s="449"/>
      <c r="AF40" s="449"/>
      <c r="AG40" s="449"/>
      <c r="AH40" s="449"/>
      <c r="AI40" s="456" t="s">
        <v>1300</v>
      </c>
      <c r="AJ40" s="456" t="s">
        <v>1302</v>
      </c>
      <c r="AK40" s="457" t="s">
        <v>1303</v>
      </c>
      <c r="AL40" s="458" t="s">
        <v>1304</v>
      </c>
      <c r="AM40" s="459" t="s">
        <v>1305</v>
      </c>
    </row>
    <row r="41">
      <c r="A41" s="440" t="s">
        <v>1307</v>
      </c>
      <c r="B41" s="441" t="s">
        <v>1308</v>
      </c>
      <c r="C41" s="442" t="s">
        <v>137</v>
      </c>
      <c r="D41" s="441" t="s">
        <v>1309</v>
      </c>
      <c r="E41" s="443" t="s">
        <v>1310</v>
      </c>
      <c r="F41" s="444" t="s">
        <v>1312</v>
      </c>
      <c r="G41" s="445" t="s">
        <v>1313</v>
      </c>
      <c r="H41" s="441" t="s">
        <v>1314</v>
      </c>
      <c r="I41" s="449" t="s">
        <v>1315</v>
      </c>
      <c r="J41" s="441" t="s">
        <v>1316</v>
      </c>
      <c r="K41" s="447" t="s">
        <v>1318</v>
      </c>
      <c r="L41" s="448"/>
      <c r="M41" s="460"/>
      <c r="N41" s="450"/>
      <c r="O41" s="460"/>
      <c r="P41" s="460"/>
      <c r="Q41" s="460"/>
      <c r="R41" s="461" t="str">
        <f>HYPERLINK("https://pubmed.ncbi.nlm.nih.gov/31336058/", "Grover (2019) - Autoimmune Gastrointestinal Dysmotility")</f>
        <v>Grover (2019) - Autoimmune Gastrointestinal Dysmotility</v>
      </c>
      <c r="S41" s="451" t="str">
        <f>HYPERLINK("https://pubmed.ncbi.nlm.nih.gov/18482255/", "Dhamija (2008) - Autoimmune Gastrointestinal Dysmotility and Neural Antibodies")</f>
        <v>Dhamija (2008) - Autoimmune Gastrointestinal Dysmotility and Neural Antibodies</v>
      </c>
      <c r="T41" s="453" t="s">
        <v>1323</v>
      </c>
      <c r="U41" s="441" t="s">
        <v>150</v>
      </c>
      <c r="V41" s="454" t="s">
        <v>1324</v>
      </c>
      <c r="W41" s="441" t="s">
        <v>150</v>
      </c>
      <c r="X41" s="455" t="s">
        <v>1324</v>
      </c>
      <c r="Y41" s="462"/>
      <c r="Z41" s="463"/>
      <c r="AA41" s="463"/>
      <c r="AB41" s="441"/>
      <c r="AC41" s="460"/>
      <c r="AD41" s="460"/>
      <c r="AE41" s="460"/>
      <c r="AF41" s="460"/>
      <c r="AG41" s="460"/>
      <c r="AH41" s="460"/>
      <c r="AI41" s="456" t="s">
        <v>1328</v>
      </c>
      <c r="AJ41" s="456" t="s">
        <v>1329</v>
      </c>
      <c r="AK41" s="457" t="s">
        <v>1330</v>
      </c>
      <c r="AL41" s="458" t="s">
        <v>1331</v>
      </c>
      <c r="AM41" s="459" t="s">
        <v>1333</v>
      </c>
    </row>
    <row r="42">
      <c r="A42" s="88" t="s">
        <v>1334</v>
      </c>
      <c r="B42" s="89" t="s">
        <v>1335</v>
      </c>
      <c r="C42" s="90" t="s">
        <v>137</v>
      </c>
      <c r="D42" s="89" t="s">
        <v>1336</v>
      </c>
      <c r="E42" s="91" t="s">
        <v>1339</v>
      </c>
      <c r="F42" s="92" t="s">
        <v>101</v>
      </c>
      <c r="G42" s="93" t="s">
        <v>1340</v>
      </c>
      <c r="H42" s="89" t="s">
        <v>1341</v>
      </c>
      <c r="I42" s="94" t="s">
        <v>1342</v>
      </c>
      <c r="J42" s="89" t="s">
        <v>1343</v>
      </c>
      <c r="K42" s="96" t="s">
        <v>1344</v>
      </c>
      <c r="L42" s="97"/>
      <c r="M42" s="316"/>
      <c r="N42" s="98"/>
      <c r="O42" s="316"/>
      <c r="P42" s="316"/>
      <c r="Q42" s="316"/>
      <c r="R42" s="317" t="str">
        <f>HYPERLINK("https://pubmed.ncbi.nlm.nih.gov/30724768/", "Fang (2019) - Autoimmune Glial Fibrillary Acidic Protein Astrocytopathy")</f>
        <v>Fang (2019) - Autoimmune Glial Fibrillary Acidic Protein Astrocytopathy</v>
      </c>
      <c r="S42" s="369" t="str">
        <f>HYPERLINK("https://pubmed.ncbi.nlm.nih.gov/28843986/", "Flanagan (2017) - Autoimmune GFAP Astrocytopathy: A Novel Spectrum")</f>
        <v>Flanagan (2017) - Autoimmune GFAP Astrocytopathy: A Novel Spectrum</v>
      </c>
      <c r="T42" s="318" t="s">
        <v>1346</v>
      </c>
      <c r="U42" s="89" t="s">
        <v>79</v>
      </c>
      <c r="V42" s="102" t="s">
        <v>697</v>
      </c>
      <c r="W42" s="89" t="s">
        <v>79</v>
      </c>
      <c r="X42" s="104" t="s">
        <v>697</v>
      </c>
      <c r="Y42" s="319"/>
      <c r="Z42" s="320"/>
      <c r="AA42" s="320"/>
      <c r="AB42" s="89"/>
      <c r="AC42" s="316"/>
      <c r="AD42" s="316"/>
      <c r="AE42" s="316"/>
      <c r="AF42" s="316"/>
      <c r="AG42" s="316"/>
      <c r="AH42" s="316"/>
      <c r="AI42" s="110" t="s">
        <v>1348</v>
      </c>
      <c r="AJ42" s="110" t="s">
        <v>1349</v>
      </c>
      <c r="AK42" s="111" t="s">
        <v>1350</v>
      </c>
      <c r="AL42" s="112" t="s">
        <v>1351</v>
      </c>
      <c r="AM42" s="113" t="s">
        <v>1352</v>
      </c>
    </row>
    <row r="43">
      <c r="A43" s="47" t="s">
        <v>302</v>
      </c>
      <c r="B43" s="48" t="s">
        <v>1354</v>
      </c>
      <c r="C43" s="49" t="s">
        <v>59</v>
      </c>
      <c r="D43" s="48" t="s">
        <v>1356</v>
      </c>
      <c r="E43" s="51" t="s">
        <v>1357</v>
      </c>
      <c r="F43" s="53" t="s">
        <v>62</v>
      </c>
      <c r="G43" s="56" t="s">
        <v>1358</v>
      </c>
      <c r="H43" s="48" t="s">
        <v>1360</v>
      </c>
      <c r="I43" s="58" t="s">
        <v>1361</v>
      </c>
      <c r="J43" s="48" t="s">
        <v>1362</v>
      </c>
      <c r="K43" s="60" t="s">
        <v>1363</v>
      </c>
      <c r="L43" s="63" t="s">
        <v>71</v>
      </c>
      <c r="M43" s="394"/>
      <c r="N43" s="65"/>
      <c r="O43" s="394"/>
      <c r="P43" s="394"/>
      <c r="Q43" s="394"/>
      <c r="R43" s="395" t="str">
        <f>HYPERLINK("https://pubmed.ncbi.nlm.nih.gov/32670298/", "Barcellini (2020) - The Changing Landscape of Autoimmune Hemolytic Anemia")</f>
        <v>Barcellini (2020) - The Changing Landscape of Autoimmune Hemolytic Anemia</v>
      </c>
      <c r="S43" s="70" t="str">
        <f>HYPERLINK("https://pubmed.ncbi.nlm.nih.gov/24436329/", "Roumier (2014) - Characteristics and Outcome of Autoimmune Hemolytic Anemia")</f>
        <v>Roumier (2014) - Characteristics and Outcome of Autoimmune Hemolytic Anemia</v>
      </c>
      <c r="T43" s="377" t="s">
        <v>1368</v>
      </c>
      <c r="U43" s="48" t="s">
        <v>150</v>
      </c>
      <c r="V43" s="73" t="s">
        <v>1370</v>
      </c>
      <c r="W43" s="48" t="s">
        <v>150</v>
      </c>
      <c r="X43" s="466" t="s">
        <v>1370</v>
      </c>
      <c r="Y43" s="467"/>
      <c r="Z43" s="397">
        <v>50.0</v>
      </c>
      <c r="AA43" s="397">
        <v>75.0</v>
      </c>
      <c r="AB43" s="48" t="s">
        <v>153</v>
      </c>
      <c r="AC43" s="394"/>
      <c r="AD43" s="394"/>
      <c r="AE43" s="394"/>
      <c r="AF43" s="394"/>
      <c r="AG43" s="394"/>
      <c r="AH43" s="394"/>
      <c r="AI43" s="84" t="s">
        <v>1374</v>
      </c>
      <c r="AJ43" s="84" t="s">
        <v>1375</v>
      </c>
      <c r="AK43" s="85" t="s">
        <v>1376</v>
      </c>
      <c r="AL43" s="379" t="s">
        <v>1378</v>
      </c>
      <c r="AM43" s="380" t="s">
        <v>1379</v>
      </c>
    </row>
    <row r="44">
      <c r="A44" s="47" t="s">
        <v>1381</v>
      </c>
      <c r="B44" s="48" t="s">
        <v>1382</v>
      </c>
      <c r="C44" s="49" t="s">
        <v>137</v>
      </c>
      <c r="D44" s="48" t="s">
        <v>1383</v>
      </c>
      <c r="E44" s="51" t="s">
        <v>1385</v>
      </c>
      <c r="F44" s="53" t="s">
        <v>62</v>
      </c>
      <c r="G44" s="56" t="s">
        <v>1386</v>
      </c>
      <c r="H44" s="48" t="s">
        <v>1387</v>
      </c>
      <c r="I44" s="58" t="s">
        <v>1388</v>
      </c>
      <c r="J44" s="48" t="s">
        <v>1390</v>
      </c>
      <c r="K44" s="60" t="s">
        <v>1392</v>
      </c>
      <c r="L44" s="63"/>
      <c r="M44" s="394"/>
      <c r="N44" s="65"/>
      <c r="O44" s="394"/>
      <c r="P44" s="394"/>
      <c r="Q44" s="394"/>
      <c r="R44" s="395" t="str">
        <f>HYPERLINK("https://pubmed.ncbi.nlm.nih.gov/22421319/", "Franchini (2012) - Acquired Hemophilia B: A Systematic Review")</f>
        <v>Franchini (2012) - Acquired Hemophilia B: A Systematic Review</v>
      </c>
      <c r="S44" s="70" t="str">
        <f>HYPERLINK("https://pubmed.ncbi.nlm.nih.gov/30677202/", "Castaman (2019) - Acquired Hemophilia B Characterization and Management")</f>
        <v>Castaman (2019) - Acquired Hemophilia B Characterization and Management</v>
      </c>
      <c r="T44" s="377" t="s">
        <v>1393</v>
      </c>
      <c r="U44" s="48" t="s">
        <v>79</v>
      </c>
      <c r="V44" s="73" t="s">
        <v>1394</v>
      </c>
      <c r="W44" s="48" t="s">
        <v>79</v>
      </c>
      <c r="X44" s="75" t="s">
        <v>434</v>
      </c>
      <c r="Y44" s="396"/>
      <c r="Z44" s="397"/>
      <c r="AA44" s="397"/>
      <c r="AB44" s="48"/>
      <c r="AC44" s="394"/>
      <c r="AD44" s="394"/>
      <c r="AE44" s="394"/>
      <c r="AF44" s="394"/>
      <c r="AG44" s="394"/>
      <c r="AH44" s="394"/>
      <c r="AI44" s="84" t="s">
        <v>1395</v>
      </c>
      <c r="AJ44" s="84" t="s">
        <v>1396</v>
      </c>
      <c r="AK44" s="85" t="s">
        <v>1397</v>
      </c>
      <c r="AL44" s="379" t="s">
        <v>1398</v>
      </c>
      <c r="AM44" s="380" t="s">
        <v>1399</v>
      </c>
    </row>
    <row r="45">
      <c r="A45" s="469" t="s">
        <v>307</v>
      </c>
      <c r="B45" s="470" t="s">
        <v>1400</v>
      </c>
      <c r="C45" s="471" t="s">
        <v>59</v>
      </c>
      <c r="D45" s="470" t="s">
        <v>1402</v>
      </c>
      <c r="E45" s="472" t="s">
        <v>1403</v>
      </c>
      <c r="F45" s="473" t="s">
        <v>1404</v>
      </c>
      <c r="G45" s="474" t="s">
        <v>1407</v>
      </c>
      <c r="H45" s="470" t="s">
        <v>1408</v>
      </c>
      <c r="I45" s="475" t="s">
        <v>1409</v>
      </c>
      <c r="J45" s="470" t="s">
        <v>1410</v>
      </c>
      <c r="K45" s="476" t="s">
        <v>1412</v>
      </c>
      <c r="L45" s="477" t="s">
        <v>71</v>
      </c>
      <c r="M45" s="475"/>
      <c r="N45" s="478"/>
      <c r="O45" s="475"/>
      <c r="P45" s="475"/>
      <c r="Q45" s="475"/>
      <c r="R45" s="479" t="str">
        <f>HYPERLINK("https://pubmed.ncbi.nlm.nih.gov/29652243/", "Mieli-Vergani (2018) - Autoimmune Hepatitis")</f>
        <v>Mieli-Vergani (2018) - Autoimmune Hepatitis</v>
      </c>
      <c r="S45" s="480" t="str">
        <f>HYPERLINK("https://pubmed.ncbi.nlm.nih.gov/10580593/", "Alvarez (1999) - International Autoimmune Hepatitis Group Report")</f>
        <v>Alvarez (1999) - International Autoimmune Hepatitis Group Report</v>
      </c>
      <c r="T45" s="481" t="s">
        <v>1418</v>
      </c>
      <c r="U45" s="470" t="s">
        <v>150</v>
      </c>
      <c r="V45" s="482" t="s">
        <v>1420</v>
      </c>
      <c r="W45" s="470" t="s">
        <v>150</v>
      </c>
      <c r="X45" s="483" t="s">
        <v>1421</v>
      </c>
      <c r="Y45" s="76">
        <v>3.6</v>
      </c>
      <c r="Z45" s="78" t="s">
        <v>1422</v>
      </c>
      <c r="AA45" s="78" t="s">
        <v>1423</v>
      </c>
      <c r="AB45" s="470" t="s">
        <v>153</v>
      </c>
      <c r="AC45" s="475"/>
      <c r="AD45" s="475"/>
      <c r="AE45" s="475"/>
      <c r="AF45" s="475"/>
      <c r="AG45" s="475"/>
      <c r="AH45" s="475"/>
      <c r="AI45" s="485" t="s">
        <v>1424</v>
      </c>
      <c r="AJ45" s="485" t="s">
        <v>1426</v>
      </c>
      <c r="AK45" s="486" t="s">
        <v>1427</v>
      </c>
      <c r="AL45" s="487" t="s">
        <v>1429</v>
      </c>
      <c r="AM45" s="488" t="s">
        <v>1430</v>
      </c>
    </row>
    <row r="46">
      <c r="A46" s="175" t="s">
        <v>1431</v>
      </c>
      <c r="B46" s="176" t="s">
        <v>1432</v>
      </c>
      <c r="C46" s="177" t="s">
        <v>137</v>
      </c>
      <c r="D46" s="176" t="s">
        <v>1433</v>
      </c>
      <c r="E46" s="178" t="s">
        <v>1434</v>
      </c>
      <c r="F46" s="179" t="s">
        <v>203</v>
      </c>
      <c r="G46" s="180" t="s">
        <v>1435</v>
      </c>
      <c r="H46" s="176" t="s">
        <v>1436</v>
      </c>
      <c r="I46" s="181" t="s">
        <v>1437</v>
      </c>
      <c r="J46" s="176" t="s">
        <v>1438</v>
      </c>
      <c r="K46" s="182" t="s">
        <v>1439</v>
      </c>
      <c r="L46" s="183"/>
      <c r="M46" s="433"/>
      <c r="N46" s="184"/>
      <c r="O46" s="433"/>
      <c r="P46" s="433"/>
      <c r="Q46" s="433"/>
      <c r="R46" s="434" t="str">
        <f>HYPERLINK("https://pubmed.ncbi.nlm.nih.gov/36456608/", "Clarke (2022) - Hypoparathyroidism")</f>
        <v>Clarke (2022) - Hypoparathyroidism</v>
      </c>
      <c r="S46" s="186" t="str">
        <f>HYPERLINK("https://pubmed.ncbi.nlm.nih.gov/19832857/", "Kemp (2010) - Calcium-Sensing Receptor Autoantibodies in Hypoparathyroidism")</f>
        <v>Kemp (2010) - Calcium-Sensing Receptor Autoantibodies in Hypoparathyroidism</v>
      </c>
      <c r="T46" s="188" t="s">
        <v>1443</v>
      </c>
      <c r="U46" s="176" t="s">
        <v>150</v>
      </c>
      <c r="V46" s="189" t="s">
        <v>367</v>
      </c>
      <c r="W46" s="176" t="s">
        <v>150</v>
      </c>
      <c r="X46" s="190" t="s">
        <v>367</v>
      </c>
      <c r="Y46" s="435"/>
      <c r="Z46" s="436"/>
      <c r="AA46" s="436"/>
      <c r="AB46" s="176"/>
      <c r="AC46" s="433"/>
      <c r="AD46" s="433"/>
      <c r="AE46" s="433"/>
      <c r="AF46" s="433"/>
      <c r="AG46" s="433"/>
      <c r="AH46" s="433"/>
      <c r="AI46" s="192" t="s">
        <v>1448</v>
      </c>
      <c r="AJ46" s="192" t="s">
        <v>1449</v>
      </c>
      <c r="AK46" s="194" t="s">
        <v>1450</v>
      </c>
      <c r="AL46" s="196" t="s">
        <v>1451</v>
      </c>
      <c r="AM46" s="199" t="s">
        <v>1452</v>
      </c>
    </row>
    <row r="47">
      <c r="A47" s="175" t="s">
        <v>1454</v>
      </c>
      <c r="B47" s="176" t="s">
        <v>1455</v>
      </c>
      <c r="C47" s="177" t="s">
        <v>137</v>
      </c>
      <c r="D47" s="176" t="s">
        <v>1456</v>
      </c>
      <c r="E47" s="178" t="s">
        <v>1458</v>
      </c>
      <c r="F47" s="179" t="s">
        <v>203</v>
      </c>
      <c r="G47" s="180" t="s">
        <v>1459</v>
      </c>
      <c r="H47" s="176" t="s">
        <v>1460</v>
      </c>
      <c r="I47" s="181" t="s">
        <v>1461</v>
      </c>
      <c r="J47" s="176" t="s">
        <v>1463</v>
      </c>
      <c r="K47" s="182" t="s">
        <v>1464</v>
      </c>
      <c r="L47" s="183"/>
      <c r="M47" s="433"/>
      <c r="N47" s="184"/>
      <c r="O47" s="433"/>
      <c r="P47" s="433"/>
      <c r="Q47" s="433"/>
      <c r="R47" s="434" t="str">
        <f>HYPERLINK("[link removed]", "Caturegli (2014) - Hypophysitis: An Update")</f>
        <v>Caturegli (2014) - Hypophysitis: An Update</v>
      </c>
      <c r="S47" s="186" t="str">
        <f>HYPERLINK("https://pubmed.ncbi.nlm.nih.gov/15857973/", "Caturegli (2005) - Autoimmune Hypophysitis: Pathogenesis and Clinical Features")</f>
        <v>Caturegli (2005) - Autoimmune Hypophysitis: Pathogenesis and Clinical Features</v>
      </c>
      <c r="T47" s="188" t="s">
        <v>1468</v>
      </c>
      <c r="U47" s="176" t="s">
        <v>150</v>
      </c>
      <c r="V47" s="189" t="s">
        <v>1469</v>
      </c>
      <c r="W47" s="176" t="s">
        <v>150</v>
      </c>
      <c r="X47" s="190" t="s">
        <v>1469</v>
      </c>
      <c r="Y47" s="435"/>
      <c r="Z47" s="436"/>
      <c r="AA47" s="436"/>
      <c r="AB47" s="176"/>
      <c r="AC47" s="433"/>
      <c r="AD47" s="433"/>
      <c r="AE47" s="433"/>
      <c r="AF47" s="433"/>
      <c r="AG47" s="433"/>
      <c r="AH47" s="433"/>
      <c r="AI47" s="192" t="s">
        <v>1472</v>
      </c>
      <c r="AJ47" s="192" t="s">
        <v>1473</v>
      </c>
      <c r="AK47" s="194" t="s">
        <v>1474</v>
      </c>
      <c r="AL47" s="196" t="s">
        <v>1475</v>
      </c>
      <c r="AM47" s="199" t="s">
        <v>1477</v>
      </c>
    </row>
    <row r="48">
      <c r="A48" s="88" t="s">
        <v>1478</v>
      </c>
      <c r="B48" s="89" t="s">
        <v>1479</v>
      </c>
      <c r="C48" s="90" t="s">
        <v>137</v>
      </c>
      <c r="D48" s="89" t="s">
        <v>1481</v>
      </c>
      <c r="E48" s="91" t="s">
        <v>1482</v>
      </c>
      <c r="F48" s="92" t="s">
        <v>101</v>
      </c>
      <c r="G48" s="93" t="s">
        <v>170</v>
      </c>
      <c r="H48" s="89" t="s">
        <v>1483</v>
      </c>
      <c r="I48" s="94" t="s">
        <v>170</v>
      </c>
      <c r="J48" s="89" t="s">
        <v>1485</v>
      </c>
      <c r="K48" s="96" t="s">
        <v>1486</v>
      </c>
      <c r="L48" s="97"/>
      <c r="M48" s="316"/>
      <c r="N48" s="98"/>
      <c r="O48" s="316"/>
      <c r="P48" s="316"/>
      <c r="Q48" s="316"/>
      <c r="R48" s="317" t="str">
        <f>HYPERLINK("https://pubmed.ncbi.nlm.nih.gov/26906964/", "Graus (2016) - A Clinical Approach to Diagnosis of Autoimmune Encephalitis")</f>
        <v>Graus (2016) - A Clinical Approach to Diagnosis of Autoimmune Encephalitis</v>
      </c>
      <c r="S48" s="369" t="str">
        <f>HYPERLINK("https://pubmed.ncbi.nlm.nih.gov/26906964/", "Graus (2016) - Diagnostic Criteria for Seronegative Autoimmune Encephalitis")</f>
        <v>Graus (2016) - Diagnostic Criteria for Seronegative Autoimmune Encephalitis</v>
      </c>
      <c r="T48" s="318" t="s">
        <v>1490</v>
      </c>
      <c r="U48" s="89" t="s">
        <v>79</v>
      </c>
      <c r="V48" s="102" t="s">
        <v>697</v>
      </c>
      <c r="W48" s="89" t="s">
        <v>79</v>
      </c>
      <c r="X48" s="104" t="s">
        <v>697</v>
      </c>
      <c r="Y48" s="319"/>
      <c r="Z48" s="320"/>
      <c r="AA48" s="320"/>
      <c r="AB48" s="89"/>
      <c r="AC48" s="316"/>
      <c r="AD48" s="316"/>
      <c r="AE48" s="316"/>
      <c r="AF48" s="316"/>
      <c r="AG48" s="316"/>
      <c r="AH48" s="316"/>
      <c r="AI48" s="110" t="s">
        <v>1495</v>
      </c>
      <c r="AJ48" s="110" t="s">
        <v>1496</v>
      </c>
      <c r="AK48" s="111" t="s">
        <v>1245</v>
      </c>
      <c r="AL48" s="112" t="s">
        <v>1497</v>
      </c>
      <c r="AM48" s="113" t="s">
        <v>1498</v>
      </c>
    </row>
    <row r="49">
      <c r="A49" s="47" t="s">
        <v>325</v>
      </c>
      <c r="B49" s="48" t="s">
        <v>1499</v>
      </c>
      <c r="C49" s="49" t="s">
        <v>59</v>
      </c>
      <c r="D49" s="48" t="s">
        <v>1500</v>
      </c>
      <c r="E49" s="51" t="s">
        <v>1501</v>
      </c>
      <c r="F49" s="53" t="s">
        <v>62</v>
      </c>
      <c r="G49" s="56" t="s">
        <v>170</v>
      </c>
      <c r="H49" s="48" t="s">
        <v>1503</v>
      </c>
      <c r="I49" s="58" t="s">
        <v>1504</v>
      </c>
      <c r="J49" s="48" t="s">
        <v>1505</v>
      </c>
      <c r="K49" s="60" t="s">
        <v>1506</v>
      </c>
      <c r="L49" s="63" t="s">
        <v>941</v>
      </c>
      <c r="M49" s="394"/>
      <c r="N49" s="65"/>
      <c r="O49" s="394"/>
      <c r="P49" s="394"/>
      <c r="Q49" s="394"/>
      <c r="R49" s="395" t="str">
        <f>HYPERLINK("https://pubmed.ncbi.nlm.nih.gov/21896856/", "Rao (2011) - How I Treat Autoimmune Lymphoproliferative Syndrome")</f>
        <v>Rao (2011) - How I Treat Autoimmune Lymphoproliferative Syndrome</v>
      </c>
      <c r="S49" s="71" t="str">
        <f>HYPERLINK("https://pubmed.ncbi.nlm.nih.gov/7781061/", "Fisher (1995) - Defective Fas Gene and Lymphoproliferative Disease")</f>
        <v>Fisher (1995) - Defective Fas Gene and Lymphoproliferative Disease</v>
      </c>
      <c r="T49" s="377" t="s">
        <v>1511</v>
      </c>
      <c r="U49" s="48" t="s">
        <v>150</v>
      </c>
      <c r="V49" s="73" t="s">
        <v>1512</v>
      </c>
      <c r="W49" s="48" t="s">
        <v>150</v>
      </c>
      <c r="X49" s="75" t="s">
        <v>1513</v>
      </c>
      <c r="Y49" s="76">
        <v>3.8</v>
      </c>
      <c r="Z49" s="289"/>
      <c r="AA49" s="289"/>
      <c r="AB49" s="48" t="s">
        <v>153</v>
      </c>
      <c r="AC49" s="394"/>
      <c r="AD49" s="394"/>
      <c r="AE49" s="394"/>
      <c r="AF49" s="394"/>
      <c r="AG49" s="394"/>
      <c r="AH49" s="394"/>
      <c r="AI49" s="84" t="s">
        <v>1515</v>
      </c>
      <c r="AJ49" s="84" t="s">
        <v>1516</v>
      </c>
      <c r="AK49" s="85" t="s">
        <v>1519</v>
      </c>
      <c r="AL49" s="379" t="s">
        <v>1520</v>
      </c>
      <c r="AM49" s="380" t="s">
        <v>1521</v>
      </c>
    </row>
    <row r="50">
      <c r="A50" s="47" t="s">
        <v>331</v>
      </c>
      <c r="B50" s="48" t="s">
        <v>1523</v>
      </c>
      <c r="C50" s="49" t="s">
        <v>59</v>
      </c>
      <c r="D50" s="48" t="s">
        <v>1525</v>
      </c>
      <c r="E50" s="51" t="s">
        <v>1526</v>
      </c>
      <c r="F50" s="53" t="s">
        <v>62</v>
      </c>
      <c r="G50" s="56" t="s">
        <v>1527</v>
      </c>
      <c r="H50" s="48" t="s">
        <v>1528</v>
      </c>
      <c r="I50" s="58" t="s">
        <v>1530</v>
      </c>
      <c r="J50" s="48" t="s">
        <v>1531</v>
      </c>
      <c r="K50" s="60" t="s">
        <v>1532</v>
      </c>
      <c r="L50" s="63" t="s">
        <v>71</v>
      </c>
      <c r="M50" s="394"/>
      <c r="N50" s="65"/>
      <c r="O50" s="394"/>
      <c r="P50" s="394"/>
      <c r="Q50" s="394"/>
      <c r="R50" s="395" t="str">
        <f>HYPERLINK("https://pubmed.ncbi.nlm.nih.gov/31336059/", "Dale (2019) - Autoimmune Neutropenia: Update on Diagnosis and Management")</f>
        <v>Dale (2019) - Autoimmune Neutropenia: Update on Diagnosis and Management</v>
      </c>
      <c r="S50" s="71" t="str">
        <f>HYPERLINK("https://pubmed.ncbi.nlm.nih.gov/26279822/", "Farruggia (2015) - Autoimmune Neutropenia in Children")</f>
        <v>Farruggia (2015) - Autoimmune Neutropenia in Children</v>
      </c>
      <c r="T50" s="377" t="s">
        <v>1561</v>
      </c>
      <c r="U50" s="48" t="s">
        <v>150</v>
      </c>
      <c r="V50" s="73" t="s">
        <v>805</v>
      </c>
      <c r="W50" s="48" t="s">
        <v>150</v>
      </c>
      <c r="X50" s="75" t="s">
        <v>1563</v>
      </c>
      <c r="Y50" s="76">
        <v>0.0</v>
      </c>
      <c r="Z50" s="78">
        <v>0.0</v>
      </c>
      <c r="AA50" s="78">
        <v>0.0</v>
      </c>
      <c r="AB50" s="48" t="s">
        <v>153</v>
      </c>
      <c r="AC50" s="394"/>
      <c r="AD50" s="394"/>
      <c r="AE50" s="394"/>
      <c r="AF50" s="394"/>
      <c r="AG50" s="394"/>
      <c r="AH50" s="394"/>
      <c r="AI50" s="84" t="s">
        <v>1577</v>
      </c>
      <c r="AJ50" s="84" t="s">
        <v>1579</v>
      </c>
      <c r="AK50" s="85" t="s">
        <v>1580</v>
      </c>
      <c r="AL50" s="379" t="s">
        <v>1581</v>
      </c>
      <c r="AM50" s="380" t="s">
        <v>1583</v>
      </c>
    </row>
    <row r="51">
      <c r="A51" s="88" t="s">
        <v>1584</v>
      </c>
      <c r="B51" s="89" t="s">
        <v>1586</v>
      </c>
      <c r="C51" s="90" t="s">
        <v>137</v>
      </c>
      <c r="D51" s="89" t="s">
        <v>1588</v>
      </c>
      <c r="E51" s="91" t="s">
        <v>1622</v>
      </c>
      <c r="F51" s="92" t="s">
        <v>101</v>
      </c>
      <c r="G51" s="93" t="s">
        <v>1624</v>
      </c>
      <c r="H51" s="89" t="s">
        <v>1625</v>
      </c>
      <c r="I51" s="94" t="s">
        <v>1652</v>
      </c>
      <c r="J51" s="89" t="s">
        <v>1653</v>
      </c>
      <c r="K51" s="96" t="s">
        <v>1654</v>
      </c>
      <c r="L51" s="97"/>
      <c r="M51" s="316"/>
      <c r="N51" s="98"/>
      <c r="O51" s="316"/>
      <c r="P51" s="316"/>
      <c r="Q51" s="316"/>
      <c r="R51" s="317" t="str">
        <f>HYPERLINK("https://pubmed.ncbi.nlm.nih.gov/34213816/", "Delmont (2021) - Autoimmune Nodopathies: A Novel Category")</f>
        <v>Delmont (2021) - Autoimmune Nodopathies: A Novel Category</v>
      </c>
      <c r="S51" s="369" t="str">
        <f>HYPERLINK("https://pubmed.ncbi.nlm.nih.gov/24558045/", "Querol (2014) - Contactin-1 and Paranodal Autoantibodies in Nodopathies")</f>
        <v>Querol (2014) - Contactin-1 and Paranodal Autoantibodies in Nodopathies</v>
      </c>
      <c r="T51" s="318" t="s">
        <v>1666</v>
      </c>
      <c r="U51" s="89" t="s">
        <v>150</v>
      </c>
      <c r="V51" s="102" t="s">
        <v>697</v>
      </c>
      <c r="W51" s="89" t="s">
        <v>150</v>
      </c>
      <c r="X51" s="104" t="s">
        <v>697</v>
      </c>
      <c r="Y51" s="319"/>
      <c r="Z51" s="320"/>
      <c r="AA51" s="320"/>
      <c r="AB51" s="89"/>
      <c r="AC51" s="316"/>
      <c r="AD51" s="316"/>
      <c r="AE51" s="316"/>
      <c r="AF51" s="316"/>
      <c r="AG51" s="316"/>
      <c r="AH51" s="316"/>
      <c r="AI51" s="110" t="s">
        <v>1675</v>
      </c>
      <c r="AJ51" s="110" t="s">
        <v>1676</v>
      </c>
      <c r="AK51" s="111" t="s">
        <v>1677</v>
      </c>
      <c r="AL51" s="112" t="s">
        <v>1680</v>
      </c>
      <c r="AM51" s="113" t="s">
        <v>1681</v>
      </c>
    </row>
    <row r="52">
      <c r="A52" s="175" t="s">
        <v>339</v>
      </c>
      <c r="B52" s="176" t="s">
        <v>1684</v>
      </c>
      <c r="C52" s="177" t="s">
        <v>59</v>
      </c>
      <c r="D52" s="176" t="s">
        <v>1687</v>
      </c>
      <c r="E52" s="178" t="s">
        <v>1688</v>
      </c>
      <c r="F52" s="179" t="s">
        <v>203</v>
      </c>
      <c r="G52" s="180" t="s">
        <v>1689</v>
      </c>
      <c r="H52" s="176" t="s">
        <v>1690</v>
      </c>
      <c r="I52" s="181" t="s">
        <v>1693</v>
      </c>
      <c r="J52" s="176" t="s">
        <v>1696</v>
      </c>
      <c r="K52" s="182" t="s">
        <v>1697</v>
      </c>
      <c r="L52" s="183" t="s">
        <v>1185</v>
      </c>
      <c r="M52" s="433"/>
      <c r="N52" s="184"/>
      <c r="O52" s="433"/>
      <c r="P52" s="433"/>
      <c r="Q52" s="433"/>
      <c r="R52" s="512" t="str">
        <f>HYPERLINK("https://pubmed.ncbi.nlm.nih.gov/33919864/", "Jasti (2021) - Primary Ovarian Insufficiency: Autoimmune Mechanisms")</f>
        <v>Jasti (2021) - Primary Ovarian Insufficiency: Autoimmune Mechanisms</v>
      </c>
      <c r="S52" s="513" t="str">
        <f>HYPERLINK("https://pubmed.ncbi.nlm.nih.gov/9262925/", "Hoek (1997) - Premature Ovarian Failure and Autoimmunity")</f>
        <v>Hoek (1997) - Premature Ovarian Failure and Autoimmunity</v>
      </c>
      <c r="T52" s="188" t="s">
        <v>1718</v>
      </c>
      <c r="U52" s="176" t="s">
        <v>150</v>
      </c>
      <c r="V52" s="189" t="s">
        <v>879</v>
      </c>
      <c r="W52" s="176" t="s">
        <v>150</v>
      </c>
      <c r="X52" s="190" t="s">
        <v>1725</v>
      </c>
      <c r="Y52" s="76">
        <v>0.0</v>
      </c>
      <c r="Z52" s="78">
        <v>20.0</v>
      </c>
      <c r="AA52" s="78">
        <v>30.0</v>
      </c>
      <c r="AB52" s="176" t="s">
        <v>153</v>
      </c>
      <c r="AC52" s="433"/>
      <c r="AD52" s="433"/>
      <c r="AE52" s="433"/>
      <c r="AF52" s="433"/>
      <c r="AG52" s="433"/>
      <c r="AH52" s="433"/>
      <c r="AI52" s="192" t="s">
        <v>1736</v>
      </c>
      <c r="AJ52" s="192" t="s">
        <v>1737</v>
      </c>
      <c r="AK52" s="194" t="s">
        <v>1738</v>
      </c>
      <c r="AL52" s="514" t="s">
        <v>1741</v>
      </c>
      <c r="AM52" s="515" t="s">
        <v>1746</v>
      </c>
    </row>
    <row r="53">
      <c r="A53" s="244" t="s">
        <v>1750</v>
      </c>
      <c r="B53" s="245" t="s">
        <v>1751</v>
      </c>
      <c r="C53" s="246" t="s">
        <v>137</v>
      </c>
      <c r="D53" s="245" t="s">
        <v>1756</v>
      </c>
      <c r="E53" s="247" t="s">
        <v>1759</v>
      </c>
      <c r="F53" s="248" t="s">
        <v>301</v>
      </c>
      <c r="G53" s="249" t="s">
        <v>170</v>
      </c>
      <c r="H53" s="245" t="s">
        <v>1764</v>
      </c>
      <c r="I53" s="250" t="s">
        <v>170</v>
      </c>
      <c r="J53" s="245" t="s">
        <v>1767</v>
      </c>
      <c r="K53" s="252" t="s">
        <v>1771</v>
      </c>
      <c r="L53" s="253"/>
      <c r="M53" s="254"/>
      <c r="N53" s="255"/>
      <c r="O53" s="254"/>
      <c r="P53" s="254"/>
      <c r="Q53" s="254"/>
      <c r="R53" s="258" t="str">
        <f>HYPERLINK("https://pubmed.ncbi.nlm.nih.gov/36179780/", "Petzold (2022) - Diagnosis and Classification of Optic Neuritis")</f>
        <v>Petzold (2022) - Diagnosis and Classification of Optic Neuritis</v>
      </c>
      <c r="S53" s="516" t="str">
        <f>HYPERLINK("https://pubmed.ncbi.nlm.nih.gov/24646873/", "Petzold (2014) - Autoimmune Optic Neuropathy Spectrum and Outcomes")</f>
        <v>Petzold (2014) - Autoimmune Optic Neuropathy Spectrum and Outcomes</v>
      </c>
      <c r="T53" s="265" t="s">
        <v>1793</v>
      </c>
      <c r="U53" s="245" t="s">
        <v>79</v>
      </c>
      <c r="V53" s="266" t="s">
        <v>805</v>
      </c>
      <c r="W53" s="245" t="s">
        <v>79</v>
      </c>
      <c r="X53" s="267" t="s">
        <v>805</v>
      </c>
      <c r="Y53" s="268"/>
      <c r="Z53" s="269"/>
      <c r="AA53" s="269"/>
      <c r="AB53" s="245"/>
      <c r="AC53" s="254"/>
      <c r="AD53" s="254"/>
      <c r="AE53" s="254"/>
      <c r="AF53" s="254"/>
      <c r="AG53" s="254"/>
      <c r="AH53" s="254"/>
      <c r="AI53" s="270" t="s">
        <v>1810</v>
      </c>
      <c r="AJ53" s="270" t="s">
        <v>1811</v>
      </c>
      <c r="AK53" s="271" t="s">
        <v>1815</v>
      </c>
      <c r="AL53" s="272" t="s">
        <v>1816</v>
      </c>
      <c r="AM53" s="273" t="s">
        <v>1820</v>
      </c>
    </row>
    <row r="54">
      <c r="A54" s="517" t="s">
        <v>341</v>
      </c>
      <c r="B54" s="518" t="s">
        <v>1828</v>
      </c>
      <c r="C54" s="519" t="s">
        <v>59</v>
      </c>
      <c r="D54" s="518" t="s">
        <v>1837</v>
      </c>
      <c r="E54" s="520" t="s">
        <v>1844</v>
      </c>
      <c r="F54" s="521" t="s">
        <v>1848</v>
      </c>
      <c r="G54" s="522" t="s">
        <v>1852</v>
      </c>
      <c r="H54" s="518" t="s">
        <v>1856</v>
      </c>
      <c r="I54" s="523" t="s">
        <v>1861</v>
      </c>
      <c r="J54" s="518" t="s">
        <v>1863</v>
      </c>
      <c r="K54" s="524" t="s">
        <v>1869</v>
      </c>
      <c r="L54" s="525" t="s">
        <v>1185</v>
      </c>
      <c r="M54" s="523"/>
      <c r="N54" s="526"/>
      <c r="O54" s="523"/>
      <c r="P54" s="523"/>
      <c r="Q54" s="523"/>
      <c r="R54" s="527" t="str">
        <f>HYPERLINK("https://pubmed.ncbi.nlm.nih.gov/32242028/", "Gardner (2020) - Autoimmune Pancreatitis")</f>
        <v>Gardner (2020) - Autoimmune Pancreatitis</v>
      </c>
      <c r="S54" s="528" t="str">
        <f>HYPERLINK("https://pubmed.ncbi.nlm.nih.gov/11237777/", "Hamano (2001) - High Serum IgG4 Concentrations in Autoimmune Pancreatitis")</f>
        <v>Hamano (2001) - High Serum IgG4 Concentrations in Autoimmune Pancreatitis</v>
      </c>
      <c r="T54" s="529" t="s">
        <v>1906</v>
      </c>
      <c r="U54" s="518" t="s">
        <v>150</v>
      </c>
      <c r="V54" s="530" t="s">
        <v>1911</v>
      </c>
      <c r="W54" s="518" t="s">
        <v>150</v>
      </c>
      <c r="X54" s="531" t="s">
        <v>1926</v>
      </c>
      <c r="Y54" s="76">
        <v>0.0</v>
      </c>
      <c r="Z54" s="78">
        <v>40.0</v>
      </c>
      <c r="AA54" s="78">
        <v>60.0</v>
      </c>
      <c r="AB54" s="518" t="s">
        <v>153</v>
      </c>
      <c r="AC54" s="523"/>
      <c r="AD54" s="523"/>
      <c r="AE54" s="523"/>
      <c r="AF54" s="523"/>
      <c r="AG54" s="523"/>
      <c r="AH54" s="523"/>
      <c r="AI54" s="532" t="s">
        <v>1939</v>
      </c>
      <c r="AJ54" s="532" t="s">
        <v>1942</v>
      </c>
      <c r="AK54" s="533" t="s">
        <v>1946</v>
      </c>
      <c r="AL54" s="534" t="s">
        <v>1951</v>
      </c>
      <c r="AM54" s="535" t="s">
        <v>1955</v>
      </c>
    </row>
    <row r="55">
      <c r="A55" s="88" t="s">
        <v>1960</v>
      </c>
      <c r="B55" s="89" t="s">
        <v>1964</v>
      </c>
      <c r="C55" s="90" t="s">
        <v>137</v>
      </c>
      <c r="D55" s="89" t="s">
        <v>1969</v>
      </c>
      <c r="E55" s="91" t="s">
        <v>1974</v>
      </c>
      <c r="F55" s="92" t="s">
        <v>101</v>
      </c>
      <c r="G55" s="93" t="s">
        <v>1978</v>
      </c>
      <c r="H55" s="89" t="s">
        <v>1979</v>
      </c>
      <c r="I55" s="94" t="s">
        <v>1982</v>
      </c>
      <c r="J55" s="89" t="s">
        <v>1984</v>
      </c>
      <c r="K55" s="96" t="s">
        <v>1987</v>
      </c>
      <c r="L55" s="97"/>
      <c r="M55" s="316"/>
      <c r="N55" s="98"/>
      <c r="O55" s="316"/>
      <c r="P55" s="316"/>
      <c r="Q55" s="316"/>
      <c r="R55" s="317" t="str">
        <f>HYPERLINK("[link removed]", "Pascual-Goni (2021) - Antibodies to the Node of Ranvier in Immune-Mediated Neuropathies")</f>
        <v>Pascual-Goni (2021) - Antibodies to the Node of Ranvier in Immune-Mediated Neuropathies</v>
      </c>
      <c r="S55" s="369" t="str">
        <f>HYPERLINK("https://pubmed.ncbi.nlm.nih.gov/26899532/", "Devaux (2016) - Neurofascin-155 Autoantibodies in Peripheral Neuropathy")</f>
        <v>Devaux (2016) - Neurofascin-155 Autoantibodies in Peripheral Neuropathy</v>
      </c>
      <c r="T55" s="318" t="s">
        <v>2014</v>
      </c>
      <c r="U55" s="89" t="s">
        <v>150</v>
      </c>
      <c r="V55" s="102" t="s">
        <v>284</v>
      </c>
      <c r="W55" s="89" t="s">
        <v>150</v>
      </c>
      <c r="X55" s="104" t="s">
        <v>284</v>
      </c>
      <c r="Y55" s="319"/>
      <c r="Z55" s="320"/>
      <c r="AA55" s="320"/>
      <c r="AB55" s="89"/>
      <c r="AC55" s="316"/>
      <c r="AD55" s="316"/>
      <c r="AE55" s="316"/>
      <c r="AF55" s="316"/>
      <c r="AG55" s="316"/>
      <c r="AH55" s="316"/>
      <c r="AI55" s="110" t="s">
        <v>2036</v>
      </c>
      <c r="AJ55" s="110" t="s">
        <v>2037</v>
      </c>
      <c r="AK55" s="111" t="s">
        <v>2041</v>
      </c>
      <c r="AL55" s="112" t="s">
        <v>2043</v>
      </c>
      <c r="AM55" s="113" t="s">
        <v>2046</v>
      </c>
    </row>
    <row r="56">
      <c r="A56" s="88" t="s">
        <v>2049</v>
      </c>
      <c r="B56" s="89" t="s">
        <v>2050</v>
      </c>
      <c r="C56" s="90" t="s">
        <v>137</v>
      </c>
      <c r="D56" s="89" t="s">
        <v>2054</v>
      </c>
      <c r="E56" s="91" t="s">
        <v>2058</v>
      </c>
      <c r="F56" s="92" t="s">
        <v>101</v>
      </c>
      <c r="G56" s="93" t="s">
        <v>2061</v>
      </c>
      <c r="H56" s="89" t="s">
        <v>2063</v>
      </c>
      <c r="I56" s="94" t="s">
        <v>2065</v>
      </c>
      <c r="J56" s="89" t="s">
        <v>2069</v>
      </c>
      <c r="K56" s="96" t="s">
        <v>2071</v>
      </c>
      <c r="L56" s="97"/>
      <c r="M56" s="316"/>
      <c r="N56" s="98"/>
      <c r="O56" s="316"/>
      <c r="P56" s="316"/>
      <c r="Q56" s="316"/>
      <c r="R56" s="317" t="str">
        <f>HYPERLINK("https://pubmed.ncbi.nlm.nih.gov/30825316/", "Fedorowski (2019) - Postural Orthostatic Tachycardia Syndrome: Clinical Presentation and Mechanisms")</f>
        <v>Fedorowski (2019) - Postural Orthostatic Tachycardia Syndrome: Clinical Presentation and Mechanisms</v>
      </c>
      <c r="S56" s="369" t="str">
        <f>HYPERLINK("https://pubmed.ncbi.nlm.nih.gov/24572257/", "Li (2014) - Adrenergic and Cholinergic Autoantibodies in POTS")</f>
        <v>Li (2014) - Adrenergic and Cholinergic Autoantibodies in POTS</v>
      </c>
      <c r="T56" s="318" t="s">
        <v>2098</v>
      </c>
      <c r="U56" s="89" t="s">
        <v>150</v>
      </c>
      <c r="V56" s="102" t="s">
        <v>2101</v>
      </c>
      <c r="W56" s="89" t="s">
        <v>150</v>
      </c>
      <c r="X56" s="104" t="s">
        <v>2101</v>
      </c>
      <c r="Y56" s="319"/>
      <c r="Z56" s="320"/>
      <c r="AA56" s="320"/>
      <c r="AB56" s="89"/>
      <c r="AC56" s="316"/>
      <c r="AD56" s="316"/>
      <c r="AE56" s="316"/>
      <c r="AF56" s="316"/>
      <c r="AG56" s="316"/>
      <c r="AH56" s="316"/>
      <c r="AI56" s="110" t="s">
        <v>2114</v>
      </c>
      <c r="AJ56" s="110" t="s">
        <v>2116</v>
      </c>
      <c r="AK56" s="111" t="s">
        <v>2119</v>
      </c>
      <c r="AL56" s="112" t="s">
        <v>2120</v>
      </c>
      <c r="AM56" s="113" t="s">
        <v>2123</v>
      </c>
    </row>
    <row r="57">
      <c r="A57" s="148" t="s">
        <v>361</v>
      </c>
      <c r="B57" s="149" t="s">
        <v>2126</v>
      </c>
      <c r="C57" s="150" t="s">
        <v>59</v>
      </c>
      <c r="D57" s="149" t="s">
        <v>2131</v>
      </c>
      <c r="E57" s="152" t="s">
        <v>2136</v>
      </c>
      <c r="F57" s="153" t="s">
        <v>168</v>
      </c>
      <c r="G57" s="156" t="s">
        <v>2139</v>
      </c>
      <c r="H57" s="149" t="s">
        <v>2143</v>
      </c>
      <c r="I57" s="158" t="s">
        <v>2144</v>
      </c>
      <c r="J57" s="149" t="s">
        <v>2147</v>
      </c>
      <c r="K57" s="161" t="s">
        <v>2150</v>
      </c>
      <c r="L57" s="162" t="s">
        <v>1012</v>
      </c>
      <c r="M57" s="163"/>
      <c r="N57" s="164"/>
      <c r="O57" s="163"/>
      <c r="P57" s="163"/>
      <c r="Q57" s="163"/>
      <c r="R57" s="165" t="str">
        <f>HYPERLINK("https://pubmed.ncbi.nlm.nih.gov/28735878/", "Buchheit (2017) - Autoimmune Progesterone Dermatitis")</f>
        <v>Buchheit (2017) - Autoimmune Progesterone Dermatitis</v>
      </c>
      <c r="S57" s="536" t="str">
        <f>HYPERLINK("[link removed]", "Shelley (1964) - Autoimmune Progesterone Dermatitis")</f>
        <v>Shelley (1964) - Autoimmune Progesterone Dermatitis</v>
      </c>
      <c r="T57" s="167" t="s">
        <v>2172</v>
      </c>
      <c r="U57" s="149" t="s">
        <v>150</v>
      </c>
      <c r="V57" s="168" t="s">
        <v>285</v>
      </c>
      <c r="W57" s="149" t="s">
        <v>150</v>
      </c>
      <c r="X57" s="169" t="s">
        <v>285</v>
      </c>
      <c r="Y57" s="76">
        <v>0.0</v>
      </c>
      <c r="Z57" s="78">
        <v>8.0</v>
      </c>
      <c r="AA57" s="78">
        <v>14.0</v>
      </c>
      <c r="AB57" s="149" t="s">
        <v>153</v>
      </c>
      <c r="AC57" s="163"/>
      <c r="AD57" s="163"/>
      <c r="AE57" s="163"/>
      <c r="AF57" s="163"/>
      <c r="AG57" s="163"/>
      <c r="AH57" s="163"/>
      <c r="AI57" s="171" t="s">
        <v>2189</v>
      </c>
      <c r="AJ57" s="171" t="s">
        <v>2191</v>
      </c>
      <c r="AK57" s="172" t="s">
        <v>2193</v>
      </c>
      <c r="AL57" s="173" t="s">
        <v>2196</v>
      </c>
      <c r="AM57" s="174" t="s">
        <v>2198</v>
      </c>
    </row>
    <row r="58">
      <c r="A58" s="537" t="s">
        <v>2201</v>
      </c>
      <c r="B58" s="538" t="s">
        <v>2207</v>
      </c>
      <c r="C58" s="539" t="s">
        <v>137</v>
      </c>
      <c r="D58" s="538" t="s">
        <v>2213</v>
      </c>
      <c r="E58" s="540" t="s">
        <v>2215</v>
      </c>
      <c r="F58" s="541" t="s">
        <v>2226</v>
      </c>
      <c r="G58" s="542" t="s">
        <v>2230</v>
      </c>
      <c r="H58" s="538" t="s">
        <v>2233</v>
      </c>
      <c r="I58" s="543" t="s">
        <v>2235</v>
      </c>
      <c r="J58" s="538" t="s">
        <v>2240</v>
      </c>
      <c r="K58" s="544" t="s">
        <v>2244</v>
      </c>
      <c r="L58" s="545"/>
      <c r="M58" s="546"/>
      <c r="N58" s="547"/>
      <c r="O58" s="546"/>
      <c r="P58" s="546"/>
      <c r="Q58" s="546"/>
      <c r="R58" s="548" t="str">
        <f>HYPERLINK("https://pubmed.ncbi.nlm.nih.gov/31332212/", "Trapnell (2019) - Pulmonary Alveolar Proteinosis")</f>
        <v>Trapnell (2019) - Pulmonary Alveolar Proteinosis</v>
      </c>
      <c r="S58" s="549" t="str">
        <f>HYPERLINK("https://pubmed.ncbi.nlm.nih.gov/14695413/", "Trapnell (2003) - Neutralizing Anti-GM-CSF Antibodies in Alveolar Proteinosis")</f>
        <v>Trapnell (2003) - Neutralizing Anti-GM-CSF Antibodies in Alveolar Proteinosis</v>
      </c>
      <c r="T58" s="550" t="s">
        <v>2276</v>
      </c>
      <c r="U58" s="538" t="s">
        <v>150</v>
      </c>
      <c r="V58" s="551" t="s">
        <v>2283</v>
      </c>
      <c r="W58" s="538" t="s">
        <v>150</v>
      </c>
      <c r="X58" s="552" t="s">
        <v>2283</v>
      </c>
      <c r="Y58" s="553"/>
      <c r="Z58" s="554"/>
      <c r="AA58" s="554"/>
      <c r="AB58" s="538"/>
      <c r="AC58" s="546"/>
      <c r="AD58" s="546"/>
      <c r="AE58" s="546"/>
      <c r="AF58" s="546"/>
      <c r="AG58" s="546"/>
      <c r="AH58" s="546"/>
      <c r="AI58" s="555" t="s">
        <v>2308</v>
      </c>
      <c r="AJ58" s="555" t="s">
        <v>2310</v>
      </c>
      <c r="AK58" s="556" t="s">
        <v>2313</v>
      </c>
      <c r="AL58" s="557" t="s">
        <v>2318</v>
      </c>
      <c r="AM58" s="558" t="s">
        <v>2322</v>
      </c>
    </row>
    <row r="59">
      <c r="A59" s="244" t="s">
        <v>2326</v>
      </c>
      <c r="B59" s="245" t="s">
        <v>2327</v>
      </c>
      <c r="C59" s="246" t="s">
        <v>137</v>
      </c>
      <c r="D59" s="245" t="s">
        <v>2332</v>
      </c>
      <c r="E59" s="247" t="s">
        <v>2333</v>
      </c>
      <c r="F59" s="248" t="s">
        <v>301</v>
      </c>
      <c r="G59" s="249" t="s">
        <v>2337</v>
      </c>
      <c r="H59" s="245" t="s">
        <v>2338</v>
      </c>
      <c r="I59" s="250" t="s">
        <v>2343</v>
      </c>
      <c r="J59" s="245" t="s">
        <v>2344</v>
      </c>
      <c r="K59" s="252" t="s">
        <v>2348</v>
      </c>
      <c r="L59" s="253"/>
      <c r="M59" s="254"/>
      <c r="N59" s="255"/>
      <c r="O59" s="254"/>
      <c r="P59" s="254"/>
      <c r="Q59" s="254"/>
      <c r="R59" s="258" t="str">
        <f>HYPERLINK("https://pubmed.ncbi.nlm.nih.gov/28735879/", "Rosenbaum (2017) - Retinal Vasculitis: A Global Perspective")</f>
        <v>Rosenbaum (2017) - Retinal Vasculitis: A Global Perspective</v>
      </c>
      <c r="S59" s="516" t="str">
        <f>HYPERLINK("https://pubmed.ncbi.nlm.nih.gov/19444293/", "George (2009) - Clinical Features and Management of Retinal Vasculitis")</f>
        <v>George (2009) - Clinical Features and Management of Retinal Vasculitis</v>
      </c>
      <c r="T59" s="265" t="s">
        <v>2376</v>
      </c>
      <c r="U59" s="245" t="s">
        <v>150</v>
      </c>
      <c r="V59" s="266" t="s">
        <v>805</v>
      </c>
      <c r="W59" s="245" t="s">
        <v>150</v>
      </c>
      <c r="X59" s="267" t="s">
        <v>805</v>
      </c>
      <c r="Y59" s="268"/>
      <c r="Z59" s="269"/>
      <c r="AA59" s="269"/>
      <c r="AB59" s="245"/>
      <c r="AC59" s="254"/>
      <c r="AD59" s="254"/>
      <c r="AE59" s="254"/>
      <c r="AF59" s="254"/>
      <c r="AG59" s="254"/>
      <c r="AH59" s="254"/>
      <c r="AI59" s="270" t="s">
        <v>2391</v>
      </c>
      <c r="AJ59" s="270" t="s">
        <v>2392</v>
      </c>
      <c r="AK59" s="271" t="s">
        <v>2395</v>
      </c>
      <c r="AL59" s="272" t="s">
        <v>1816</v>
      </c>
      <c r="AM59" s="273" t="s">
        <v>2398</v>
      </c>
    </row>
    <row r="60">
      <c r="A60" s="244" t="s">
        <v>363</v>
      </c>
      <c r="B60" s="245" t="s">
        <v>363</v>
      </c>
      <c r="C60" s="246" t="s">
        <v>59</v>
      </c>
      <c r="D60" s="245" t="s">
        <v>2405</v>
      </c>
      <c r="E60" s="247" t="s">
        <v>2407</v>
      </c>
      <c r="F60" s="248" t="s">
        <v>301</v>
      </c>
      <c r="G60" s="249" t="s">
        <v>2411</v>
      </c>
      <c r="H60" s="245" t="s">
        <v>2412</v>
      </c>
      <c r="I60" s="250" t="s">
        <v>2414</v>
      </c>
      <c r="J60" s="245" t="s">
        <v>2417</v>
      </c>
      <c r="K60" s="252" t="s">
        <v>2421</v>
      </c>
      <c r="L60" s="253" t="s">
        <v>71</v>
      </c>
      <c r="M60" s="254"/>
      <c r="N60" s="255"/>
      <c r="O60" s="254"/>
      <c r="P60" s="254"/>
      <c r="Q60" s="254"/>
      <c r="R60" s="258" t="str">
        <f>HYPERLINK("[link removed]", "Ferreyra (2009) - Autoimmune Retinopathy: A Review")</f>
        <v>Ferreyra (2009) - Autoimmune Retinopathy: A Review</v>
      </c>
      <c r="S60" s="516" t="str">
        <f>HYPERLINK("https://pubmed.ncbi.nlm.nih.gov/19539834/", "Ferreyra (2009) - Autoimmune Retinopathy: Clinical Profile and Management")</f>
        <v>Ferreyra (2009) - Autoimmune Retinopathy: Clinical Profile and Management</v>
      </c>
      <c r="T60" s="265" t="s">
        <v>2441</v>
      </c>
      <c r="U60" s="245" t="s">
        <v>150</v>
      </c>
      <c r="V60" s="266" t="s">
        <v>285</v>
      </c>
      <c r="W60" s="245" t="s">
        <v>150</v>
      </c>
      <c r="X60" s="267" t="s">
        <v>285</v>
      </c>
      <c r="Y60" s="268">
        <v>0.0</v>
      </c>
      <c r="Z60" s="269">
        <v>40.0</v>
      </c>
      <c r="AA60" s="269">
        <v>50.0</v>
      </c>
      <c r="AB60" s="245" t="s">
        <v>153</v>
      </c>
      <c r="AC60" s="254"/>
      <c r="AD60" s="254"/>
      <c r="AE60" s="254"/>
      <c r="AF60" s="254"/>
      <c r="AG60" s="254"/>
      <c r="AH60" s="254"/>
      <c r="AI60" s="270" t="s">
        <v>2456</v>
      </c>
      <c r="AJ60" s="270" t="s">
        <v>2458</v>
      </c>
      <c r="AK60" s="271" t="s">
        <v>2460</v>
      </c>
      <c r="AL60" s="272" t="s">
        <v>1028</v>
      </c>
      <c r="AM60" s="273" t="s">
        <v>2464</v>
      </c>
    </row>
    <row r="61">
      <c r="A61" s="88" t="s">
        <v>2466</v>
      </c>
      <c r="B61" s="89" t="s">
        <v>2469</v>
      </c>
      <c r="C61" s="90" t="s">
        <v>137</v>
      </c>
      <c r="D61" s="89" t="s">
        <v>2474</v>
      </c>
      <c r="E61" s="91" t="s">
        <v>2475</v>
      </c>
      <c r="F61" s="92" t="s">
        <v>101</v>
      </c>
      <c r="G61" s="93" t="s">
        <v>2479</v>
      </c>
      <c r="H61" s="89" t="s">
        <v>2481</v>
      </c>
      <c r="I61" s="94" t="s">
        <v>2485</v>
      </c>
      <c r="J61" s="89" t="s">
        <v>2486</v>
      </c>
      <c r="K61" s="96" t="s">
        <v>2490</v>
      </c>
      <c r="L61" s="97"/>
      <c r="M61" s="316"/>
      <c r="N61" s="98"/>
      <c r="O61" s="316"/>
      <c r="P61" s="316"/>
      <c r="Q61" s="316"/>
      <c r="R61" s="317" t="str">
        <f>HYPERLINK("https://pubmed.ncbi.nlm.nih.gov/31669485/", "Basantsova (2019) - Small Fiber Neuropathy: Definition, Diagnosis, and Etiology")</f>
        <v>Basantsova (2019) - Small Fiber Neuropathy: Definition, Diagnosis, and Etiology</v>
      </c>
      <c r="S61" s="369" t="str">
        <f>HYPERLINK("https://pubmed.ncbi.nlm.nih.gov/16724177/", "Dabby (2006) - Autoimmune Markers in Idiopathic Small-Fiber Neuropathy")</f>
        <v>Dabby (2006) - Autoimmune Markers in Idiopathic Small-Fiber Neuropathy</v>
      </c>
      <c r="T61" s="318" t="s">
        <v>2515</v>
      </c>
      <c r="U61" s="89" t="s">
        <v>150</v>
      </c>
      <c r="V61" s="102" t="s">
        <v>2519</v>
      </c>
      <c r="W61" s="89" t="s">
        <v>150</v>
      </c>
      <c r="X61" s="104" t="s">
        <v>2519</v>
      </c>
      <c r="Y61" s="319"/>
      <c r="Z61" s="320"/>
      <c r="AA61" s="320"/>
      <c r="AB61" s="89"/>
      <c r="AC61" s="316"/>
      <c r="AD61" s="316"/>
      <c r="AE61" s="316"/>
      <c r="AF61" s="316"/>
      <c r="AG61" s="316"/>
      <c r="AH61" s="316"/>
      <c r="AI61" s="110" t="s">
        <v>2531</v>
      </c>
      <c r="AJ61" s="110" t="s">
        <v>2532</v>
      </c>
      <c r="AK61" s="111" t="s">
        <v>2537</v>
      </c>
      <c r="AL61" s="112" t="s">
        <v>2538</v>
      </c>
      <c r="AM61" s="113" t="s">
        <v>2541</v>
      </c>
    </row>
    <row r="62">
      <c r="A62" s="175" t="s">
        <v>375</v>
      </c>
      <c r="B62" s="176" t="s">
        <v>2543</v>
      </c>
      <c r="C62" s="177" t="s">
        <v>59</v>
      </c>
      <c r="D62" s="176" t="s">
        <v>2548</v>
      </c>
      <c r="E62" s="178" t="s">
        <v>2550</v>
      </c>
      <c r="F62" s="179" t="s">
        <v>203</v>
      </c>
      <c r="G62" s="180" t="s">
        <v>2553</v>
      </c>
      <c r="H62" s="176" t="s">
        <v>2556</v>
      </c>
      <c r="I62" s="181" t="s">
        <v>2558</v>
      </c>
      <c r="J62" s="176" t="s">
        <v>2561</v>
      </c>
      <c r="K62" s="182" t="s">
        <v>2563</v>
      </c>
      <c r="L62" s="183" t="s">
        <v>71</v>
      </c>
      <c r="M62" s="433"/>
      <c r="N62" s="184"/>
      <c r="O62" s="433"/>
      <c r="P62" s="433"/>
      <c r="Q62" s="433"/>
      <c r="R62" s="434" t="str">
        <f>HYPERLINK("https://pubmed.ncbi.nlm.nih.gov/24434360/", "Caturegli (2014) - Hashimoto Thyroiditis: Clinical and Diagnostic Criteria")</f>
        <v>Caturegli (2014) - Hashimoto Thyroiditis: Clinical and Diagnostic Criteria</v>
      </c>
      <c r="S62" s="186" t="str">
        <f>HYPERLINK("[link removed]", "Roitt (1956) - Auto-antibodies in Hashimoto's Disease")</f>
        <v>Roitt (1956) - Auto-antibodies in Hashimoto's Disease</v>
      </c>
      <c r="T62" s="188" t="s">
        <v>2584</v>
      </c>
      <c r="U62" s="176" t="s">
        <v>150</v>
      </c>
      <c r="V62" s="189" t="s">
        <v>2591</v>
      </c>
      <c r="W62" s="176" t="s">
        <v>150</v>
      </c>
      <c r="X62" s="190" t="s">
        <v>2595</v>
      </c>
      <c r="Y62" s="76">
        <v>6.6</v>
      </c>
      <c r="Z62" s="78" t="s">
        <v>2597</v>
      </c>
      <c r="AA62" s="78" t="s">
        <v>2600</v>
      </c>
      <c r="AB62" s="176" t="s">
        <v>153</v>
      </c>
      <c r="AC62" s="433"/>
      <c r="AD62" s="433"/>
      <c r="AE62" s="433"/>
      <c r="AF62" s="433"/>
      <c r="AG62" s="433"/>
      <c r="AH62" s="433"/>
      <c r="AI62" s="192" t="s">
        <v>2605</v>
      </c>
      <c r="AJ62" s="192" t="s">
        <v>2606</v>
      </c>
      <c r="AK62" s="194" t="s">
        <v>2609</v>
      </c>
      <c r="AL62" s="196" t="s">
        <v>2610</v>
      </c>
      <c r="AM62" s="199" t="s">
        <v>2615</v>
      </c>
    </row>
    <row r="63">
      <c r="A63" s="148" t="s">
        <v>394</v>
      </c>
      <c r="B63" s="149" t="s">
        <v>2618</v>
      </c>
      <c r="C63" s="150" t="s">
        <v>59</v>
      </c>
      <c r="D63" s="149" t="s">
        <v>2623</v>
      </c>
      <c r="E63" s="152" t="s">
        <v>2627</v>
      </c>
      <c r="F63" s="153" t="s">
        <v>168</v>
      </c>
      <c r="G63" s="156" t="s">
        <v>2629</v>
      </c>
      <c r="H63" s="149" t="s">
        <v>2633</v>
      </c>
      <c r="I63" s="158" t="s">
        <v>2558</v>
      </c>
      <c r="J63" s="149" t="s">
        <v>2635</v>
      </c>
      <c r="K63" s="161" t="s">
        <v>2639</v>
      </c>
      <c r="L63" s="162" t="s">
        <v>71</v>
      </c>
      <c r="M63" s="158"/>
      <c r="N63" s="164"/>
      <c r="O63" s="158"/>
      <c r="P63" s="158"/>
      <c r="Q63" s="158"/>
      <c r="R63" s="275" t="str">
        <f>HYPERLINK("[link removed]", "Kolkhir (2022) - Autoimmune Chronic Spontaneous Urticaria")</f>
        <v>Kolkhir (2022) - Autoimmune Chronic Spontaneous Urticaria</v>
      </c>
      <c r="S63" s="536" t="str">
        <f>HYPERLINK("https://pubmed.ncbi.nlm.nih.gov/7684824/", "Hide (1993) - Autoantibodies Against High-Affinity IgE Receptor in Urticaria")</f>
        <v>Hide (1993) - Autoantibodies Against High-Affinity IgE Receptor in Urticaria</v>
      </c>
      <c r="T63" s="167" t="s">
        <v>2665</v>
      </c>
      <c r="U63" s="149" t="s">
        <v>150</v>
      </c>
      <c r="V63" s="168" t="s">
        <v>2669</v>
      </c>
      <c r="W63" s="149" t="s">
        <v>150</v>
      </c>
      <c r="X63" s="169" t="s">
        <v>2670</v>
      </c>
      <c r="Y63" s="76">
        <v>0.0</v>
      </c>
      <c r="Z63" s="78">
        <v>20.0</v>
      </c>
      <c r="AA63" s="78">
        <v>40.0</v>
      </c>
      <c r="AB63" s="149" t="s">
        <v>153</v>
      </c>
      <c r="AC63" s="158"/>
      <c r="AD63" s="158"/>
      <c r="AE63" s="158"/>
      <c r="AF63" s="158"/>
      <c r="AG63" s="158"/>
      <c r="AH63" s="158"/>
      <c r="AI63" s="171" t="s">
        <v>2681</v>
      </c>
      <c r="AJ63" s="171" t="s">
        <v>2683</v>
      </c>
      <c r="AK63" s="172" t="s">
        <v>2684</v>
      </c>
      <c r="AL63" s="173" t="s">
        <v>2687</v>
      </c>
      <c r="AM63" s="174" t="s">
        <v>2689</v>
      </c>
    </row>
    <row r="64">
      <c r="A64" s="148" t="s">
        <v>398</v>
      </c>
      <c r="B64" s="149" t="s">
        <v>398</v>
      </c>
      <c r="C64" s="150" t="s">
        <v>59</v>
      </c>
      <c r="D64" s="149" t="s">
        <v>2697</v>
      </c>
      <c r="E64" s="152" t="s">
        <v>2627</v>
      </c>
      <c r="F64" s="153" t="s">
        <v>168</v>
      </c>
      <c r="G64" s="156" t="s">
        <v>2702</v>
      </c>
      <c r="H64" s="149" t="s">
        <v>2705</v>
      </c>
      <c r="I64" s="158" t="s">
        <v>2706</v>
      </c>
      <c r="J64" s="149" t="s">
        <v>2635</v>
      </c>
      <c r="K64" s="161" t="s">
        <v>2712</v>
      </c>
      <c r="L64" s="162" t="s">
        <v>71</v>
      </c>
      <c r="M64" s="158"/>
      <c r="N64" s="164"/>
      <c r="O64" s="158"/>
      <c r="P64" s="158"/>
      <c r="Q64" s="158"/>
      <c r="R64" s="275" t="str">
        <f>HYPERLINK("[link removed]", "Kaplan (2014) - Chronic Spontaneous Urticaria: Pathogenesis and Treatment")</f>
        <v>Kaplan (2014) - Chronic Spontaneous Urticaria: Pathogenesis and Treatment</v>
      </c>
      <c r="S64" s="536" t="str">
        <f>HYPERLINK("[link removed]", "Kaplan (2002) - Chronic Urticaria and Autoimmunity")</f>
        <v>Kaplan (2002) - Chronic Urticaria and Autoimmunity</v>
      </c>
      <c r="T64" s="167" t="s">
        <v>2739</v>
      </c>
      <c r="U64" s="149" t="s">
        <v>150</v>
      </c>
      <c r="V64" s="168" t="s">
        <v>2669</v>
      </c>
      <c r="W64" s="149" t="s">
        <v>150</v>
      </c>
      <c r="X64" s="169" t="s">
        <v>2670</v>
      </c>
      <c r="Y64" s="76"/>
      <c r="Z64" s="78">
        <v>20.0</v>
      </c>
      <c r="AA64" s="78">
        <v>40.0</v>
      </c>
      <c r="AB64" s="149" t="s">
        <v>153</v>
      </c>
      <c r="AC64" s="158"/>
      <c r="AD64" s="158"/>
      <c r="AE64" s="158"/>
      <c r="AF64" s="158"/>
      <c r="AG64" s="158"/>
      <c r="AH64" s="158"/>
      <c r="AI64" s="171" t="s">
        <v>2758</v>
      </c>
      <c r="AJ64" s="171" t="s">
        <v>2761</v>
      </c>
      <c r="AK64" s="172" t="s">
        <v>2763</v>
      </c>
      <c r="AL64" s="173" t="s">
        <v>2764</v>
      </c>
      <c r="AM64" s="174" t="s">
        <v>2768</v>
      </c>
    </row>
    <row r="65">
      <c r="A65" s="114" t="s">
        <v>401</v>
      </c>
      <c r="B65" s="115" t="s">
        <v>401</v>
      </c>
      <c r="C65" s="116" t="s">
        <v>59</v>
      </c>
      <c r="D65" s="115" t="s">
        <v>2777</v>
      </c>
      <c r="E65" s="118" t="s">
        <v>2778</v>
      </c>
      <c r="F65" s="120" t="s">
        <v>133</v>
      </c>
      <c r="G65" s="121" t="s">
        <v>865</v>
      </c>
      <c r="H65" s="115" t="s">
        <v>2782</v>
      </c>
      <c r="I65" s="125" t="s">
        <v>2786</v>
      </c>
      <c r="J65" s="115" t="s">
        <v>2787</v>
      </c>
      <c r="K65" s="128" t="s">
        <v>2791</v>
      </c>
      <c r="L65" s="129" t="s">
        <v>71</v>
      </c>
      <c r="M65" s="130"/>
      <c r="N65" s="132"/>
      <c r="O65" s="130"/>
      <c r="P65" s="130"/>
      <c r="Q65" s="130"/>
      <c r="R65" s="133" t="str">
        <f>HYPERLINK("https://pubmed.ncbi.nlm.nih.gov/28532994/", "Jennette (2017) - Pathogenesis of Antineutrophil Cytoplasmic Autoantibody-Associated Vasculitis")</f>
        <v>Jennette (2017) - Pathogenesis of Antineutrophil Cytoplasmic Autoantibody-Associated Vasculitis</v>
      </c>
      <c r="S65" s="133" t="str">
        <f>HYPERLINK("https://pubmed.ncbi.nlm.nih.gov/23045170/", "Jennette (2013) - 2012 Chapel Hill Consensus Classification of Vasculitides")</f>
        <v>Jennette (2013) - 2012 Chapel Hill Consensus Classification of Vasculitides</v>
      </c>
      <c r="T65" s="135" t="s">
        <v>2813</v>
      </c>
      <c r="U65" s="115" t="s">
        <v>150</v>
      </c>
      <c r="V65" s="136" t="s">
        <v>2818</v>
      </c>
      <c r="W65" s="559" t="s">
        <v>150</v>
      </c>
      <c r="X65" s="560" t="s">
        <v>2818</v>
      </c>
      <c r="Y65" s="561"/>
      <c r="Z65" s="78">
        <v>50.0</v>
      </c>
      <c r="AA65" s="78">
        <v>70.0</v>
      </c>
      <c r="AB65" s="115" t="s">
        <v>153</v>
      </c>
      <c r="AC65" s="130"/>
      <c r="AD65" s="130"/>
      <c r="AE65" s="130"/>
      <c r="AF65" s="130"/>
      <c r="AG65" s="130"/>
      <c r="AH65" s="130"/>
      <c r="AI65" s="138" t="s">
        <v>2845</v>
      </c>
      <c r="AJ65" s="138" t="s">
        <v>2848</v>
      </c>
      <c r="AK65" s="140" t="s">
        <v>2849</v>
      </c>
      <c r="AL65" s="142" t="s">
        <v>2852</v>
      </c>
      <c r="AM65" s="145" t="s">
        <v>2855</v>
      </c>
    </row>
    <row r="66">
      <c r="A66" s="562" t="s">
        <v>2859</v>
      </c>
      <c r="B66" s="563" t="s">
        <v>2863</v>
      </c>
      <c r="C66" s="564" t="s">
        <v>137</v>
      </c>
      <c r="D66" s="563" t="s">
        <v>2869</v>
      </c>
      <c r="E66" s="565" t="s">
        <v>2873</v>
      </c>
      <c r="F66" s="566" t="s">
        <v>2878</v>
      </c>
      <c r="G66" s="567" t="s">
        <v>170</v>
      </c>
      <c r="H66" s="563" t="s">
        <v>2883</v>
      </c>
      <c r="I66" s="568" t="s">
        <v>170</v>
      </c>
      <c r="J66" s="563" t="s">
        <v>137</v>
      </c>
      <c r="K66" s="569" t="s">
        <v>2892</v>
      </c>
      <c r="L66" s="570"/>
      <c r="M66" s="571"/>
      <c r="N66" s="572"/>
      <c r="O66" s="571"/>
      <c r="P66" s="571"/>
      <c r="Q66" s="571"/>
      <c r="R66" s="573" t="str">
        <f>HYPERLINK("https://pubmed.ncbi.nlm.nih.gov/32194602/", "Goody (2020) - Calcific Aortic Valve Disease: Consensus Summary of Pathophysiology")</f>
        <v>Goody (2020) - Calcific Aortic Valve Disease: Consensus Summary of Pathophysiology</v>
      </c>
      <c r="S66" s="574" t="str">
        <f>HYPERLINK("https://pubmed.ncbi.nlm.nih.gov/24874229/", "Mathieu (2014) - Immune and Inflammatory Mechanisms in Calcific Aortic Valve Disease")</f>
        <v>Mathieu (2014) - Immune and Inflammatory Mechanisms in Calcific Aortic Valve Disease</v>
      </c>
      <c r="T66" s="575" t="s">
        <v>2928</v>
      </c>
      <c r="U66" s="563" t="s">
        <v>150</v>
      </c>
      <c r="V66" s="576" t="s">
        <v>1296</v>
      </c>
      <c r="W66" s="563" t="s">
        <v>150</v>
      </c>
      <c r="X66" s="577" t="s">
        <v>1296</v>
      </c>
      <c r="Y66" s="578"/>
      <c r="Z66" s="579"/>
      <c r="AA66" s="579"/>
      <c r="AB66" s="563"/>
      <c r="AC66" s="571"/>
      <c r="AD66" s="571"/>
      <c r="AE66" s="571"/>
      <c r="AF66" s="571"/>
      <c r="AG66" s="571"/>
      <c r="AH66" s="571"/>
      <c r="AI66" s="580" t="s">
        <v>2957</v>
      </c>
      <c r="AJ66" s="580" t="s">
        <v>2960</v>
      </c>
      <c r="AK66" s="581" t="s">
        <v>2964</v>
      </c>
      <c r="AL66" s="582" t="s">
        <v>2967</v>
      </c>
      <c r="AM66" s="583" t="s">
        <v>2972</v>
      </c>
    </row>
    <row r="67">
      <c r="A67" s="88" t="s">
        <v>403</v>
      </c>
      <c r="B67" s="89" t="s">
        <v>2976</v>
      </c>
      <c r="C67" s="90" t="s">
        <v>59</v>
      </c>
      <c r="D67" s="89" t="s">
        <v>2981</v>
      </c>
      <c r="E67" s="91" t="s">
        <v>2982</v>
      </c>
      <c r="F67" s="92" t="s">
        <v>101</v>
      </c>
      <c r="G67" s="93" t="s">
        <v>2985</v>
      </c>
      <c r="H67" s="89" t="s">
        <v>2987</v>
      </c>
      <c r="I67" s="94" t="s">
        <v>170</v>
      </c>
      <c r="J67" s="89" t="s">
        <v>2990</v>
      </c>
      <c r="K67" s="96" t="s">
        <v>2993</v>
      </c>
      <c r="L67" s="97" t="s">
        <v>71</v>
      </c>
      <c r="M67" s="94"/>
      <c r="N67" s="98"/>
      <c r="O67" s="94"/>
      <c r="P67" s="94"/>
      <c r="Q67" s="94"/>
      <c r="R67" s="99" t="str">
        <f>HYPERLINK("https://pubmed.ncbi.nlm.nih.gov/27008849/", "Hardy (2016) - Balo Concentric Sclerosis: Evolution and Prognosis")</f>
        <v>Hardy (2016) - Balo Concentric Sclerosis: Evolution and Prognosis</v>
      </c>
      <c r="S67" s="369" t="str">
        <f>HYPERLINK("[link removed]", "Karaarslan (2001) - Baló Concentric Sclerosis: Clinical and MRI Features")</f>
        <v>Karaarslan (2001) - Baló Concentric Sclerosis: Clinical and MRI Features</v>
      </c>
      <c r="T67" s="318" t="s">
        <v>3016</v>
      </c>
      <c r="U67" s="89" t="s">
        <v>150</v>
      </c>
      <c r="V67" s="102" t="s">
        <v>3020</v>
      </c>
      <c r="W67" s="89" t="s">
        <v>150</v>
      </c>
      <c r="X67" s="104" t="s">
        <v>285</v>
      </c>
      <c r="Y67" s="76">
        <v>0.0</v>
      </c>
      <c r="Z67" s="78">
        <v>15.0</v>
      </c>
      <c r="AA67" s="78">
        <v>60.0</v>
      </c>
      <c r="AB67" s="89" t="s">
        <v>153</v>
      </c>
      <c r="AC67" s="94"/>
      <c r="AD67" s="94"/>
      <c r="AE67" s="94"/>
      <c r="AF67" s="94"/>
      <c r="AG67" s="94"/>
      <c r="AH67" s="94"/>
      <c r="AI67" s="110" t="s">
        <v>3030</v>
      </c>
      <c r="AJ67" s="110" t="s">
        <v>3032</v>
      </c>
      <c r="AK67" s="111" t="s">
        <v>3033</v>
      </c>
      <c r="AL67" s="112" t="s">
        <v>3035</v>
      </c>
      <c r="AM67" s="113" t="s">
        <v>3039</v>
      </c>
    </row>
    <row r="68">
      <c r="A68" s="114" t="s">
        <v>415</v>
      </c>
      <c r="B68" s="115" t="s">
        <v>3040</v>
      </c>
      <c r="C68" s="116" t="s">
        <v>59</v>
      </c>
      <c r="D68" s="115" t="s">
        <v>3044</v>
      </c>
      <c r="E68" s="118" t="s">
        <v>3048</v>
      </c>
      <c r="F68" s="120" t="s">
        <v>133</v>
      </c>
      <c r="G68" s="121" t="s">
        <v>170</v>
      </c>
      <c r="H68" s="115" t="s">
        <v>3050</v>
      </c>
      <c r="I68" s="125" t="s">
        <v>3053</v>
      </c>
      <c r="J68" s="115" t="s">
        <v>3054</v>
      </c>
      <c r="K68" s="128" t="s">
        <v>3057</v>
      </c>
      <c r="L68" s="129" t="s">
        <v>71</v>
      </c>
      <c r="M68" s="125"/>
      <c r="N68" s="132"/>
      <c r="O68" s="125"/>
      <c r="P68" s="125"/>
      <c r="Q68" s="125"/>
      <c r="R68" s="376" t="str">
        <f>HYPERLINK("https://pubmed.ncbi.nlm.nih.gov/29625644/", "Hatemi (2018) - 2018 Update of the EULAR Recommendations for Behcet's Syndrome")</f>
        <v>Hatemi (2018) - 2018 Update of the EULAR Recommendations for Behcet's Syndrome</v>
      </c>
      <c r="S68" s="376" t="str">
        <f>HYPERLINK("https://pubmed.ncbi.nlm.nih.gov/1970329/", "ISG (1990) - Criteria for Diagnosis of Behçet's Disease")</f>
        <v>ISG (1990) - Criteria for Diagnosis of Behçet's Disease</v>
      </c>
      <c r="T68" s="135" t="s">
        <v>3074</v>
      </c>
      <c r="U68" s="115" t="s">
        <v>150</v>
      </c>
      <c r="V68" s="136" t="s">
        <v>3082</v>
      </c>
      <c r="W68" s="115" t="s">
        <v>150</v>
      </c>
      <c r="X68" s="137" t="s">
        <v>3084</v>
      </c>
      <c r="Y68" s="76">
        <v>2.5</v>
      </c>
      <c r="Z68" s="78">
        <v>20.0</v>
      </c>
      <c r="AA68" s="78">
        <v>40.0</v>
      </c>
      <c r="AB68" s="115" t="s">
        <v>153</v>
      </c>
      <c r="AC68" s="125"/>
      <c r="AD68" s="125"/>
      <c r="AE68" s="125"/>
      <c r="AF68" s="125"/>
      <c r="AG68" s="125"/>
      <c r="AH68" s="125"/>
      <c r="AI68" s="138" t="s">
        <v>3087</v>
      </c>
      <c r="AJ68" s="138" t="s">
        <v>3088</v>
      </c>
      <c r="AK68" s="140" t="s">
        <v>3090</v>
      </c>
      <c r="AL68" s="142" t="s">
        <v>3091</v>
      </c>
      <c r="AM68" s="145" t="s">
        <v>3093</v>
      </c>
    </row>
    <row r="69">
      <c r="A69" s="148" t="s">
        <v>429</v>
      </c>
      <c r="B69" s="149" t="s">
        <v>3095</v>
      </c>
      <c r="C69" s="150" t="s">
        <v>59</v>
      </c>
      <c r="D69" s="149" t="s">
        <v>3097</v>
      </c>
      <c r="E69" s="152" t="s">
        <v>3099</v>
      </c>
      <c r="F69" s="153" t="s">
        <v>168</v>
      </c>
      <c r="G69" s="156" t="s">
        <v>3101</v>
      </c>
      <c r="H69" s="149" t="s">
        <v>3103</v>
      </c>
      <c r="I69" s="158" t="s">
        <v>3104</v>
      </c>
      <c r="J69" s="149" t="s">
        <v>3106</v>
      </c>
      <c r="K69" s="161" t="s">
        <v>3108</v>
      </c>
      <c r="L69" s="162" t="s">
        <v>71</v>
      </c>
      <c r="M69" s="158"/>
      <c r="N69" s="164"/>
      <c r="O69" s="158"/>
      <c r="P69" s="158"/>
      <c r="Q69" s="158"/>
      <c r="R69" s="584" t="str">
        <f>HYPERLINK("https://pubmed.ncbi.nlm.nih.gov/23312493/", "Schmidt (2013) - Pemphigoid Diseases")</f>
        <v>Schmidt (2013) - Pemphigoid Diseases</v>
      </c>
      <c r="S69" s="275" t="str">
        <f>HYPERLINK("https://pubmed.ncbi.nlm.nih.gov/11786809/", "Chan (2002) - First International Consensus on Mucous Membrane Pemphigoid")</f>
        <v>Chan (2002) - First International Consensus on Mucous Membrane Pemphigoid</v>
      </c>
      <c r="T69" s="167" t="s">
        <v>3116</v>
      </c>
      <c r="U69" s="149" t="s">
        <v>79</v>
      </c>
      <c r="V69" s="168" t="s">
        <v>1512</v>
      </c>
      <c r="W69" s="149" t="s">
        <v>79</v>
      </c>
      <c r="X69" s="169" t="s">
        <v>3117</v>
      </c>
      <c r="Y69" s="76">
        <v>2.1</v>
      </c>
      <c r="Z69" s="78">
        <v>60.0</v>
      </c>
      <c r="AA69" s="78">
        <v>70.0</v>
      </c>
      <c r="AB69" s="149" t="s">
        <v>153</v>
      </c>
      <c r="AC69" s="158"/>
      <c r="AD69" s="158"/>
      <c r="AE69" s="158"/>
      <c r="AF69" s="158"/>
      <c r="AG69" s="158"/>
      <c r="AH69" s="158"/>
      <c r="AI69" s="171" t="s">
        <v>3118</v>
      </c>
      <c r="AJ69" s="171" t="s">
        <v>3119</v>
      </c>
      <c r="AK69" s="172" t="s">
        <v>3120</v>
      </c>
      <c r="AL69" s="173" t="s">
        <v>3121</v>
      </c>
      <c r="AM69" s="174" t="s">
        <v>3122</v>
      </c>
    </row>
    <row r="70">
      <c r="A70" s="88" t="s">
        <v>3123</v>
      </c>
      <c r="B70" s="89" t="s">
        <v>3124</v>
      </c>
      <c r="C70" s="90" t="s">
        <v>137</v>
      </c>
      <c r="D70" s="89" t="s">
        <v>3125</v>
      </c>
      <c r="E70" s="91" t="s">
        <v>3126</v>
      </c>
      <c r="F70" s="92" t="s">
        <v>101</v>
      </c>
      <c r="G70" s="93" t="s">
        <v>3127</v>
      </c>
      <c r="H70" s="89" t="s">
        <v>3128</v>
      </c>
      <c r="I70" s="94" t="s">
        <v>3129</v>
      </c>
      <c r="J70" s="89" t="s">
        <v>3130</v>
      </c>
      <c r="K70" s="96" t="s">
        <v>3131</v>
      </c>
      <c r="L70" s="97"/>
      <c r="M70" s="316"/>
      <c r="N70" s="98"/>
      <c r="O70" s="316"/>
      <c r="P70" s="316"/>
      <c r="Q70" s="316"/>
      <c r="R70" s="317" t="str">
        <f>HYPERLINK("https://pubmed.ncbi.nlm.nih.gov/12876149/", "Odaka (2003) - Bickerstaff's Brainstem Encephalitis: Clinical Features of 62 Cases")</f>
        <v>Odaka (2003) - Bickerstaff's Brainstem Encephalitis: Clinical Features of 62 Cases</v>
      </c>
      <c r="S70" s="369" t="str">
        <f>HYPERLINK("https://pubmed.ncbi.nlm.nih.gov/14607300/", "Odaka (2003) - Anti-GQ1b Ganglioside Antibodies in Bickerstaff Encephalitis")</f>
        <v>Odaka (2003) - Anti-GQ1b Ganglioside Antibodies in Bickerstaff Encephalitis</v>
      </c>
      <c r="T70" s="318" t="s">
        <v>3132</v>
      </c>
      <c r="U70" s="89" t="s">
        <v>79</v>
      </c>
      <c r="V70" s="102" t="s">
        <v>3133</v>
      </c>
      <c r="W70" s="89" t="s">
        <v>79</v>
      </c>
      <c r="X70" s="104" t="s">
        <v>3133</v>
      </c>
      <c r="Y70" s="319"/>
      <c r="Z70" s="320"/>
      <c r="AA70" s="320"/>
      <c r="AB70" s="89"/>
      <c r="AC70" s="316"/>
      <c r="AD70" s="316"/>
      <c r="AE70" s="316"/>
      <c r="AF70" s="316"/>
      <c r="AG70" s="316"/>
      <c r="AH70" s="316"/>
      <c r="AI70" s="110" t="s">
        <v>3134</v>
      </c>
      <c r="AJ70" s="110" t="s">
        <v>3135</v>
      </c>
      <c r="AK70" s="111" t="s">
        <v>3136</v>
      </c>
      <c r="AL70" s="112" t="s">
        <v>3137</v>
      </c>
      <c r="AM70" s="113" t="s">
        <v>3138</v>
      </c>
    </row>
    <row r="71">
      <c r="A71" s="244" t="s">
        <v>364</v>
      </c>
      <c r="B71" s="245" t="s">
        <v>3139</v>
      </c>
      <c r="C71" s="246" t="s">
        <v>59</v>
      </c>
      <c r="D71" s="245" t="s">
        <v>3140</v>
      </c>
      <c r="E71" s="247" t="s">
        <v>3141</v>
      </c>
      <c r="F71" s="248" t="s">
        <v>301</v>
      </c>
      <c r="G71" s="249" t="s">
        <v>3142</v>
      </c>
      <c r="H71" s="245" t="s">
        <v>3143</v>
      </c>
      <c r="I71" s="250" t="s">
        <v>3144</v>
      </c>
      <c r="J71" s="245" t="s">
        <v>3145</v>
      </c>
      <c r="K71" s="252" t="s">
        <v>3146</v>
      </c>
      <c r="L71" s="253" t="s">
        <v>941</v>
      </c>
      <c r="M71" s="254"/>
      <c r="N71" s="255"/>
      <c r="O71" s="254"/>
      <c r="P71" s="254"/>
      <c r="Q71" s="254"/>
      <c r="R71" s="258" t="str">
        <f>HYPERLINK("https://pubmed.ncbi.nlm.nih.gov/29337584/", "Minos (2016) - Birdshot Chorioretinopathy: Current Knowledge and New Concepts")</f>
        <v>Minos (2016) - Birdshot Chorioretinopathy: Current Knowledge and New Concepts</v>
      </c>
      <c r="S71" s="258" t="str">
        <f>HYPERLINK("https://pubmed.ncbi.nlm.nih.gov/6959522/", "Nussenblatt (1982) - HLA-A29 Association with Birdshot Retinochoroidopathy")</f>
        <v>Nussenblatt (1982) - HLA-A29 Association with Birdshot Retinochoroidopathy</v>
      </c>
      <c r="T71" s="265" t="s">
        <v>3147</v>
      </c>
      <c r="U71" s="245" t="s">
        <v>150</v>
      </c>
      <c r="V71" s="266" t="s">
        <v>1024</v>
      </c>
      <c r="W71" s="585" t="s">
        <v>150</v>
      </c>
      <c r="X71" s="586" t="s">
        <v>3148</v>
      </c>
      <c r="Y71" s="587"/>
      <c r="Z71" s="588"/>
      <c r="AA71" s="588"/>
      <c r="AB71" s="245" t="s">
        <v>153</v>
      </c>
      <c r="AC71" s="254"/>
      <c r="AD71" s="254"/>
      <c r="AE71" s="254"/>
      <c r="AF71" s="254"/>
      <c r="AG71" s="254"/>
      <c r="AH71" s="254"/>
      <c r="AI71" s="270" t="s">
        <v>3149</v>
      </c>
      <c r="AJ71" s="270" t="s">
        <v>3150</v>
      </c>
      <c r="AK71" s="271" t="s">
        <v>3151</v>
      </c>
      <c r="AL71" s="272" t="s">
        <v>3152</v>
      </c>
      <c r="AM71" s="273" t="s">
        <v>3153</v>
      </c>
    </row>
    <row r="72">
      <c r="A72" s="148" t="s">
        <v>441</v>
      </c>
      <c r="B72" s="149" t="s">
        <v>3154</v>
      </c>
      <c r="C72" s="150" t="s">
        <v>59</v>
      </c>
      <c r="D72" s="149" t="s">
        <v>3155</v>
      </c>
      <c r="E72" s="152" t="s">
        <v>3156</v>
      </c>
      <c r="F72" s="153" t="s">
        <v>168</v>
      </c>
      <c r="G72" s="156" t="s">
        <v>3157</v>
      </c>
      <c r="H72" s="149" t="s">
        <v>3158</v>
      </c>
      <c r="I72" s="158" t="s">
        <v>3159</v>
      </c>
      <c r="J72" s="149" t="s">
        <v>3160</v>
      </c>
      <c r="K72" s="161" t="s">
        <v>3161</v>
      </c>
      <c r="L72" s="162" t="s">
        <v>71</v>
      </c>
      <c r="M72" s="158"/>
      <c r="N72" s="164"/>
      <c r="O72" s="158"/>
      <c r="P72" s="158"/>
      <c r="Q72" s="158"/>
      <c r="R72" s="584" t="str">
        <f>HYPERLINK("https://pubmed.ncbi.nlm.nih.gov/35792483/", "Kridin (2022) - Bullous Pemphigoid")</f>
        <v>Kridin (2022) - Bullous Pemphigoid</v>
      </c>
      <c r="S72" s="275" t="str">
        <f>HYPERLINK("https://pubmed.ncbi.nlm.nih.gov/12140300/", "Joly (2002) - A Comparison of Oral and Topical Corticosteroids in Bullous Pemphigoid")</f>
        <v>Joly (2002) - A Comparison of Oral and Topical Corticosteroids in Bullous Pemphigoid</v>
      </c>
      <c r="T72" s="167" t="s">
        <v>3162</v>
      </c>
      <c r="U72" s="149" t="s">
        <v>79</v>
      </c>
      <c r="V72" s="168" t="s">
        <v>922</v>
      </c>
      <c r="W72" s="149" t="s">
        <v>150</v>
      </c>
      <c r="X72" s="169" t="s">
        <v>3163</v>
      </c>
      <c r="Y72" s="76">
        <v>1.3</v>
      </c>
      <c r="Z72" s="78">
        <v>65.0</v>
      </c>
      <c r="AA72" s="78">
        <v>65.0</v>
      </c>
      <c r="AB72" s="149" t="s">
        <v>153</v>
      </c>
      <c r="AC72" s="158"/>
      <c r="AD72" s="158"/>
      <c r="AE72" s="158"/>
      <c r="AF72" s="158"/>
      <c r="AG72" s="158"/>
      <c r="AH72" s="158"/>
      <c r="AI72" s="171" t="s">
        <v>3164</v>
      </c>
      <c r="AJ72" s="171" t="s">
        <v>3165</v>
      </c>
      <c r="AK72" s="172" t="s">
        <v>3166</v>
      </c>
      <c r="AL72" s="173" t="s">
        <v>3167</v>
      </c>
      <c r="AM72" s="174" t="s">
        <v>3168</v>
      </c>
    </row>
    <row r="73">
      <c r="A73" s="148" t="s">
        <v>3169</v>
      </c>
      <c r="B73" s="149" t="s">
        <v>3170</v>
      </c>
      <c r="C73" s="150" t="s">
        <v>137</v>
      </c>
      <c r="D73" s="149" t="s">
        <v>3171</v>
      </c>
      <c r="E73" s="152" t="s">
        <v>3172</v>
      </c>
      <c r="F73" s="153" t="s">
        <v>168</v>
      </c>
      <c r="G73" s="156" t="s">
        <v>3173</v>
      </c>
      <c r="H73" s="149" t="s">
        <v>3174</v>
      </c>
      <c r="I73" s="158" t="s">
        <v>3175</v>
      </c>
      <c r="J73" s="149" t="s">
        <v>3176</v>
      </c>
      <c r="K73" s="161" t="s">
        <v>3177</v>
      </c>
      <c r="L73" s="162"/>
      <c r="M73" s="163"/>
      <c r="N73" s="164"/>
      <c r="O73" s="163"/>
      <c r="P73" s="163"/>
      <c r="Q73" s="163"/>
      <c r="R73" s="399" t="str">
        <f>HYPERLINK("https://pubmed.ncbi.nlm.nih.gov/28408108/", "Conti (2017) - Bullous Systemic Lupus Erythematosus: Review of the Literature")</f>
        <v>Conti (2017) - Bullous Systemic Lupus Erythematosus: Review of the Literature</v>
      </c>
      <c r="S73" s="275" t="str">
        <f>HYPERLINK("https://pubmed.ncbi.nlm.nih.gov/6385387/", "Gammon (1984) - Type VII Collagen Antibodies in Bullous Systemic Lupus")</f>
        <v>Gammon (1984) - Type VII Collagen Antibodies in Bullous Systemic Lupus</v>
      </c>
      <c r="T73" s="167" t="s">
        <v>3178</v>
      </c>
      <c r="U73" s="149" t="s">
        <v>150</v>
      </c>
      <c r="V73" s="168" t="s">
        <v>1512</v>
      </c>
      <c r="W73" s="149" t="s">
        <v>150</v>
      </c>
      <c r="X73" s="169" t="s">
        <v>1512</v>
      </c>
      <c r="Y73" s="589"/>
      <c r="Z73" s="590"/>
      <c r="AA73" s="590"/>
      <c r="AB73" s="149"/>
      <c r="AC73" s="163"/>
      <c r="AD73" s="163"/>
      <c r="AE73" s="163"/>
      <c r="AF73" s="163"/>
      <c r="AG73" s="163"/>
      <c r="AH73" s="163"/>
      <c r="AI73" s="171" t="s">
        <v>3179</v>
      </c>
      <c r="AJ73" s="171" t="s">
        <v>3180</v>
      </c>
      <c r="AK73" s="172" t="s">
        <v>3181</v>
      </c>
      <c r="AL73" s="173" t="s">
        <v>3182</v>
      </c>
      <c r="AM73" s="174" t="s">
        <v>3183</v>
      </c>
    </row>
    <row r="74">
      <c r="A74" s="88" t="s">
        <v>446</v>
      </c>
      <c r="B74" s="89" t="s">
        <v>3184</v>
      </c>
      <c r="C74" s="90" t="s">
        <v>59</v>
      </c>
      <c r="D74" s="89" t="s">
        <v>3185</v>
      </c>
      <c r="E74" s="591" t="s">
        <v>3186</v>
      </c>
      <c r="F74" s="92" t="s">
        <v>101</v>
      </c>
      <c r="G74" s="93" t="s">
        <v>3187</v>
      </c>
      <c r="H74" s="89" t="s">
        <v>3188</v>
      </c>
      <c r="I74" s="94" t="s">
        <v>3189</v>
      </c>
      <c r="J74" s="89" t="s">
        <v>3190</v>
      </c>
      <c r="K74" s="96" t="s">
        <v>3191</v>
      </c>
      <c r="L74" s="97" t="s">
        <v>71</v>
      </c>
      <c r="M74" s="316"/>
      <c r="N74" s="98"/>
      <c r="O74" s="316"/>
      <c r="P74" s="316"/>
      <c r="Q74" s="316"/>
      <c r="R74" s="317" t="str">
        <f>HYPERLINK("https://pubmed.ncbi.nlm.nih.gov/30902809/", "Bassetti (2019) - Narcolepsy - Clinical Spectrum, Etiopathophysiology, Diagnosis and Treatment")</f>
        <v>Bassetti (2019) - Narcolepsy - Clinical Spectrum, Etiopathophysiology, Diagnosis and Treatment</v>
      </c>
      <c r="S74" s="369" t="str">
        <f>HYPERLINK("[link removed]", "Nishino (2000) - Hypocretin (Orexin) Deficiency in Human Narcolepsy")</f>
        <v>Nishino (2000) - Hypocretin (Orexin) Deficiency in Human Narcolepsy</v>
      </c>
      <c r="T74" s="318" t="s">
        <v>3192</v>
      </c>
      <c r="U74" s="89" t="s">
        <v>150</v>
      </c>
      <c r="V74" s="102" t="s">
        <v>2818</v>
      </c>
      <c r="W74" s="89" t="s">
        <v>150</v>
      </c>
      <c r="X74" s="104" t="s">
        <v>3193</v>
      </c>
      <c r="Y74" s="76">
        <v>2.0</v>
      </c>
      <c r="Z74" s="78">
        <v>10.0</v>
      </c>
      <c r="AA74" s="78">
        <v>20.0</v>
      </c>
      <c r="AB74" s="89" t="s">
        <v>84</v>
      </c>
      <c r="AC74" s="316"/>
      <c r="AD74" s="316"/>
      <c r="AE74" s="316"/>
      <c r="AF74" s="316"/>
      <c r="AG74" s="316"/>
      <c r="AH74" s="316"/>
      <c r="AI74" s="110" t="s">
        <v>3194</v>
      </c>
      <c r="AJ74" s="110" t="s">
        <v>3195</v>
      </c>
      <c r="AK74" s="111" t="s">
        <v>3196</v>
      </c>
      <c r="AL74" s="112" t="s">
        <v>3197</v>
      </c>
      <c r="AM74" s="113" t="s">
        <v>3198</v>
      </c>
    </row>
    <row r="75">
      <c r="A75" s="440" t="s">
        <v>456</v>
      </c>
      <c r="B75" s="441" t="s">
        <v>3199</v>
      </c>
      <c r="C75" s="442" t="s">
        <v>59</v>
      </c>
      <c r="D75" s="441" t="s">
        <v>3200</v>
      </c>
      <c r="E75" s="443" t="s">
        <v>3201</v>
      </c>
      <c r="F75" s="444" t="s">
        <v>3202</v>
      </c>
      <c r="G75" s="445" t="s">
        <v>3203</v>
      </c>
      <c r="H75" s="441" t="s">
        <v>3204</v>
      </c>
      <c r="I75" s="449" t="s">
        <v>3205</v>
      </c>
      <c r="J75" s="441" t="s">
        <v>3206</v>
      </c>
      <c r="K75" s="447" t="s">
        <v>3207</v>
      </c>
      <c r="L75" s="448" t="s">
        <v>71</v>
      </c>
      <c r="M75" s="449"/>
      <c r="N75" s="450"/>
      <c r="O75" s="449"/>
      <c r="P75" s="449"/>
      <c r="Q75" s="449"/>
      <c r="R75" s="451" t="str">
        <f>HYPERLINK("https://pubmed.ncbi.nlm.nih.gov/30679093/", "Lebwohl (2018) - Celiac Disease")</f>
        <v>Lebwohl (2018) - Celiac Disease</v>
      </c>
      <c r="S75" s="451" t="str">
        <f>HYPERLINK("[link removed]", "Dieterich (1997) - Identification of Tissue Transglutaminase as Celiac Autoantigen")</f>
        <v>Dieterich (1997) - Identification of Tissue Transglutaminase as Celiac Autoantigen</v>
      </c>
      <c r="T75" s="453" t="s">
        <v>3208</v>
      </c>
      <c r="U75" s="441" t="s">
        <v>150</v>
      </c>
      <c r="V75" s="454" t="s">
        <v>3209</v>
      </c>
      <c r="W75" s="441" t="s">
        <v>150</v>
      </c>
      <c r="X75" s="455" t="s">
        <v>3210</v>
      </c>
      <c r="Y75" s="76">
        <v>2.8</v>
      </c>
      <c r="Z75" s="289"/>
      <c r="AA75" s="289"/>
      <c r="AB75" s="441" t="s">
        <v>153</v>
      </c>
      <c r="AC75" s="449"/>
      <c r="AD75" s="449"/>
      <c r="AE75" s="449"/>
      <c r="AF75" s="449"/>
      <c r="AG75" s="449"/>
      <c r="AH75" s="449"/>
      <c r="AI75" s="456" t="s">
        <v>3211</v>
      </c>
      <c r="AJ75" s="456" t="s">
        <v>3212</v>
      </c>
      <c r="AK75" s="457" t="s">
        <v>3213</v>
      </c>
      <c r="AL75" s="592" t="s">
        <v>3214</v>
      </c>
      <c r="AM75" s="593" t="s">
        <v>3215</v>
      </c>
    </row>
    <row r="76">
      <c r="A76" s="88" t="s">
        <v>465</v>
      </c>
      <c r="B76" s="89" t="s">
        <v>3216</v>
      </c>
      <c r="C76" s="90" t="s">
        <v>137</v>
      </c>
      <c r="D76" s="89" t="s">
        <v>3217</v>
      </c>
      <c r="E76" s="91" t="s">
        <v>3218</v>
      </c>
      <c r="F76" s="92" t="s">
        <v>101</v>
      </c>
      <c r="G76" s="93" t="s">
        <v>170</v>
      </c>
      <c r="H76" s="89" t="s">
        <v>3219</v>
      </c>
      <c r="I76" s="94" t="s">
        <v>170</v>
      </c>
      <c r="J76" s="89" t="s">
        <v>137</v>
      </c>
      <c r="K76" s="96" t="s">
        <v>3220</v>
      </c>
      <c r="L76" s="97" t="s">
        <v>137</v>
      </c>
      <c r="M76" s="316"/>
      <c r="N76" s="98"/>
      <c r="O76" s="316"/>
      <c r="P76" s="316"/>
      <c r="Q76" s="316"/>
      <c r="R76" s="594" t="str">
        <f>HYPERLINK("https://pubmed.ncbi.nlm.nih.gov/34444586/", "Bateman (2021) - Myalgic Encephalomyelitis/Chronic Fatigue Syndrome: Essentials of Diagnosis and Management")</f>
        <v>Bateman (2021) - Myalgic Encephalomyelitis/Chronic Fatigue Syndrome: Essentials of Diagnosis and Management</v>
      </c>
      <c r="S76" s="370" t="str">
        <f>HYPERLINK("https://pubmed.ncbi.nlm.nih.gov/7978722/", "Fukuda (1994) - The Chronic Fatigue Syndrome: A Comprehensive Approach")</f>
        <v>Fukuda (1994) - The Chronic Fatigue Syndrome: A Comprehensive Approach</v>
      </c>
      <c r="T76" s="318" t="s">
        <v>3221</v>
      </c>
      <c r="U76" s="89" t="s">
        <v>150</v>
      </c>
      <c r="V76" s="102" t="s">
        <v>3222</v>
      </c>
      <c r="W76" s="89" t="s">
        <v>150</v>
      </c>
      <c r="X76" s="104" t="s">
        <v>3223</v>
      </c>
      <c r="Y76" s="76">
        <v>2.3</v>
      </c>
      <c r="Z76" s="78">
        <v>40.0</v>
      </c>
      <c r="AA76" s="78">
        <v>50.0</v>
      </c>
      <c r="AB76" s="89" t="s">
        <v>137</v>
      </c>
      <c r="AC76" s="316"/>
      <c r="AD76" s="316"/>
      <c r="AE76" s="316"/>
      <c r="AF76" s="316"/>
      <c r="AG76" s="316"/>
      <c r="AH76" s="316"/>
      <c r="AI76" s="110" t="s">
        <v>3224</v>
      </c>
      <c r="AJ76" s="110" t="s">
        <v>3225</v>
      </c>
      <c r="AK76" s="111" t="s">
        <v>3226</v>
      </c>
      <c r="AL76" s="595" t="s">
        <v>3227</v>
      </c>
      <c r="AM76" s="596" t="s">
        <v>3228</v>
      </c>
    </row>
    <row r="77">
      <c r="A77" s="88" t="s">
        <v>475</v>
      </c>
      <c r="B77" s="89" t="s">
        <v>3229</v>
      </c>
      <c r="C77" s="90" t="s">
        <v>59</v>
      </c>
      <c r="D77" s="89" t="s">
        <v>3230</v>
      </c>
      <c r="E77" s="91" t="s">
        <v>3231</v>
      </c>
      <c r="F77" s="92" t="s">
        <v>101</v>
      </c>
      <c r="G77" s="93" t="s">
        <v>3232</v>
      </c>
      <c r="H77" s="89" t="s">
        <v>3233</v>
      </c>
      <c r="I77" s="94" t="s">
        <v>1982</v>
      </c>
      <c r="J77" s="89" t="s">
        <v>3234</v>
      </c>
      <c r="K77" s="96" t="s">
        <v>3235</v>
      </c>
      <c r="L77" s="97" t="s">
        <v>941</v>
      </c>
      <c r="M77" s="316"/>
      <c r="N77" s="98"/>
      <c r="O77" s="316"/>
      <c r="P77" s="316"/>
      <c r="Q77" s="316"/>
      <c r="R77" s="317" t="str">
        <f>HYPERLINK("https://pubmed.ncbi.nlm.nih.gov/34085743/", "Van den Bergh (2021) - European Academy of Neurology/PNS Guideline on Diagnosis and Treatment of CIDP")</f>
        <v>Van den Bergh (2021) - European Academy of Neurology/PNS Guideline on Diagnosis and Treatment of CIDP</v>
      </c>
      <c r="S77" s="369" t="str">
        <f>HYPERLINK("[link removed]", "Dyck (1975) - Chronic Inflammatory Demyelinating Polyneuropathy")</f>
        <v>Dyck (1975) - Chronic Inflammatory Demyelinating Polyneuropathy</v>
      </c>
      <c r="T77" s="318" t="s">
        <v>3236</v>
      </c>
      <c r="U77" s="89" t="s">
        <v>150</v>
      </c>
      <c r="V77" s="102" t="s">
        <v>3237</v>
      </c>
      <c r="W77" s="89" t="s">
        <v>150</v>
      </c>
      <c r="X77" s="104" t="s">
        <v>3238</v>
      </c>
      <c r="Y77" s="76">
        <v>0.8</v>
      </c>
      <c r="Z77" s="78">
        <v>50.0</v>
      </c>
      <c r="AA77" s="78">
        <v>50.0</v>
      </c>
      <c r="AB77" s="89" t="s">
        <v>153</v>
      </c>
      <c r="AC77" s="316"/>
      <c r="AD77" s="316"/>
      <c r="AE77" s="316"/>
      <c r="AF77" s="316"/>
      <c r="AG77" s="316"/>
      <c r="AH77" s="316"/>
      <c r="AI77" s="110" t="s">
        <v>3239</v>
      </c>
      <c r="AJ77" s="110" t="s">
        <v>3240</v>
      </c>
      <c r="AK77" s="111" t="s">
        <v>3241</v>
      </c>
      <c r="AL77" s="112" t="s">
        <v>3242</v>
      </c>
      <c r="AM77" s="113" t="s">
        <v>3243</v>
      </c>
    </row>
    <row r="78">
      <c r="A78" s="597" t="s">
        <v>488</v>
      </c>
      <c r="B78" s="598" t="s">
        <v>3244</v>
      </c>
      <c r="C78" s="599" t="s">
        <v>137</v>
      </c>
      <c r="D78" s="598" t="s">
        <v>3245</v>
      </c>
      <c r="E78" s="600" t="s">
        <v>3246</v>
      </c>
      <c r="F78" s="601" t="s">
        <v>3247</v>
      </c>
      <c r="G78" s="602" t="s">
        <v>170</v>
      </c>
      <c r="H78" s="598" t="s">
        <v>3248</v>
      </c>
      <c r="I78" s="603" t="s">
        <v>170</v>
      </c>
      <c r="J78" s="598" t="s">
        <v>137</v>
      </c>
      <c r="K78" s="604" t="s">
        <v>3249</v>
      </c>
      <c r="L78" s="605" t="s">
        <v>137</v>
      </c>
      <c r="M78" s="606"/>
      <c r="N78" s="607"/>
      <c r="O78" s="606"/>
      <c r="P78" s="606"/>
      <c r="Q78" s="606"/>
      <c r="R78" s="608" t="str">
        <f>HYPERLINK("https://pubmed.ncbi.nlm.nih.gov/25623737/", "Hanno (2015) - AUA Guideline for the Diagnosis and Treatment of Interstitial Cystitis/Bladder Pain Syndrome")</f>
        <v>Hanno (2015) - AUA Guideline for the Diagnosis and Treatment of Interstitial Cystitis/Bladder Pain Syndrome</v>
      </c>
      <c r="S78" s="609" t="str">
        <f>HYPERLINK("https://pubmed.ncbi.nlm.nih.gov/21497800/", "Hanno (2011) - Diagnosis and Treatment of Interstitial Cystitis")</f>
        <v>Hanno (2011) - Diagnosis and Treatment of Interstitial Cystitis</v>
      </c>
      <c r="T78" s="610" t="s">
        <v>3250</v>
      </c>
      <c r="U78" s="598" t="s">
        <v>150</v>
      </c>
      <c r="V78" s="611" t="s">
        <v>3251</v>
      </c>
      <c r="W78" s="598" t="s">
        <v>150</v>
      </c>
      <c r="X78" s="612" t="s">
        <v>3252</v>
      </c>
      <c r="Y78" s="76">
        <v>10.9</v>
      </c>
      <c r="Z78" s="78">
        <v>40.0</v>
      </c>
      <c r="AA78" s="78">
        <v>100.0</v>
      </c>
      <c r="AB78" s="598" t="s">
        <v>84</v>
      </c>
      <c r="AC78" s="606"/>
      <c r="AD78" s="606"/>
      <c r="AE78" s="606"/>
      <c r="AF78" s="606"/>
      <c r="AG78" s="606"/>
      <c r="AH78" s="606"/>
      <c r="AI78" s="613" t="s">
        <v>3253</v>
      </c>
      <c r="AJ78" s="613" t="s">
        <v>3254</v>
      </c>
      <c r="AK78" s="614" t="s">
        <v>3255</v>
      </c>
      <c r="AL78" s="615" t="s">
        <v>3256</v>
      </c>
      <c r="AM78" s="616" t="s">
        <v>3257</v>
      </c>
    </row>
    <row r="79">
      <c r="A79" s="292" t="s">
        <v>498</v>
      </c>
      <c r="B79" s="294" t="s">
        <v>3258</v>
      </c>
      <c r="C79" s="295" t="s">
        <v>137</v>
      </c>
      <c r="D79" s="294" t="s">
        <v>3259</v>
      </c>
      <c r="E79" s="296" t="s">
        <v>3260</v>
      </c>
      <c r="F79" s="298" t="s">
        <v>385</v>
      </c>
      <c r="G79" s="299" t="s">
        <v>170</v>
      </c>
      <c r="H79" s="294" t="s">
        <v>3261</v>
      </c>
      <c r="I79" s="300" t="s">
        <v>170</v>
      </c>
      <c r="J79" s="294" t="s">
        <v>137</v>
      </c>
      <c r="K79" s="301" t="s">
        <v>3262</v>
      </c>
      <c r="L79" s="302" t="s">
        <v>137</v>
      </c>
      <c r="M79" s="303"/>
      <c r="N79" s="304"/>
      <c r="O79" s="303"/>
      <c r="P79" s="303"/>
      <c r="Q79" s="303"/>
      <c r="R79" s="305" t="str">
        <f>HYPERLINK("https://pubmed.ncbi.nlm.nih.gov/27989359/", "Steere (2016) - Lyme Borreliosis")</f>
        <v>Steere (2016) - Lyme Borreliosis</v>
      </c>
      <c r="S79" s="373" t="str">
        <f>HYPERLINK("[link removed]", "Klempner (2001) - Treatment of Post-Lyme Disease Symptoms")</f>
        <v>Klempner (2001) - Treatment of Post-Lyme Disease Symptoms</v>
      </c>
      <c r="T79" s="307" t="s">
        <v>3263</v>
      </c>
      <c r="U79" s="294" t="s">
        <v>150</v>
      </c>
      <c r="V79" s="308" t="s">
        <v>3264</v>
      </c>
      <c r="W79" s="294" t="s">
        <v>150</v>
      </c>
      <c r="X79" s="309" t="s">
        <v>285</v>
      </c>
      <c r="Y79" s="76">
        <v>1.4</v>
      </c>
      <c r="Z79" s="289"/>
      <c r="AA79" s="289"/>
      <c r="AB79" s="294" t="s">
        <v>137</v>
      </c>
      <c r="AC79" s="303"/>
      <c r="AD79" s="303"/>
      <c r="AE79" s="303"/>
      <c r="AF79" s="303"/>
      <c r="AG79" s="303"/>
      <c r="AH79" s="303"/>
      <c r="AI79" s="311" t="s">
        <v>3265</v>
      </c>
      <c r="AJ79" s="311" t="s">
        <v>3266</v>
      </c>
      <c r="AK79" s="312" t="s">
        <v>3267</v>
      </c>
      <c r="AL79" s="313" t="s">
        <v>3268</v>
      </c>
      <c r="AM79" s="314" t="s">
        <v>3269</v>
      </c>
    </row>
    <row r="80">
      <c r="A80" s="292" t="s">
        <v>520</v>
      </c>
      <c r="B80" s="294" t="s">
        <v>520</v>
      </c>
      <c r="C80" s="295" t="s">
        <v>137</v>
      </c>
      <c r="D80" s="294" t="s">
        <v>3270</v>
      </c>
      <c r="E80" s="296" t="s">
        <v>3271</v>
      </c>
      <c r="F80" s="298" t="s">
        <v>385</v>
      </c>
      <c r="G80" s="299" t="s">
        <v>170</v>
      </c>
      <c r="H80" s="294" t="s">
        <v>3272</v>
      </c>
      <c r="I80" s="300" t="s">
        <v>137</v>
      </c>
      <c r="J80" s="294" t="s">
        <v>137</v>
      </c>
      <c r="K80" s="301" t="s">
        <v>3273</v>
      </c>
      <c r="L80" s="302" t="s">
        <v>137</v>
      </c>
      <c r="M80" s="300"/>
      <c r="N80" s="304"/>
      <c r="O80" s="300"/>
      <c r="P80" s="300"/>
      <c r="Q80" s="300"/>
      <c r="R80" s="373" t="str">
        <f>HYPERLINK("https://pubmed.ncbi.nlm.nih.gov/28337585/", "Hofmann (2017) - Chronic Nonbacterial Osteomyelitis (CNO)")</f>
        <v>Hofmann (2017) - Chronic Nonbacterial Osteomyelitis (CNO)</v>
      </c>
      <c r="S80" s="373" t="str">
        <f>HYPERLINK("https://pubmed.ncbi.nlm.nih.gov/17599732/", "Jansson (2007) - Classification of Nonbacterial Osteomyelitis in Children")</f>
        <v>Jansson (2007) - Classification of Nonbacterial Osteomyelitis in Children</v>
      </c>
      <c r="T80" s="307" t="s">
        <v>3274</v>
      </c>
      <c r="U80" s="294" t="s">
        <v>150</v>
      </c>
      <c r="V80" s="308" t="s">
        <v>3275</v>
      </c>
      <c r="W80" s="294" t="s">
        <v>150</v>
      </c>
      <c r="X80" s="309" t="s">
        <v>284</v>
      </c>
      <c r="Y80" s="76">
        <v>0.8</v>
      </c>
      <c r="Z80" s="78">
        <v>9.0</v>
      </c>
      <c r="AA80" s="78">
        <v>10.0</v>
      </c>
      <c r="AB80" s="294" t="s">
        <v>3276</v>
      </c>
      <c r="AC80" s="300"/>
      <c r="AD80" s="300"/>
      <c r="AE80" s="300"/>
      <c r="AF80" s="300"/>
      <c r="AG80" s="300"/>
      <c r="AH80" s="300"/>
      <c r="AI80" s="311" t="s">
        <v>3277</v>
      </c>
      <c r="AJ80" s="311" t="s">
        <v>3278</v>
      </c>
      <c r="AK80" s="312" t="s">
        <v>3279</v>
      </c>
      <c r="AL80" s="313" t="s">
        <v>3280</v>
      </c>
      <c r="AM80" s="314" t="s">
        <v>3281</v>
      </c>
    </row>
    <row r="81">
      <c r="A81" s="201" t="s">
        <v>529</v>
      </c>
      <c r="B81" s="203" t="s">
        <v>3282</v>
      </c>
      <c r="C81" s="204" t="s">
        <v>137</v>
      </c>
      <c r="D81" s="203" t="s">
        <v>3283</v>
      </c>
      <c r="E81" s="205" t="s">
        <v>3284</v>
      </c>
      <c r="F81" s="206" t="s">
        <v>234</v>
      </c>
      <c r="G81" s="208" t="s">
        <v>170</v>
      </c>
      <c r="H81" s="203" t="s">
        <v>3285</v>
      </c>
      <c r="I81" s="209" t="s">
        <v>170</v>
      </c>
      <c r="J81" s="203" t="s">
        <v>137</v>
      </c>
      <c r="K81" s="210" t="s">
        <v>3286</v>
      </c>
      <c r="L81" s="212" t="s">
        <v>137</v>
      </c>
      <c r="M81" s="286"/>
      <c r="N81" s="213"/>
      <c r="O81" s="286"/>
      <c r="P81" s="286"/>
      <c r="Q81" s="286"/>
      <c r="R81" s="287" t="str">
        <f>HYPERLINK("https://pubmed.ncbi.nlm.nih.gov/36639608/", "Davis (2023) - Long COVID: Major Findings, Mechanisms and Recommendations")</f>
        <v>Davis (2023) - Long COVID: Major Findings, Mechanisms and Recommendations</v>
      </c>
      <c r="S81" s="238" t="str">
        <f>HYPERLINK("https://pubmed.ncbi.nlm.nih.gov/36639608/", "Davis (2023) - Long COVID: Major Findings and Mechanisms")</f>
        <v>Davis (2023) - Long COVID: Major Findings and Mechanisms</v>
      </c>
      <c r="T81" s="223" t="s">
        <v>3287</v>
      </c>
      <c r="U81" s="203" t="s">
        <v>150</v>
      </c>
      <c r="V81" s="224" t="s">
        <v>3288</v>
      </c>
      <c r="W81" s="203" t="s">
        <v>150</v>
      </c>
      <c r="X81" s="225" t="s">
        <v>3289</v>
      </c>
      <c r="Y81" s="76">
        <v>0.0</v>
      </c>
      <c r="Z81" s="289"/>
      <c r="AA81" s="289"/>
      <c r="AB81" s="203" t="s">
        <v>137</v>
      </c>
      <c r="AC81" s="286"/>
      <c r="AD81" s="286"/>
      <c r="AE81" s="286"/>
      <c r="AF81" s="286"/>
      <c r="AG81" s="286"/>
      <c r="AH81" s="286"/>
      <c r="AI81" s="227" t="s">
        <v>3290</v>
      </c>
      <c r="AJ81" s="227" t="s">
        <v>3291</v>
      </c>
      <c r="AK81" s="228" t="s">
        <v>3292</v>
      </c>
      <c r="AL81" s="617" t="s">
        <v>3293</v>
      </c>
      <c r="AM81" s="618" t="s">
        <v>3294</v>
      </c>
    </row>
    <row r="82">
      <c r="A82" s="88" t="s">
        <v>535</v>
      </c>
      <c r="B82" s="89" t="s">
        <v>3295</v>
      </c>
      <c r="C82" s="90" t="s">
        <v>59</v>
      </c>
      <c r="D82" s="89" t="s">
        <v>3296</v>
      </c>
      <c r="E82" s="91" t="s">
        <v>3297</v>
      </c>
      <c r="F82" s="92" t="s">
        <v>101</v>
      </c>
      <c r="G82" s="93" t="s">
        <v>1178</v>
      </c>
      <c r="H82" s="89" t="s">
        <v>3298</v>
      </c>
      <c r="I82" s="94" t="s">
        <v>3299</v>
      </c>
      <c r="J82" s="89" t="s">
        <v>3300</v>
      </c>
      <c r="K82" s="96" t="s">
        <v>3301</v>
      </c>
      <c r="L82" s="97" t="s">
        <v>71</v>
      </c>
      <c r="M82" s="94"/>
      <c r="N82" s="98"/>
      <c r="O82" s="94"/>
      <c r="P82" s="94"/>
      <c r="Q82" s="94"/>
      <c r="R82" s="99" t="str">
        <f>HYPERLINK("[link removed]", "Tayer-Shifman (2014) - Cogan's Syndrome - An Updated Review")</f>
        <v>Tayer-Shifman (2014) - Cogan's Syndrome - An Updated Review</v>
      </c>
      <c r="S82" s="369" t="str">
        <f>HYPERLINK("https://pubmed.ncbi.nlm.nih.gov/16380678/", "Gluth (2006) - Cogan Syndrome: A Retrospective Review of 60 Patients")</f>
        <v>Gluth (2006) - Cogan Syndrome: A Retrospective Review of 60 Patients</v>
      </c>
      <c r="T82" s="318" t="s">
        <v>3302</v>
      </c>
      <c r="U82" s="89" t="s">
        <v>150</v>
      </c>
      <c r="V82" s="102" t="s">
        <v>3020</v>
      </c>
      <c r="W82" s="89" t="s">
        <v>150</v>
      </c>
      <c r="X82" s="104" t="s">
        <v>285</v>
      </c>
      <c r="Y82" s="76">
        <v>0.0</v>
      </c>
      <c r="Z82" s="78">
        <v>20.0</v>
      </c>
      <c r="AA82" s="78">
        <v>30.0</v>
      </c>
      <c r="AB82" s="89" t="s">
        <v>153</v>
      </c>
      <c r="AC82" s="94"/>
      <c r="AD82" s="94"/>
      <c r="AE82" s="94"/>
      <c r="AF82" s="94"/>
      <c r="AG82" s="94"/>
      <c r="AH82" s="94"/>
      <c r="AI82" s="110" t="s">
        <v>3303</v>
      </c>
      <c r="AJ82" s="110" t="s">
        <v>3304</v>
      </c>
      <c r="AK82" s="111" t="s">
        <v>3305</v>
      </c>
      <c r="AL82" s="112" t="s">
        <v>3306</v>
      </c>
      <c r="AM82" s="113" t="s">
        <v>3307</v>
      </c>
    </row>
    <row r="83">
      <c r="A83" s="47" t="s">
        <v>537</v>
      </c>
      <c r="B83" s="48" t="s">
        <v>3308</v>
      </c>
      <c r="C83" s="49" t="s">
        <v>59</v>
      </c>
      <c r="D83" s="48" t="s">
        <v>3309</v>
      </c>
      <c r="E83" s="51" t="s">
        <v>3310</v>
      </c>
      <c r="F83" s="53" t="s">
        <v>62</v>
      </c>
      <c r="G83" s="56" t="s">
        <v>3311</v>
      </c>
      <c r="H83" s="48" t="s">
        <v>3312</v>
      </c>
      <c r="I83" s="58" t="s">
        <v>3313</v>
      </c>
      <c r="J83" s="48" t="s">
        <v>3314</v>
      </c>
      <c r="K83" s="60" t="s">
        <v>3315</v>
      </c>
      <c r="L83" s="63" t="s">
        <v>71</v>
      </c>
      <c r="M83" s="394"/>
      <c r="N83" s="65"/>
      <c r="O83" s="394"/>
      <c r="P83" s="394"/>
      <c r="Q83" s="394"/>
      <c r="R83" s="395" t="str">
        <f>HYPERLINK("https://pubmed.ncbi.nlm.nih.gov/31980814/", "Berentsen (2020) - How I Manage Cold Agglutinin Disease")</f>
        <v>Berentsen (2020) - How I Manage Cold Agglutinin Disease</v>
      </c>
      <c r="S83" s="70" t="str">
        <f>HYPERLINK("https://pubmed.ncbi.nlm.nih.gov/16900127/", "Berentsen (2006) - Primary Chronic Cold Agglutinin Disease: Clinical Study")</f>
        <v>Berentsen (2006) - Primary Chronic Cold Agglutinin Disease: Clinical Study</v>
      </c>
      <c r="T83" s="377" t="s">
        <v>3316</v>
      </c>
      <c r="U83" s="48" t="s">
        <v>150</v>
      </c>
      <c r="V83" s="73" t="s">
        <v>3317</v>
      </c>
      <c r="W83" s="48" t="s">
        <v>150</v>
      </c>
      <c r="X83" s="75" t="s">
        <v>3318</v>
      </c>
      <c r="Y83" s="76">
        <v>1.5</v>
      </c>
      <c r="Z83" s="78">
        <v>60.0</v>
      </c>
      <c r="AA83" s="78">
        <v>70.0</v>
      </c>
      <c r="AB83" s="48" t="s">
        <v>153</v>
      </c>
      <c r="AC83" s="394"/>
      <c r="AD83" s="394"/>
      <c r="AE83" s="394"/>
      <c r="AF83" s="394"/>
      <c r="AG83" s="394"/>
      <c r="AH83" s="394"/>
      <c r="AI83" s="84" t="s">
        <v>3319</v>
      </c>
      <c r="AJ83" s="84" t="s">
        <v>3320</v>
      </c>
      <c r="AK83" s="85" t="s">
        <v>3321</v>
      </c>
      <c r="AL83" s="379" t="s">
        <v>3322</v>
      </c>
      <c r="AM83" s="380" t="s">
        <v>3323</v>
      </c>
    </row>
    <row r="84">
      <c r="A84" s="88" t="s">
        <v>544</v>
      </c>
      <c r="B84" s="89" t="s">
        <v>3324</v>
      </c>
      <c r="C84" s="90" t="s">
        <v>137</v>
      </c>
      <c r="D84" s="89" t="s">
        <v>3325</v>
      </c>
      <c r="E84" s="91" t="s">
        <v>3326</v>
      </c>
      <c r="F84" s="92" t="s">
        <v>101</v>
      </c>
      <c r="G84" s="93" t="s">
        <v>3327</v>
      </c>
      <c r="H84" s="89" t="s">
        <v>3328</v>
      </c>
      <c r="I84" s="94" t="s">
        <v>3329</v>
      </c>
      <c r="J84" s="89" t="s">
        <v>137</v>
      </c>
      <c r="K84" s="96" t="s">
        <v>3330</v>
      </c>
      <c r="L84" s="97" t="s">
        <v>137</v>
      </c>
      <c r="M84" s="316"/>
      <c r="N84" s="98"/>
      <c r="O84" s="316"/>
      <c r="P84" s="316"/>
      <c r="Q84" s="316"/>
      <c r="R84" s="594" t="str">
        <f>HYPERLINK("https://pubmed.ncbi.nlm.nih.gov/29352078/", "Birklein (2018) - Complex Regional Pain Syndrome: Phenotypic Characteristics and Mechanisms")</f>
        <v>Birklein (2018) - Complex Regional Pain Syndrome: Phenotypic Characteristics and Mechanisms</v>
      </c>
      <c r="S84" s="369" t="str">
        <f>HYPERLINK("https://pubmed.ncbi.nlm.nih.gov/17157963/", "Harden (2007) - Validation of Proposed Diagnostic Criteria (Budapest Criteria) for CRPS")</f>
        <v>Harden (2007) - Validation of Proposed Diagnostic Criteria (Budapest Criteria) for CRPS</v>
      </c>
      <c r="T84" s="318" t="s">
        <v>3331</v>
      </c>
      <c r="U84" s="89" t="s">
        <v>79</v>
      </c>
      <c r="V84" s="102" t="s">
        <v>3332</v>
      </c>
      <c r="W84" s="89" t="s">
        <v>150</v>
      </c>
      <c r="X84" s="104" t="s">
        <v>3333</v>
      </c>
      <c r="Y84" s="76">
        <v>3.0</v>
      </c>
      <c r="Z84" s="78">
        <v>50.0</v>
      </c>
      <c r="AA84" s="78">
        <v>70.0</v>
      </c>
      <c r="AB84" s="89" t="s">
        <v>137</v>
      </c>
      <c r="AC84" s="316"/>
      <c r="AD84" s="316"/>
      <c r="AE84" s="316"/>
      <c r="AF84" s="316"/>
      <c r="AG84" s="316"/>
      <c r="AH84" s="316"/>
      <c r="AI84" s="110" t="s">
        <v>3334</v>
      </c>
      <c r="AJ84" s="110" t="s">
        <v>3335</v>
      </c>
      <c r="AK84" s="111" t="s">
        <v>3336</v>
      </c>
      <c r="AL84" s="112" t="s">
        <v>3337</v>
      </c>
      <c r="AM84" s="113" t="s">
        <v>3338</v>
      </c>
    </row>
    <row r="85">
      <c r="A85" s="201" t="s">
        <v>3339</v>
      </c>
      <c r="B85" s="203" t="s">
        <v>3340</v>
      </c>
      <c r="C85" s="204" t="s">
        <v>137</v>
      </c>
      <c r="D85" s="203" t="s">
        <v>3341</v>
      </c>
      <c r="E85" s="205" t="s">
        <v>3342</v>
      </c>
      <c r="F85" s="206" t="s">
        <v>234</v>
      </c>
      <c r="G85" s="208" t="s">
        <v>170</v>
      </c>
      <c r="H85" s="203" t="s">
        <v>3343</v>
      </c>
      <c r="I85" s="209" t="s">
        <v>3344</v>
      </c>
      <c r="J85" s="203" t="s">
        <v>3345</v>
      </c>
      <c r="K85" s="210" t="s">
        <v>3346</v>
      </c>
      <c r="L85" s="212"/>
      <c r="M85" s="286"/>
      <c r="N85" s="213"/>
      <c r="O85" s="286"/>
      <c r="P85" s="286"/>
      <c r="Q85" s="286"/>
      <c r="R85" s="390" t="str">
        <f>HYPERLINK("https://pubmed.ncbi.nlm.nih.gov/37821196/", "Tsitsami (2023) - COPA Syndrome from Diagnosis to Treatment: A Clinician's Guide")</f>
        <v>Tsitsami (2023) - COPA Syndrome from Diagnosis to Treatment: A Clinician's Guide</v>
      </c>
      <c r="S85" s="217" t="str">
        <f>HYPERLINK("https://pubmed.ncbi.nlm.nih.gov/25894819/", "Watkin (2015) - COPA Mutations in Hereditary Autoimmune Lung Disease and Arthritis")</f>
        <v>Watkin (2015) - COPA Mutations in Hereditary Autoimmune Lung Disease and Arthritis</v>
      </c>
      <c r="T85" s="223" t="s">
        <v>3347</v>
      </c>
      <c r="U85" s="203" t="s">
        <v>150</v>
      </c>
      <c r="V85" s="224" t="s">
        <v>3020</v>
      </c>
      <c r="W85" s="203" t="s">
        <v>150</v>
      </c>
      <c r="X85" s="225" t="s">
        <v>285</v>
      </c>
      <c r="Y85" s="241"/>
      <c r="Z85" s="242"/>
      <c r="AA85" s="242"/>
      <c r="AB85" s="203"/>
      <c r="AC85" s="286"/>
      <c r="AD85" s="286"/>
      <c r="AE85" s="286"/>
      <c r="AF85" s="286"/>
      <c r="AG85" s="286"/>
      <c r="AH85" s="286"/>
      <c r="AI85" s="227" t="s">
        <v>1139</v>
      </c>
      <c r="AJ85" s="227" t="s">
        <v>3348</v>
      </c>
      <c r="AK85" s="228" t="s">
        <v>3349</v>
      </c>
      <c r="AL85" s="391" t="s">
        <v>3350</v>
      </c>
      <c r="AM85" s="392" t="s">
        <v>3351</v>
      </c>
    </row>
    <row r="86">
      <c r="A86" s="440" t="s">
        <v>552</v>
      </c>
      <c r="B86" s="441" t="s">
        <v>3352</v>
      </c>
      <c r="C86" s="442" t="s">
        <v>59</v>
      </c>
      <c r="D86" s="441" t="s">
        <v>3353</v>
      </c>
      <c r="E86" s="443" t="s">
        <v>3354</v>
      </c>
      <c r="F86" s="444" t="s">
        <v>3355</v>
      </c>
      <c r="G86" s="445" t="s">
        <v>3356</v>
      </c>
      <c r="H86" s="441" t="s">
        <v>3357</v>
      </c>
      <c r="I86" s="449" t="s">
        <v>3358</v>
      </c>
      <c r="J86" s="441" t="s">
        <v>3359</v>
      </c>
      <c r="K86" s="447" t="s">
        <v>3360</v>
      </c>
      <c r="L86" s="448" t="s">
        <v>941</v>
      </c>
      <c r="M86" s="460"/>
      <c r="N86" s="450"/>
      <c r="O86" s="460"/>
      <c r="P86" s="460"/>
      <c r="Q86" s="460"/>
      <c r="R86" s="461" t="str">
        <f>HYPERLINK("https://pubmed.ncbi.nlm.nih.gov/28099788/", "Torres (2017) - Crohn's Disease")</f>
        <v>Torres (2017) - Crohn's Disease</v>
      </c>
      <c r="S86" s="451" t="str">
        <f>HYPERLINK("https://pubmed.ncbi.nlm.nih.gov/11385568/", "Hugot (2001) - Association of NOD2 Mutations with Susceptibility to Crohn's Disease")</f>
        <v>Hugot (2001) - Association of NOD2 Mutations with Susceptibility to Crohn's Disease</v>
      </c>
      <c r="T86" s="453" t="s">
        <v>3361</v>
      </c>
      <c r="U86" s="441" t="s">
        <v>150</v>
      </c>
      <c r="V86" s="454" t="s">
        <v>3251</v>
      </c>
      <c r="W86" s="441" t="s">
        <v>150</v>
      </c>
      <c r="X86" s="455" t="s">
        <v>3362</v>
      </c>
      <c r="Y86" s="76">
        <v>1.3</v>
      </c>
      <c r="Z86" s="78">
        <v>15.0</v>
      </c>
      <c r="AA86" s="78">
        <v>35.0</v>
      </c>
      <c r="AB86" s="441" t="s">
        <v>153</v>
      </c>
      <c r="AC86" s="460"/>
      <c r="AD86" s="460"/>
      <c r="AE86" s="460"/>
      <c r="AF86" s="460"/>
      <c r="AG86" s="460"/>
      <c r="AH86" s="460"/>
      <c r="AI86" s="456" t="s">
        <v>3363</v>
      </c>
      <c r="AJ86" s="456" t="s">
        <v>3364</v>
      </c>
      <c r="AK86" s="457" t="s">
        <v>3365</v>
      </c>
      <c r="AL86" s="458" t="s">
        <v>3366</v>
      </c>
      <c r="AM86" s="459" t="s">
        <v>3367</v>
      </c>
    </row>
    <row r="87">
      <c r="A87" s="619" t="s">
        <v>559</v>
      </c>
      <c r="B87" s="620" t="s">
        <v>3368</v>
      </c>
      <c r="C87" s="621" t="s">
        <v>59</v>
      </c>
      <c r="D87" s="620" t="s">
        <v>3369</v>
      </c>
      <c r="E87" s="622" t="s">
        <v>3370</v>
      </c>
      <c r="F87" s="623" t="s">
        <v>3371</v>
      </c>
      <c r="G87" s="624" t="s">
        <v>170</v>
      </c>
      <c r="H87" s="620" t="s">
        <v>3372</v>
      </c>
      <c r="I87" s="625" t="s">
        <v>170</v>
      </c>
      <c r="J87" s="620" t="s">
        <v>137</v>
      </c>
      <c r="K87" s="626" t="s">
        <v>3373</v>
      </c>
      <c r="L87" s="627" t="s">
        <v>71</v>
      </c>
      <c r="M87" s="628"/>
      <c r="N87" s="629"/>
      <c r="O87" s="628"/>
      <c r="P87" s="628"/>
      <c r="Q87" s="628"/>
      <c r="R87" s="630" t="str">
        <f>HYPERLINK("https://pubmed.ncbi.nlm.nih.gov/16880372/", "Cordier (2006) - Cryptogenic Organising Pneumonia")</f>
        <v>Cordier (2006) - Cryptogenic Organising Pneumonia</v>
      </c>
      <c r="S87" s="631" t="str">
        <f>HYPERLINK("https://pubmed.ncbi.nlm.nih.gov/3965933/", "Epler (1985) - Bronchiolitis Obliterans Organizing Pneumonia")</f>
        <v>Epler (1985) - Bronchiolitis Obliterans Organizing Pneumonia</v>
      </c>
      <c r="T87" s="632" t="s">
        <v>3374</v>
      </c>
      <c r="U87" s="620" t="s">
        <v>79</v>
      </c>
      <c r="V87" s="633" t="s">
        <v>3375</v>
      </c>
      <c r="W87" s="620" t="s">
        <v>79</v>
      </c>
      <c r="X87" s="634" t="s">
        <v>3376</v>
      </c>
      <c r="Y87" s="635">
        <v>1.2</v>
      </c>
      <c r="Z87" s="636">
        <v>40.0</v>
      </c>
      <c r="AA87" s="636">
        <v>60.0</v>
      </c>
      <c r="AB87" s="620" t="s">
        <v>84</v>
      </c>
      <c r="AC87" s="628"/>
      <c r="AD87" s="628"/>
      <c r="AE87" s="628"/>
      <c r="AF87" s="628"/>
      <c r="AG87" s="628"/>
      <c r="AH87" s="628"/>
      <c r="AI87" s="637" t="s">
        <v>3377</v>
      </c>
      <c r="AJ87" s="637" t="s">
        <v>3378</v>
      </c>
      <c r="AK87" s="638" t="s">
        <v>3379</v>
      </c>
      <c r="AL87" s="639" t="s">
        <v>3380</v>
      </c>
      <c r="AM87" s="640" t="s">
        <v>3381</v>
      </c>
    </row>
    <row r="88">
      <c r="A88" s="201" t="s">
        <v>3382</v>
      </c>
      <c r="B88" s="203" t="s">
        <v>3383</v>
      </c>
      <c r="C88" s="204" t="s">
        <v>137</v>
      </c>
      <c r="D88" s="203" t="s">
        <v>3384</v>
      </c>
      <c r="E88" s="205" t="s">
        <v>3385</v>
      </c>
      <c r="F88" s="206" t="s">
        <v>234</v>
      </c>
      <c r="G88" s="208" t="s">
        <v>170</v>
      </c>
      <c r="H88" s="203" t="s">
        <v>3386</v>
      </c>
      <c r="I88" s="209" t="s">
        <v>3387</v>
      </c>
      <c r="J88" s="203" t="s">
        <v>3388</v>
      </c>
      <c r="K88" s="210" t="s">
        <v>3389</v>
      </c>
      <c r="L88" s="212"/>
      <c r="M88" s="286"/>
      <c r="N88" s="213"/>
      <c r="O88" s="286"/>
      <c r="P88" s="286"/>
      <c r="Q88" s="286"/>
      <c r="R88" s="390" t="str">
        <f>HYPERLINK("https://pubmed.ncbi.nlm.nih.gov/33894000/", "Egg (2021) - Comprehensive Comparison Between 222 CTLA-4 Haploinsufficiency and 212 LRBA Deficiency Patients")</f>
        <v>Egg (2021) - Comprehensive Comparison Between 222 CTLA-4 Haploinsufficiency and 212 LRBA Deficiency Patients</v>
      </c>
      <c r="S88" s="217" t="str">
        <f>HYPERLINK("https://pubmed.ncbi.nlm.nih.gov/25213377/", "Kuehn (2014) - Immune Dysregulation in Human CTLA-4 Haploinsufficiency")</f>
        <v>Kuehn (2014) - Immune Dysregulation in Human CTLA-4 Haploinsufficiency</v>
      </c>
      <c r="T88" s="223" t="s">
        <v>3390</v>
      </c>
      <c r="U88" s="203" t="s">
        <v>150</v>
      </c>
      <c r="V88" s="224" t="s">
        <v>3020</v>
      </c>
      <c r="W88" s="203" t="s">
        <v>150</v>
      </c>
      <c r="X88" s="225" t="s">
        <v>285</v>
      </c>
      <c r="Y88" s="241"/>
      <c r="Z88" s="242"/>
      <c r="AA88" s="242"/>
      <c r="AB88" s="203"/>
      <c r="AC88" s="286"/>
      <c r="AD88" s="286"/>
      <c r="AE88" s="286"/>
      <c r="AF88" s="286"/>
      <c r="AG88" s="286"/>
      <c r="AH88" s="286"/>
      <c r="AI88" s="227" t="s">
        <v>3391</v>
      </c>
      <c r="AJ88" s="227" t="s">
        <v>3392</v>
      </c>
      <c r="AK88" s="228" t="s">
        <v>3393</v>
      </c>
      <c r="AL88" s="391" t="s">
        <v>3394</v>
      </c>
      <c r="AM88" s="392" t="s">
        <v>3395</v>
      </c>
    </row>
    <row r="89">
      <c r="A89" s="148" t="s">
        <v>563</v>
      </c>
      <c r="B89" s="149" t="s">
        <v>3396</v>
      </c>
      <c r="C89" s="150" t="s">
        <v>59</v>
      </c>
      <c r="D89" s="149" t="s">
        <v>3397</v>
      </c>
      <c r="E89" s="152" t="s">
        <v>3398</v>
      </c>
      <c r="F89" s="153" t="s">
        <v>168</v>
      </c>
      <c r="G89" s="156" t="s">
        <v>3399</v>
      </c>
      <c r="H89" s="149" t="s">
        <v>3400</v>
      </c>
      <c r="I89" s="158" t="s">
        <v>3401</v>
      </c>
      <c r="J89" s="149" t="s">
        <v>3402</v>
      </c>
      <c r="K89" s="161" t="s">
        <v>3403</v>
      </c>
      <c r="L89" s="162" t="s">
        <v>71</v>
      </c>
      <c r="M89" s="163"/>
      <c r="N89" s="164"/>
      <c r="O89" s="163"/>
      <c r="P89" s="163"/>
      <c r="Q89" s="163"/>
      <c r="R89" s="399" t="str">
        <f>HYPERLINK("https://pubmed.ncbi.nlm.nih.gov/27048658/", "Kuhn (2016) - Cutaneous Lupus Erythematosus: Update of Biology and Management")</f>
        <v>Kuhn (2016) - Cutaneous Lupus Erythematosus: Update of Biology and Management</v>
      </c>
      <c r="S89" s="275" t="str">
        <f>HYPERLINK("https://pubmed.ncbi.nlm.nih.gov/24716733/", "Kuhn (2014) - The Revised Cutaneous Lupus Erythematosus Disease Area and Severity Index")</f>
        <v>Kuhn (2014) - The Revised Cutaneous Lupus Erythematosus Disease Area and Severity Index</v>
      </c>
      <c r="T89" s="167" t="s">
        <v>3404</v>
      </c>
      <c r="U89" s="149" t="s">
        <v>150</v>
      </c>
      <c r="V89" s="168" t="s">
        <v>3405</v>
      </c>
      <c r="W89" s="149" t="s">
        <v>150</v>
      </c>
      <c r="X89" s="169" t="s">
        <v>3406</v>
      </c>
      <c r="Y89" s="76">
        <v>7.0</v>
      </c>
      <c r="Z89" s="78">
        <v>40.0</v>
      </c>
      <c r="AA89" s="78">
        <v>50.0</v>
      </c>
      <c r="AB89" s="149" t="s">
        <v>153</v>
      </c>
      <c r="AC89" s="163"/>
      <c r="AD89" s="163"/>
      <c r="AE89" s="163"/>
      <c r="AF89" s="163"/>
      <c r="AG89" s="163"/>
      <c r="AH89" s="163"/>
      <c r="AI89" s="171" t="s">
        <v>3407</v>
      </c>
      <c r="AJ89" s="171" t="s">
        <v>3408</v>
      </c>
      <c r="AK89" s="172" t="s">
        <v>3409</v>
      </c>
      <c r="AL89" s="173" t="s">
        <v>3410</v>
      </c>
      <c r="AM89" s="174" t="s">
        <v>3411</v>
      </c>
    </row>
    <row r="90">
      <c r="A90" s="148" t="s">
        <v>571</v>
      </c>
      <c r="B90" s="149" t="s">
        <v>571</v>
      </c>
      <c r="C90" s="150" t="s">
        <v>137</v>
      </c>
      <c r="D90" s="149" t="s">
        <v>3412</v>
      </c>
      <c r="E90" s="152" t="s">
        <v>3413</v>
      </c>
      <c r="F90" s="153" t="s">
        <v>168</v>
      </c>
      <c r="G90" s="156" t="s">
        <v>170</v>
      </c>
      <c r="H90" s="149" t="s">
        <v>3414</v>
      </c>
      <c r="I90" s="158" t="s">
        <v>170</v>
      </c>
      <c r="J90" s="149" t="s">
        <v>137</v>
      </c>
      <c r="K90" s="161" t="s">
        <v>3415</v>
      </c>
      <c r="L90" s="162" t="s">
        <v>137</v>
      </c>
      <c r="M90" s="163"/>
      <c r="N90" s="164"/>
      <c r="O90" s="163"/>
      <c r="P90" s="163"/>
      <c r="Q90" s="163"/>
      <c r="R90" s="399" t="str">
        <f>HYPERLINK("https://pubmed.ncbi.nlm.nih.gov/26685935/", "Hartmann (2016) - Cutaneous Manifestations in Mastocytosis: Consensus Report of the ECNM")</f>
        <v>Hartmann (2016) - Cutaneous Manifestations in Mastocytosis: Consensus Report of the ECNM</v>
      </c>
      <c r="S90" s="275" t="str">
        <f>HYPERLINK("https://pubmed.ncbi.nlm.nih.gov/26685935/", "Hartmann (2016) - Cutaneous Manifestations in Mastocytosis: Consensus Report")</f>
        <v>Hartmann (2016) - Cutaneous Manifestations in Mastocytosis: Consensus Report</v>
      </c>
      <c r="T90" s="167" t="s">
        <v>3416</v>
      </c>
      <c r="U90" s="149" t="s">
        <v>150</v>
      </c>
      <c r="V90" s="168" t="s">
        <v>3417</v>
      </c>
      <c r="W90" s="149" t="s">
        <v>150</v>
      </c>
      <c r="X90" s="169" t="s">
        <v>3417</v>
      </c>
      <c r="Y90" s="76">
        <v>1.6</v>
      </c>
      <c r="Z90" s="78" t="s">
        <v>3418</v>
      </c>
      <c r="AA90" s="78" t="s">
        <v>3419</v>
      </c>
      <c r="AB90" s="149" t="s">
        <v>3420</v>
      </c>
      <c r="AC90" s="163"/>
      <c r="AD90" s="163"/>
      <c r="AE90" s="163"/>
      <c r="AF90" s="163"/>
      <c r="AG90" s="163"/>
      <c r="AH90" s="163"/>
      <c r="AI90" s="171" t="s">
        <v>3421</v>
      </c>
      <c r="AJ90" s="171" t="s">
        <v>3422</v>
      </c>
      <c r="AK90" s="172" t="s">
        <v>3423</v>
      </c>
      <c r="AL90" s="173" t="s">
        <v>3424</v>
      </c>
      <c r="AM90" s="174" t="s">
        <v>3425</v>
      </c>
    </row>
    <row r="91">
      <c r="A91" s="148" t="s">
        <v>572</v>
      </c>
      <c r="B91" s="149" t="s">
        <v>3426</v>
      </c>
      <c r="C91" s="150" t="s">
        <v>59</v>
      </c>
      <c r="D91" s="149" t="s">
        <v>3427</v>
      </c>
      <c r="E91" s="152" t="s">
        <v>3428</v>
      </c>
      <c r="F91" s="153" t="s">
        <v>168</v>
      </c>
      <c r="G91" s="156" t="s">
        <v>3429</v>
      </c>
      <c r="H91" s="149" t="s">
        <v>3430</v>
      </c>
      <c r="I91" s="158" t="s">
        <v>3431</v>
      </c>
      <c r="J91" s="149" t="s">
        <v>3432</v>
      </c>
      <c r="K91" s="161" t="s">
        <v>3433</v>
      </c>
      <c r="L91" s="162" t="s">
        <v>71</v>
      </c>
      <c r="M91" s="163"/>
      <c r="N91" s="164"/>
      <c r="O91" s="163"/>
      <c r="P91" s="163"/>
      <c r="Q91" s="163"/>
      <c r="R91" s="165" t="str">
        <f>HYPERLINK("https://pubmed.ncbi.nlm.nih.gov/34293818/", "Reunala (2021) - Dermatitis Herpetiformis: An Update on Diagnosis and Management")</f>
        <v>Reunala (2021) - Dermatitis Herpetiformis: An Update on Diagnosis and Management</v>
      </c>
      <c r="S91" s="536" t="str">
        <f>HYPERLINK("[link removed]", "Dieterich (1997) - Epidermal Transglutaminase as Target in Dermatitis Herpetiformis")</f>
        <v>Dieterich (1997) - Epidermal Transglutaminase as Target in Dermatitis Herpetiformis</v>
      </c>
      <c r="T91" s="167" t="s">
        <v>3434</v>
      </c>
      <c r="U91" s="149" t="s">
        <v>150</v>
      </c>
      <c r="V91" s="168" t="s">
        <v>3435</v>
      </c>
      <c r="W91" s="149" t="s">
        <v>150</v>
      </c>
      <c r="X91" s="169" t="s">
        <v>3436</v>
      </c>
      <c r="Y91" s="76">
        <v>0.9</v>
      </c>
      <c r="Z91" s="78">
        <v>30.0</v>
      </c>
      <c r="AA91" s="78">
        <v>40.0</v>
      </c>
      <c r="AB91" s="149" t="s">
        <v>153</v>
      </c>
      <c r="AC91" s="163"/>
      <c r="AD91" s="163"/>
      <c r="AE91" s="163"/>
      <c r="AF91" s="163"/>
      <c r="AG91" s="163"/>
      <c r="AH91" s="163"/>
      <c r="AI91" s="171" t="s">
        <v>3437</v>
      </c>
      <c r="AJ91" s="171" t="s">
        <v>3438</v>
      </c>
      <c r="AK91" s="172" t="s">
        <v>3439</v>
      </c>
      <c r="AL91" s="173" t="s">
        <v>3440</v>
      </c>
      <c r="AM91" s="174" t="s">
        <v>3441</v>
      </c>
    </row>
    <row r="92">
      <c r="A92" s="148" t="s">
        <v>577</v>
      </c>
      <c r="B92" s="149" t="s">
        <v>3442</v>
      </c>
      <c r="C92" s="150" t="s">
        <v>59</v>
      </c>
      <c r="D92" s="149" t="s">
        <v>3443</v>
      </c>
      <c r="E92" s="152" t="s">
        <v>3444</v>
      </c>
      <c r="F92" s="153" t="s">
        <v>168</v>
      </c>
      <c r="G92" s="156" t="s">
        <v>3445</v>
      </c>
      <c r="H92" s="149" t="s">
        <v>3446</v>
      </c>
      <c r="I92" s="158" t="s">
        <v>3447</v>
      </c>
      <c r="J92" s="149" t="s">
        <v>3448</v>
      </c>
      <c r="K92" s="161" t="s">
        <v>3449</v>
      </c>
      <c r="L92" s="162" t="s">
        <v>71</v>
      </c>
      <c r="M92" s="163"/>
      <c r="N92" s="164"/>
      <c r="O92" s="163"/>
      <c r="P92" s="163"/>
      <c r="Q92" s="163"/>
      <c r="R92" s="399" t="str">
        <f>HYPERLINK("https://pubmed.ncbi.nlm.nih.gov/34857798/", "Lundberg (2021) - Idiopathic Inflammatory Myopathies")</f>
        <v>Lundberg (2021) - Idiopathic Inflammatory Myopathies</v>
      </c>
      <c r="S92" s="275" t="str">
        <f>HYPERLINK("https://pubmed.ncbi.nlm.nih.gov/1090839/", "Bohan &amp; Peter (1975) - Polymyositis and Dermatomyositis Criteria")</f>
        <v>Bohan &amp; Peter (1975) - Polymyositis and Dermatomyositis Criteria</v>
      </c>
      <c r="T92" s="167" t="s">
        <v>3450</v>
      </c>
      <c r="U92" s="149" t="s">
        <v>150</v>
      </c>
      <c r="V92" s="168" t="s">
        <v>3451</v>
      </c>
      <c r="W92" s="149" t="s">
        <v>150</v>
      </c>
      <c r="X92" s="169" t="s">
        <v>3452</v>
      </c>
      <c r="Y92" s="76">
        <v>3.6</v>
      </c>
      <c r="Z92" s="78" t="s">
        <v>3453</v>
      </c>
      <c r="AA92" s="78" t="s">
        <v>3454</v>
      </c>
      <c r="AB92" s="149" t="s">
        <v>153</v>
      </c>
      <c r="AC92" s="163"/>
      <c r="AD92" s="163"/>
      <c r="AE92" s="163"/>
      <c r="AF92" s="163"/>
      <c r="AG92" s="163"/>
      <c r="AH92" s="163"/>
      <c r="AI92" s="171" t="s">
        <v>3455</v>
      </c>
      <c r="AJ92" s="171" t="s">
        <v>3456</v>
      </c>
      <c r="AK92" s="172" t="s">
        <v>3457</v>
      </c>
      <c r="AL92" s="173" t="s">
        <v>3458</v>
      </c>
      <c r="AM92" s="174" t="s">
        <v>3459</v>
      </c>
    </row>
    <row r="93">
      <c r="A93" s="517" t="s">
        <v>579</v>
      </c>
      <c r="B93" s="518" t="s">
        <v>3460</v>
      </c>
      <c r="C93" s="519" t="s">
        <v>59</v>
      </c>
      <c r="D93" s="518" t="s">
        <v>3461</v>
      </c>
      <c r="E93" s="520" t="s">
        <v>3462</v>
      </c>
      <c r="F93" s="521" t="s">
        <v>1848</v>
      </c>
      <c r="G93" s="522" t="s">
        <v>3463</v>
      </c>
      <c r="H93" s="518" t="s">
        <v>3464</v>
      </c>
      <c r="I93" s="523" t="s">
        <v>3465</v>
      </c>
      <c r="J93" s="518" t="s">
        <v>3466</v>
      </c>
      <c r="K93" s="524" t="s">
        <v>3467</v>
      </c>
      <c r="L93" s="525" t="s">
        <v>71</v>
      </c>
      <c r="M93" s="641"/>
      <c r="N93" s="526"/>
      <c r="O93" s="641"/>
      <c r="P93" s="641"/>
      <c r="Q93" s="641"/>
      <c r="R93" s="642" t="str">
        <f>HYPERLINK("https://pubmed.ncbi.nlm.nih.gov/28358037/", "Katsarou (2017) - Type 1 Diabetes Mellitus")</f>
        <v>Katsarou (2017) - Type 1 Diabetes Mellitus</v>
      </c>
      <c r="S93" s="528" t="str">
        <f>HYPERLINK("[link removed]", "Bottazzo (1974) - Islet-Cell Antibodies in Diabetes Mellitus with Autoimmune Polyendocrine Deficiencies")</f>
        <v>Bottazzo (1974) - Islet-Cell Antibodies in Diabetes Mellitus with Autoimmune Polyendocrine Deficiencies</v>
      </c>
      <c r="T93" s="529" t="s">
        <v>3468</v>
      </c>
      <c r="U93" s="518" t="s">
        <v>150</v>
      </c>
      <c r="V93" s="530" t="s">
        <v>2101</v>
      </c>
      <c r="W93" s="518" t="s">
        <v>150</v>
      </c>
      <c r="X93" s="531" t="s">
        <v>3469</v>
      </c>
      <c r="Y93" s="76">
        <v>1.2</v>
      </c>
      <c r="Z93" s="78">
        <v>15.0</v>
      </c>
      <c r="AA93" s="78">
        <v>39.0</v>
      </c>
      <c r="AB93" s="518" t="s">
        <v>153</v>
      </c>
      <c r="AC93" s="641"/>
      <c r="AD93" s="641"/>
      <c r="AE93" s="641"/>
      <c r="AF93" s="641"/>
      <c r="AG93" s="641"/>
      <c r="AH93" s="641"/>
      <c r="AI93" s="532" t="s">
        <v>3470</v>
      </c>
      <c r="AJ93" s="532" t="s">
        <v>3471</v>
      </c>
      <c r="AK93" s="533" t="s">
        <v>3472</v>
      </c>
      <c r="AL93" s="534" t="s">
        <v>3473</v>
      </c>
      <c r="AM93" s="535" t="s">
        <v>3474</v>
      </c>
    </row>
    <row r="94">
      <c r="A94" s="292" t="s">
        <v>584</v>
      </c>
      <c r="B94" s="294" t="s">
        <v>3475</v>
      </c>
      <c r="C94" s="295" t="s">
        <v>59</v>
      </c>
      <c r="D94" s="294" t="s">
        <v>3476</v>
      </c>
      <c r="E94" s="296" t="s">
        <v>3477</v>
      </c>
      <c r="F94" s="298" t="s">
        <v>3478</v>
      </c>
      <c r="G94" s="299" t="s">
        <v>3479</v>
      </c>
      <c r="H94" s="294" t="s">
        <v>3480</v>
      </c>
      <c r="I94" s="300" t="s">
        <v>3481</v>
      </c>
      <c r="J94" s="294" t="s">
        <v>3482</v>
      </c>
      <c r="K94" s="301" t="s">
        <v>3483</v>
      </c>
      <c r="L94" s="302" t="s">
        <v>71</v>
      </c>
      <c r="M94" s="303"/>
      <c r="N94" s="304"/>
      <c r="O94" s="303"/>
      <c r="P94" s="303"/>
      <c r="Q94" s="303"/>
      <c r="R94" s="305" t="str">
        <f>HYPERLINK("[link removed]", "Titulaer (2011) - Lambert-Eaton Myasthenic Syndrome: From Characteristics to Therapeutic Strategies")</f>
        <v>Titulaer (2011) - Lambert-Eaton Myasthenic Syndrome: From Characteristics to Therapeutic Strategies</v>
      </c>
      <c r="S94" s="373" t="str">
        <f>HYPERLINK("https://pubmed.ncbi.nlm.nih.gov/9179848/", "Motomura (1997) - Autoantibodies to Calcium Channels in Lambert-Eaton Syndrome")</f>
        <v>Motomura (1997) - Autoantibodies to Calcium Channels in Lambert-Eaton Syndrome</v>
      </c>
      <c r="T94" s="307" t="s">
        <v>3484</v>
      </c>
      <c r="U94" s="294" t="s">
        <v>150</v>
      </c>
      <c r="V94" s="308" t="s">
        <v>3485</v>
      </c>
      <c r="W94" s="294" t="s">
        <v>150</v>
      </c>
      <c r="X94" s="309" t="s">
        <v>3486</v>
      </c>
      <c r="Y94" s="76">
        <v>2.3</v>
      </c>
      <c r="Z94" s="78">
        <v>50.0</v>
      </c>
      <c r="AA94" s="78">
        <v>70.0</v>
      </c>
      <c r="AB94" s="294" t="s">
        <v>3487</v>
      </c>
      <c r="AC94" s="303"/>
      <c r="AD94" s="303"/>
      <c r="AE94" s="303"/>
      <c r="AF94" s="303"/>
      <c r="AG94" s="303"/>
      <c r="AH94" s="303"/>
      <c r="AI94" s="311" t="s">
        <v>3488</v>
      </c>
      <c r="AJ94" s="311" t="s">
        <v>3489</v>
      </c>
      <c r="AK94" s="312" t="s">
        <v>3490</v>
      </c>
      <c r="AL94" s="313" t="s">
        <v>3491</v>
      </c>
      <c r="AM94" s="314" t="s">
        <v>3492</v>
      </c>
    </row>
    <row r="95">
      <c r="A95" s="201" t="s">
        <v>588</v>
      </c>
      <c r="B95" s="203" t="s">
        <v>3493</v>
      </c>
      <c r="C95" s="204" t="s">
        <v>137</v>
      </c>
      <c r="D95" s="203" t="s">
        <v>3494</v>
      </c>
      <c r="E95" s="205" t="s">
        <v>3495</v>
      </c>
      <c r="F95" s="206" t="s">
        <v>234</v>
      </c>
      <c r="G95" s="208" t="s">
        <v>170</v>
      </c>
      <c r="H95" s="203" t="s">
        <v>3496</v>
      </c>
      <c r="I95" s="209" t="s">
        <v>3497</v>
      </c>
      <c r="J95" s="203" t="s">
        <v>137</v>
      </c>
      <c r="K95" s="210" t="s">
        <v>3498</v>
      </c>
      <c r="L95" s="212" t="s">
        <v>137</v>
      </c>
      <c r="M95" s="286"/>
      <c r="N95" s="213"/>
      <c r="O95" s="286"/>
      <c r="P95" s="286"/>
      <c r="Q95" s="286"/>
      <c r="R95" s="390" t="str">
        <f>HYPERLINK("https://pubmed.ncbi.nlm.nih.gov/32042040/", "Zondervan (2020) - Endometriosis")</f>
        <v>Zondervan (2020) - Endometriosis</v>
      </c>
      <c r="S95" s="217" t="str">
        <f>HYPERLINK("[link removed]", "Giudice (2010) - Endometriosis: Pathogenesis and Clinical Features")</f>
        <v>Giudice (2010) - Endometriosis: Pathogenesis and Clinical Features</v>
      </c>
      <c r="T95" s="223" t="s">
        <v>3499</v>
      </c>
      <c r="U95" s="203" t="s">
        <v>150</v>
      </c>
      <c r="V95" s="224" t="s">
        <v>3500</v>
      </c>
      <c r="W95" s="203" t="s">
        <v>150</v>
      </c>
      <c r="X95" s="225" t="s">
        <v>3501</v>
      </c>
      <c r="Y95" s="76">
        <v>6544.8</v>
      </c>
      <c r="Z95" s="78">
        <v>15.0</v>
      </c>
      <c r="AA95" s="78">
        <v>35.0</v>
      </c>
      <c r="AB95" s="203" t="s">
        <v>137</v>
      </c>
      <c r="AC95" s="286"/>
      <c r="AD95" s="286"/>
      <c r="AE95" s="286"/>
      <c r="AF95" s="286"/>
      <c r="AG95" s="286"/>
      <c r="AH95" s="286"/>
      <c r="AI95" s="227" t="s">
        <v>3502</v>
      </c>
      <c r="AJ95" s="227" t="s">
        <v>3503</v>
      </c>
      <c r="AK95" s="228" t="s">
        <v>3504</v>
      </c>
      <c r="AL95" s="391" t="s">
        <v>3505</v>
      </c>
      <c r="AM95" s="392" t="s">
        <v>3506</v>
      </c>
    </row>
    <row r="96">
      <c r="A96" s="292" t="s">
        <v>593</v>
      </c>
      <c r="B96" s="294" t="s">
        <v>3507</v>
      </c>
      <c r="C96" s="295" t="s">
        <v>59</v>
      </c>
      <c r="D96" s="294" t="s">
        <v>3508</v>
      </c>
      <c r="E96" s="296" t="s">
        <v>3509</v>
      </c>
      <c r="F96" s="298" t="s">
        <v>385</v>
      </c>
      <c r="G96" s="299" t="s">
        <v>170</v>
      </c>
      <c r="H96" s="294" t="s">
        <v>3510</v>
      </c>
      <c r="I96" s="300" t="s">
        <v>170</v>
      </c>
      <c r="J96" s="294" t="s">
        <v>137</v>
      </c>
      <c r="K96" s="301" t="s">
        <v>3511</v>
      </c>
      <c r="L96" s="302" t="s">
        <v>71</v>
      </c>
      <c r="M96" s="303"/>
      <c r="N96" s="304"/>
      <c r="O96" s="303"/>
      <c r="P96" s="303"/>
      <c r="Q96" s="303"/>
      <c r="R96" s="305" t="str">
        <f>HYPERLINK("[link removed]", "Schett (2017) - Enthesitis: From Pathophysiology to Treatment")</f>
        <v>Schett (2017) - Enthesitis: From Pathophysiology to Treatment</v>
      </c>
      <c r="S96" s="373" t="str">
        <f>HYPERLINK("https://pubmed.ncbi.nlm.nih.gov/9652758/", "McGonagle (1998) - The Enthesis as Primary Site of Spondyloarthritis Pathology")</f>
        <v>McGonagle (1998) - The Enthesis as Primary Site of Spondyloarthritis Pathology</v>
      </c>
      <c r="T96" s="307" t="s">
        <v>3512</v>
      </c>
      <c r="U96" s="294" t="s">
        <v>150</v>
      </c>
      <c r="V96" s="308" t="s">
        <v>3513</v>
      </c>
      <c r="W96" s="294" t="s">
        <v>150</v>
      </c>
      <c r="X96" s="309" t="s">
        <v>285</v>
      </c>
      <c r="Y96" s="76"/>
      <c r="Z96" s="78">
        <v>30.0</v>
      </c>
      <c r="AA96" s="78">
        <v>60.0</v>
      </c>
      <c r="AB96" s="294" t="s">
        <v>153</v>
      </c>
      <c r="AC96" s="303"/>
      <c r="AD96" s="303"/>
      <c r="AE96" s="303"/>
      <c r="AF96" s="303"/>
      <c r="AG96" s="303"/>
      <c r="AH96" s="303"/>
      <c r="AI96" s="311" t="s">
        <v>3514</v>
      </c>
      <c r="AJ96" s="311" t="s">
        <v>3515</v>
      </c>
      <c r="AK96" s="312" t="s">
        <v>3516</v>
      </c>
      <c r="AL96" s="313" t="s">
        <v>3517</v>
      </c>
      <c r="AM96" s="314" t="s">
        <v>3518</v>
      </c>
    </row>
    <row r="97">
      <c r="A97" s="440" t="s">
        <v>596</v>
      </c>
      <c r="B97" s="441" t="s">
        <v>596</v>
      </c>
      <c r="C97" s="442" t="s">
        <v>137</v>
      </c>
      <c r="D97" s="441" t="s">
        <v>3519</v>
      </c>
      <c r="E97" s="443" t="s">
        <v>3520</v>
      </c>
      <c r="F97" s="444" t="s">
        <v>3355</v>
      </c>
      <c r="G97" s="445" t="s">
        <v>170</v>
      </c>
      <c r="H97" s="441" t="s">
        <v>3521</v>
      </c>
      <c r="I97" s="449" t="s">
        <v>170</v>
      </c>
      <c r="J97" s="441" t="s">
        <v>137</v>
      </c>
      <c r="K97" s="447" t="s">
        <v>3522</v>
      </c>
      <c r="L97" s="448" t="s">
        <v>137</v>
      </c>
      <c r="M97" s="460"/>
      <c r="N97" s="450"/>
      <c r="O97" s="460"/>
      <c r="P97" s="460"/>
      <c r="Q97" s="460"/>
      <c r="R97" s="461" t="str">
        <f>HYPERLINK("https://pubmed.ncbi.nlm.nih.gov/28237251/", "Lucendo (2017) - Guidelines on Eosinophilic Esophagitis: Evidence-Based Recommendations")</f>
        <v>Lucendo (2017) - Guidelines on Eosinophilic Esophagitis: Evidence-Based Recommendations</v>
      </c>
      <c r="S97" s="451" t="str">
        <f>HYPERLINK("https://pubmed.ncbi.nlm.nih.gov/17578504/", "Furuta (2007) - Eosinophilic Esophagitis: Consensus Recommendations")</f>
        <v>Furuta (2007) - Eosinophilic Esophagitis: Consensus Recommendations</v>
      </c>
      <c r="T97" s="453" t="s">
        <v>3523</v>
      </c>
      <c r="U97" s="441" t="s">
        <v>150</v>
      </c>
      <c r="V97" s="454" t="s">
        <v>3524</v>
      </c>
      <c r="W97" s="441" t="s">
        <v>150</v>
      </c>
      <c r="X97" s="455" t="s">
        <v>3525</v>
      </c>
      <c r="Y97" s="76">
        <v>0.6</v>
      </c>
      <c r="Z97" s="78">
        <v>30.0</v>
      </c>
      <c r="AA97" s="78">
        <v>50.0</v>
      </c>
      <c r="AB97" s="441" t="s">
        <v>3420</v>
      </c>
      <c r="AC97" s="460"/>
      <c r="AD97" s="460"/>
      <c r="AE97" s="460"/>
      <c r="AF97" s="460"/>
      <c r="AG97" s="460"/>
      <c r="AH97" s="460"/>
      <c r="AI97" s="456" t="s">
        <v>3526</v>
      </c>
      <c r="AJ97" s="456" t="s">
        <v>3527</v>
      </c>
      <c r="AK97" s="457" t="s">
        <v>3528</v>
      </c>
      <c r="AL97" s="458" t="s">
        <v>3529</v>
      </c>
      <c r="AM97" s="459" t="s">
        <v>3530</v>
      </c>
    </row>
    <row r="98">
      <c r="A98" s="148" t="s">
        <v>3531</v>
      </c>
      <c r="B98" s="149" t="s">
        <v>3532</v>
      </c>
      <c r="C98" s="150" t="s">
        <v>59</v>
      </c>
      <c r="D98" s="149" t="s">
        <v>3533</v>
      </c>
      <c r="E98" s="152" t="s">
        <v>3534</v>
      </c>
      <c r="F98" s="153" t="s">
        <v>168</v>
      </c>
      <c r="G98" s="156" t="s">
        <v>3173</v>
      </c>
      <c r="H98" s="149" t="s">
        <v>3535</v>
      </c>
      <c r="I98" s="158" t="s">
        <v>3536</v>
      </c>
      <c r="J98" s="149" t="s">
        <v>3537</v>
      </c>
      <c r="K98" s="161" t="s">
        <v>3538</v>
      </c>
      <c r="L98" s="162" t="s">
        <v>71</v>
      </c>
      <c r="M98" s="163"/>
      <c r="N98" s="164"/>
      <c r="O98" s="163"/>
      <c r="P98" s="163"/>
      <c r="Q98" s="163"/>
      <c r="R98" s="536" t="str">
        <f>HYPERLINK("https://pubmed.ncbi.nlm.nih.gov/24690439/", "Fine (2014) - Inherited Epidermolysis Bullosa: Updated Recommendations on Diagnosis and Classification")</f>
        <v>Fine (2014) - Inherited Epidermolysis Bullosa: Updated Recommendations on Diagnosis and Classification</v>
      </c>
      <c r="S98" s="278" t="str">
        <f>HYPERLINK("https://pubmed.ncbi.nlm.nih.gov/24690439/", "Fine (2014) - Inherited Epidermolysis Bullosa Consensus Recommendations")</f>
        <v>Fine (2014) - Inherited Epidermolysis Bullosa Consensus Recommendations</v>
      </c>
      <c r="T98" s="643" t="s">
        <v>3539</v>
      </c>
      <c r="U98" s="644" t="s">
        <v>150</v>
      </c>
      <c r="V98" s="645" t="s">
        <v>367</v>
      </c>
      <c r="W98" s="644" t="s">
        <v>79</v>
      </c>
      <c r="X98" s="169" t="s">
        <v>3540</v>
      </c>
      <c r="Y98" s="76">
        <v>1.5</v>
      </c>
      <c r="Z98" s="78">
        <v>25.0</v>
      </c>
      <c r="AA98" s="78">
        <v>75.0</v>
      </c>
      <c r="AB98" s="149" t="s">
        <v>84</v>
      </c>
      <c r="AC98" s="163"/>
      <c r="AD98" s="163"/>
      <c r="AE98" s="163"/>
      <c r="AF98" s="163"/>
      <c r="AG98" s="163"/>
      <c r="AH98" s="163"/>
      <c r="AI98" s="171" t="s">
        <v>3541</v>
      </c>
      <c r="AJ98" s="171" t="s">
        <v>3542</v>
      </c>
      <c r="AK98" s="172" t="s">
        <v>3543</v>
      </c>
      <c r="AL98" s="284" t="s">
        <v>3544</v>
      </c>
      <c r="AM98" s="285" t="s">
        <v>3545</v>
      </c>
    </row>
    <row r="99">
      <c r="A99" s="88" t="s">
        <v>599</v>
      </c>
      <c r="B99" s="89" t="s">
        <v>599</v>
      </c>
      <c r="C99" s="90" t="s">
        <v>137</v>
      </c>
      <c r="D99" s="89" t="s">
        <v>3546</v>
      </c>
      <c r="E99" s="91" t="s">
        <v>3547</v>
      </c>
      <c r="F99" s="92" t="s">
        <v>101</v>
      </c>
      <c r="G99" s="93" t="s">
        <v>170</v>
      </c>
      <c r="H99" s="89" t="s">
        <v>3548</v>
      </c>
      <c r="I99" s="94" t="s">
        <v>3549</v>
      </c>
      <c r="J99" s="89" t="s">
        <v>3550</v>
      </c>
      <c r="K99" s="96" t="s">
        <v>3551</v>
      </c>
      <c r="L99" s="97" t="s">
        <v>137</v>
      </c>
      <c r="M99" s="316"/>
      <c r="N99" s="98"/>
      <c r="O99" s="316"/>
      <c r="P99" s="316"/>
      <c r="Q99" s="316"/>
      <c r="R99" s="594" t="str">
        <f>HYPERLINK("https://pubmed.ncbi.nlm.nih.gov/31336060/", "Geis (2019) - Autoimmune Epilepsy: Pathophysiology and Treatment")</f>
        <v>Geis (2019) - Autoimmune Epilepsy: Pathophysiology and Treatment</v>
      </c>
      <c r="S99" s="370" t="str">
        <f>HYPERLINK("https://pubmed.ncbi.nlm.nih.gov/22427323/", "Quek (2012) - Autoimmune Epilepsy: Clinical Characteristics and Response to Immunotherapy")</f>
        <v>Quek (2012) - Autoimmune Epilepsy: Clinical Characteristics and Response to Immunotherapy</v>
      </c>
      <c r="T99" s="318" t="s">
        <v>3552</v>
      </c>
      <c r="U99" s="646" t="s">
        <v>150</v>
      </c>
      <c r="V99" s="647" t="s">
        <v>2669</v>
      </c>
      <c r="W99" s="646" t="s">
        <v>150</v>
      </c>
      <c r="X99" s="104" t="s">
        <v>3553</v>
      </c>
      <c r="Y99" s="76">
        <v>1.2</v>
      </c>
      <c r="Z99" s="78" t="s">
        <v>3554</v>
      </c>
      <c r="AA99" s="78" t="s">
        <v>3555</v>
      </c>
      <c r="AB99" s="89" t="s">
        <v>137</v>
      </c>
      <c r="AC99" s="316"/>
      <c r="AD99" s="316"/>
      <c r="AE99" s="316"/>
      <c r="AF99" s="316"/>
      <c r="AG99" s="316"/>
      <c r="AH99" s="316"/>
      <c r="AI99" s="110" t="s">
        <v>3556</v>
      </c>
      <c r="AJ99" s="110" t="s">
        <v>3557</v>
      </c>
      <c r="AK99" s="111" t="s">
        <v>3558</v>
      </c>
      <c r="AL99" s="595" t="s">
        <v>3559</v>
      </c>
      <c r="AM99" s="596" t="s">
        <v>3560</v>
      </c>
    </row>
    <row r="100">
      <c r="A100" s="88" t="s">
        <v>600</v>
      </c>
      <c r="B100" s="89" t="s">
        <v>600</v>
      </c>
      <c r="C100" s="90" t="s">
        <v>59</v>
      </c>
      <c r="D100" s="89" t="s">
        <v>3561</v>
      </c>
      <c r="E100" s="91" t="s">
        <v>3562</v>
      </c>
      <c r="F100" s="92" t="s">
        <v>101</v>
      </c>
      <c r="G100" s="93" t="s">
        <v>170</v>
      </c>
      <c r="H100" s="89" t="s">
        <v>3563</v>
      </c>
      <c r="I100" s="94" t="s">
        <v>3564</v>
      </c>
      <c r="J100" s="89" t="s">
        <v>137</v>
      </c>
      <c r="K100" s="96" t="s">
        <v>3565</v>
      </c>
      <c r="L100" s="97" t="s">
        <v>71</v>
      </c>
      <c r="M100" s="316"/>
      <c r="N100" s="98"/>
      <c r="O100" s="316"/>
      <c r="P100" s="316"/>
      <c r="Q100" s="316"/>
      <c r="R100" s="317" t="str">
        <f>HYPERLINK("https://pubmed.ncbi.nlm.nih.gov/22421322/", "Sainz de la Maza (2012) - Clinical Characteristics of Scleritis and Episcleritis")</f>
        <v>Sainz de la Maza (2012) - Clinical Characteristics of Scleritis and Episcleritis</v>
      </c>
      <c r="S100" s="369" t="str">
        <f>HYPERLINK("[link removed]", "Watson &amp; Hayreh (1976) - Scleritis and Episcleritis")</f>
        <v>Watson &amp; Hayreh (1976) - Scleritis and Episcleritis</v>
      </c>
      <c r="T100" s="318" t="s">
        <v>3566</v>
      </c>
      <c r="U100" s="89" t="s">
        <v>150</v>
      </c>
      <c r="V100" s="102" t="s">
        <v>3567</v>
      </c>
      <c r="W100" s="89" t="s">
        <v>150</v>
      </c>
      <c r="X100" s="104" t="s">
        <v>3568</v>
      </c>
      <c r="Y100" s="76">
        <v>2.6</v>
      </c>
      <c r="Z100" s="289"/>
      <c r="AA100" s="289"/>
      <c r="AB100" s="89" t="s">
        <v>84</v>
      </c>
      <c r="AC100" s="316"/>
      <c r="AD100" s="316"/>
      <c r="AE100" s="316"/>
      <c r="AF100" s="316"/>
      <c r="AG100" s="316"/>
      <c r="AH100" s="316"/>
      <c r="AI100" s="110" t="s">
        <v>3569</v>
      </c>
      <c r="AJ100" s="110" t="s">
        <v>3570</v>
      </c>
      <c r="AK100" s="111" t="s">
        <v>3571</v>
      </c>
      <c r="AL100" s="112" t="s">
        <v>3572</v>
      </c>
      <c r="AM100" s="113" t="s">
        <v>3573</v>
      </c>
    </row>
    <row r="101">
      <c r="A101" s="148" t="s">
        <v>601</v>
      </c>
      <c r="B101" s="149" t="s">
        <v>3574</v>
      </c>
      <c r="C101" s="150" t="s">
        <v>137</v>
      </c>
      <c r="D101" s="149" t="s">
        <v>3575</v>
      </c>
      <c r="E101" s="648" t="s">
        <v>3576</v>
      </c>
      <c r="F101" s="153" t="s">
        <v>168</v>
      </c>
      <c r="G101" s="649" t="s">
        <v>170</v>
      </c>
      <c r="H101" s="149" t="s">
        <v>3577</v>
      </c>
      <c r="I101" s="650" t="s">
        <v>170</v>
      </c>
      <c r="J101" s="149" t="s">
        <v>137</v>
      </c>
      <c r="K101" s="161" t="s">
        <v>3578</v>
      </c>
      <c r="L101" s="162" t="s">
        <v>137</v>
      </c>
      <c r="M101" s="651"/>
      <c r="N101" s="164"/>
      <c r="O101" s="651"/>
      <c r="P101" s="651"/>
      <c r="Q101" s="651"/>
      <c r="R101" s="652" t="str">
        <f>HYPERLINK("https://pubmed.ncbi.nlm.nih.gov/18718186/", "Requena (2008) - Erythema Nodosum")</f>
        <v>Requena (2008) - Erythema Nodosum</v>
      </c>
      <c r="S101" s="536" t="str">
        <f>HYPERLINK("https://pubmed.ncbi.nlm.nih.gov/11995874/", "Requena (2002) - Erythema Nodosum: Clinical and Pathologic Review")</f>
        <v>Requena (2002) - Erythema Nodosum: Clinical and Pathologic Review</v>
      </c>
      <c r="T101" s="653" t="s">
        <v>3579</v>
      </c>
      <c r="U101" s="644" t="s">
        <v>79</v>
      </c>
      <c r="V101" s="645" t="s">
        <v>3580</v>
      </c>
      <c r="W101" s="644" t="s">
        <v>150</v>
      </c>
      <c r="X101" s="654" t="s">
        <v>3580</v>
      </c>
      <c r="Y101" s="655">
        <v>6.0</v>
      </c>
      <c r="Z101" s="78">
        <v>18.0</v>
      </c>
      <c r="AA101" s="78">
        <v>34.0</v>
      </c>
      <c r="AB101" s="149" t="s">
        <v>137</v>
      </c>
      <c r="AC101" s="651"/>
      <c r="AD101" s="651"/>
      <c r="AE101" s="651"/>
      <c r="AF101" s="651"/>
      <c r="AG101" s="651"/>
      <c r="AH101" s="651"/>
      <c r="AI101" s="656" t="s">
        <v>3581</v>
      </c>
      <c r="AJ101" s="656" t="s">
        <v>3582</v>
      </c>
      <c r="AK101" s="172" t="s">
        <v>3583</v>
      </c>
      <c r="AL101" s="657" t="s">
        <v>3584</v>
      </c>
      <c r="AM101" s="658" t="s">
        <v>3585</v>
      </c>
    </row>
    <row r="102">
      <c r="A102" s="47" t="s">
        <v>605</v>
      </c>
      <c r="B102" s="48" t="s">
        <v>3586</v>
      </c>
      <c r="C102" s="49" t="s">
        <v>59</v>
      </c>
      <c r="D102" s="48" t="s">
        <v>3587</v>
      </c>
      <c r="E102" s="51" t="s">
        <v>3588</v>
      </c>
      <c r="F102" s="53" t="s">
        <v>62</v>
      </c>
      <c r="G102" s="56" t="s">
        <v>3589</v>
      </c>
      <c r="H102" s="48" t="s">
        <v>3590</v>
      </c>
      <c r="I102" s="58" t="s">
        <v>3591</v>
      </c>
      <c r="J102" s="48" t="s">
        <v>3592</v>
      </c>
      <c r="K102" s="60" t="s">
        <v>3593</v>
      </c>
      <c r="L102" s="63" t="s">
        <v>1185</v>
      </c>
      <c r="M102" s="394"/>
      <c r="N102" s="65"/>
      <c r="O102" s="394"/>
      <c r="P102" s="394"/>
      <c r="Q102" s="394"/>
      <c r="R102" s="395" t="str">
        <f>HYPERLINK("https://pubmed.ncbi.nlm.nih.gov/23445582/", "Terrier (2013) - Management of Mixed Cryoglobulinemia Vasculitis")</f>
        <v>Terrier (2013) - Management of Mixed Cryoglobulinemia Vasculitis</v>
      </c>
      <c r="S102" s="70" t="str">
        <f>HYPERLINK("https://pubmed.ncbi.nlm.nih.gov/5911520/", "Meltzer &amp; Franklin (1966) - Cryoglobulinemia: A Study of Twenty-Nine Patients")</f>
        <v>Meltzer &amp; Franklin (1966) - Cryoglobulinemia: A Study of Twenty-Nine Patients</v>
      </c>
      <c r="T102" s="377" t="s">
        <v>3594</v>
      </c>
      <c r="U102" s="48" t="s">
        <v>150</v>
      </c>
      <c r="V102" s="73" t="s">
        <v>805</v>
      </c>
      <c r="W102" s="48" t="s">
        <v>150</v>
      </c>
      <c r="X102" s="75" t="s">
        <v>285</v>
      </c>
      <c r="Y102" s="76">
        <v>1.4</v>
      </c>
      <c r="Z102" s="78">
        <v>40.0</v>
      </c>
      <c r="AA102" s="78">
        <v>60.0</v>
      </c>
      <c r="AB102" s="48" t="s">
        <v>153</v>
      </c>
      <c r="AC102" s="394"/>
      <c r="AD102" s="394"/>
      <c r="AE102" s="394"/>
      <c r="AF102" s="394"/>
      <c r="AG102" s="394"/>
      <c r="AH102" s="394"/>
      <c r="AI102" s="84" t="s">
        <v>3595</v>
      </c>
      <c r="AJ102" s="84" t="s">
        <v>3596</v>
      </c>
      <c r="AK102" s="85" t="s">
        <v>3597</v>
      </c>
      <c r="AL102" s="379" t="s">
        <v>3598</v>
      </c>
      <c r="AM102" s="380" t="s">
        <v>3599</v>
      </c>
    </row>
    <row r="103">
      <c r="A103" s="47" t="s">
        <v>608</v>
      </c>
      <c r="B103" s="48" t="s">
        <v>608</v>
      </c>
      <c r="C103" s="49" t="s">
        <v>59</v>
      </c>
      <c r="D103" s="48" t="s">
        <v>3600</v>
      </c>
      <c r="E103" s="51" t="s">
        <v>3601</v>
      </c>
      <c r="F103" s="53" t="s">
        <v>62</v>
      </c>
      <c r="G103" s="56" t="s">
        <v>3602</v>
      </c>
      <c r="H103" s="48" t="s">
        <v>3603</v>
      </c>
      <c r="I103" s="58" t="s">
        <v>3604</v>
      </c>
      <c r="J103" s="48" t="s">
        <v>3605</v>
      </c>
      <c r="K103" s="60" t="s">
        <v>3606</v>
      </c>
      <c r="L103" s="63" t="s">
        <v>71</v>
      </c>
      <c r="M103" s="394"/>
      <c r="N103" s="65"/>
      <c r="O103" s="394"/>
      <c r="P103" s="394"/>
      <c r="Q103" s="394"/>
      <c r="R103" s="395" t="str">
        <f>HYPERLINK("https://pubmed.ncbi.nlm.nih.gov/33193327/", "Audia (2020) - Evans Syndrome: From Diagnosis to Treatment")</f>
        <v>Audia (2020) - Evans Syndrome: From Diagnosis to Treatment</v>
      </c>
      <c r="S103" s="70" t="str">
        <f>HYPERLINK("[link removed]", "Evans (1951) - Primary Thrombocytopenic Purpura and Acquired Hemolytic Anemia")</f>
        <v>Evans (1951) - Primary Thrombocytopenic Purpura and Acquired Hemolytic Anemia</v>
      </c>
      <c r="T103" s="377" t="s">
        <v>3607</v>
      </c>
      <c r="U103" s="48" t="s">
        <v>150</v>
      </c>
      <c r="V103" s="73" t="s">
        <v>3608</v>
      </c>
      <c r="W103" s="48" t="s">
        <v>150</v>
      </c>
      <c r="X103" s="75" t="s">
        <v>3609</v>
      </c>
      <c r="Y103" s="76">
        <v>0.9</v>
      </c>
      <c r="Z103" s="289"/>
      <c r="AA103" s="289"/>
      <c r="AB103" s="48" t="s">
        <v>153</v>
      </c>
      <c r="AC103" s="394"/>
      <c r="AD103" s="394"/>
      <c r="AE103" s="394"/>
      <c r="AF103" s="394"/>
      <c r="AG103" s="394"/>
      <c r="AH103" s="394"/>
      <c r="AI103" s="84" t="s">
        <v>3610</v>
      </c>
      <c r="AJ103" s="84" t="s">
        <v>3611</v>
      </c>
      <c r="AK103" s="85" t="s">
        <v>3612</v>
      </c>
      <c r="AL103" s="659" t="s">
        <v>3613</v>
      </c>
      <c r="AM103" s="660" t="s">
        <v>3614</v>
      </c>
    </row>
    <row r="104">
      <c r="A104" s="201" t="s">
        <v>609</v>
      </c>
      <c r="B104" s="203" t="s">
        <v>3615</v>
      </c>
      <c r="C104" s="204" t="s">
        <v>137</v>
      </c>
      <c r="D104" s="203" t="s">
        <v>3616</v>
      </c>
      <c r="E104" s="205" t="s">
        <v>3617</v>
      </c>
      <c r="F104" s="206" t="s">
        <v>234</v>
      </c>
      <c r="G104" s="208" t="s">
        <v>170</v>
      </c>
      <c r="H104" s="203" t="s">
        <v>3618</v>
      </c>
      <c r="I104" s="209" t="s">
        <v>170</v>
      </c>
      <c r="J104" s="203" t="s">
        <v>137</v>
      </c>
      <c r="K104" s="210" t="s">
        <v>3619</v>
      </c>
      <c r="L104" s="212" t="s">
        <v>137</v>
      </c>
      <c r="M104" s="286"/>
      <c r="N104" s="213"/>
      <c r="O104" s="286"/>
      <c r="P104" s="286"/>
      <c r="Q104" s="286"/>
      <c r="R104" s="287" t="str">
        <f>HYPERLINK("https://pubmed.ncbi.nlm.nih.gov/27048659/", "Wright (2016) - Eosinophilic Fasciitis: Current and Emerging Concepts")</f>
        <v>Wright (2016) - Eosinophilic Fasciitis: Current and Emerging Concepts</v>
      </c>
      <c r="S104" s="238" t="str">
        <f>HYPERLINK("[link removed]", "Shulman (1974) - Diffuse Fasciitis with Hypergammaglobulinemia and Eosinophilia")</f>
        <v>Shulman (1974) - Diffuse Fasciitis with Hypergammaglobulinemia and Eosinophilia</v>
      </c>
      <c r="T104" s="223" t="s">
        <v>3620</v>
      </c>
      <c r="U104" s="203" t="s">
        <v>150</v>
      </c>
      <c r="V104" s="224" t="s">
        <v>1512</v>
      </c>
      <c r="W104" s="203" t="s">
        <v>150</v>
      </c>
      <c r="X104" s="225" t="s">
        <v>3621</v>
      </c>
      <c r="Y104" s="76">
        <v>2.0</v>
      </c>
      <c r="Z104" s="78">
        <v>30.0</v>
      </c>
      <c r="AA104" s="78">
        <v>60.0</v>
      </c>
      <c r="AB104" s="203" t="s">
        <v>3420</v>
      </c>
      <c r="AC104" s="286"/>
      <c r="AD104" s="286"/>
      <c r="AE104" s="286"/>
      <c r="AF104" s="286"/>
      <c r="AG104" s="286"/>
      <c r="AH104" s="286"/>
      <c r="AI104" s="227" t="s">
        <v>3622</v>
      </c>
      <c r="AJ104" s="227" t="s">
        <v>3623</v>
      </c>
      <c r="AK104" s="228" t="s">
        <v>3624</v>
      </c>
      <c r="AL104" s="381" t="s">
        <v>3625</v>
      </c>
      <c r="AM104" s="382" t="s">
        <v>3626</v>
      </c>
    </row>
    <row r="105">
      <c r="A105" s="292" t="s">
        <v>614</v>
      </c>
      <c r="B105" s="294" t="s">
        <v>3627</v>
      </c>
      <c r="C105" s="295" t="s">
        <v>59</v>
      </c>
      <c r="D105" s="294" t="s">
        <v>3628</v>
      </c>
      <c r="E105" s="296" t="s">
        <v>3629</v>
      </c>
      <c r="F105" s="298" t="s">
        <v>385</v>
      </c>
      <c r="G105" s="299" t="s">
        <v>3630</v>
      </c>
      <c r="H105" s="294" t="s">
        <v>3631</v>
      </c>
      <c r="I105" s="300" t="s">
        <v>3632</v>
      </c>
      <c r="J105" s="294" t="s">
        <v>3633</v>
      </c>
      <c r="K105" s="301" t="s">
        <v>3634</v>
      </c>
      <c r="L105" s="302" t="s">
        <v>71</v>
      </c>
      <c r="M105" s="303"/>
      <c r="N105" s="304"/>
      <c r="O105" s="303"/>
      <c r="P105" s="303"/>
      <c r="Q105" s="303"/>
      <c r="R105" s="305" t="str">
        <f>HYPERLINK("https://pubmed.ncbi.nlm.nih.gov/15158745/", "Balint (2004) - Felty's Syndrome")</f>
        <v>Balint (2004) - Felty's Syndrome</v>
      </c>
      <c r="S105" s="373" t="str">
        <f>HYPERLINK("https://pubmed.ncbi.nlm.nih.gov/15158745/", "Balint (2004) - Felty's Syndrome: Characteristics and Management")</f>
        <v>Balint (2004) - Felty's Syndrome: Characteristics and Management</v>
      </c>
      <c r="T105" s="307" t="s">
        <v>3635</v>
      </c>
      <c r="U105" s="294" t="s">
        <v>150</v>
      </c>
      <c r="V105" s="308" t="s">
        <v>3451</v>
      </c>
      <c r="W105" s="294" t="s">
        <v>150</v>
      </c>
      <c r="X105" s="309" t="s">
        <v>3417</v>
      </c>
      <c r="Y105" s="76">
        <v>6.1</v>
      </c>
      <c r="Z105" s="78">
        <v>50.0</v>
      </c>
      <c r="AA105" s="78">
        <v>70.0</v>
      </c>
      <c r="AB105" s="294" t="s">
        <v>153</v>
      </c>
      <c r="AC105" s="303"/>
      <c r="AD105" s="303"/>
      <c r="AE105" s="303"/>
      <c r="AF105" s="303"/>
      <c r="AG105" s="303"/>
      <c r="AH105" s="303"/>
      <c r="AI105" s="311" t="s">
        <v>3636</v>
      </c>
      <c r="AJ105" s="311" t="s">
        <v>3637</v>
      </c>
      <c r="AK105" s="312" t="s">
        <v>3638</v>
      </c>
      <c r="AL105" s="661" t="s">
        <v>3639</v>
      </c>
      <c r="AM105" s="662" t="s">
        <v>3640</v>
      </c>
    </row>
    <row r="106">
      <c r="A106" s="175" t="s">
        <v>618</v>
      </c>
      <c r="B106" s="176" t="s">
        <v>3641</v>
      </c>
      <c r="C106" s="177" t="s">
        <v>59</v>
      </c>
      <c r="D106" s="176" t="s">
        <v>3642</v>
      </c>
      <c r="E106" s="178" t="s">
        <v>3643</v>
      </c>
      <c r="F106" s="179" t="s">
        <v>203</v>
      </c>
      <c r="G106" s="180" t="s">
        <v>3644</v>
      </c>
      <c r="H106" s="176" t="s">
        <v>3645</v>
      </c>
      <c r="I106" s="181" t="s">
        <v>3646</v>
      </c>
      <c r="J106" s="176" t="s">
        <v>3647</v>
      </c>
      <c r="K106" s="182" t="s">
        <v>3648</v>
      </c>
      <c r="L106" s="183" t="s">
        <v>71</v>
      </c>
      <c r="M106" s="433"/>
      <c r="N106" s="184"/>
      <c r="O106" s="433"/>
      <c r="P106" s="433"/>
      <c r="Q106" s="433"/>
      <c r="R106" s="434" t="str">
        <f>HYPERLINK("https://pubmed.ncbi.nlm.nih.gov/17395761/", "Francavilla (2007) - Antisperm Antibodies and Infertility")</f>
        <v>Francavilla (2007) - Antisperm Antibodies and Infertility</v>
      </c>
      <c r="S106" s="186" t="str">
        <f>HYPERLINK("https://pubmed.ncbi.nlm.nih.gov/3933486/", "Clarke (1985) - Antisperm Antibodies and Infertility in Women")</f>
        <v>Clarke (1985) - Antisperm Antibodies and Infertility in Women</v>
      </c>
      <c r="T106" s="188" t="s">
        <v>3649</v>
      </c>
      <c r="U106" s="176" t="s">
        <v>150</v>
      </c>
      <c r="V106" s="189" t="s">
        <v>3650</v>
      </c>
      <c r="W106" s="176" t="s">
        <v>150</v>
      </c>
      <c r="X106" s="190" t="s">
        <v>285</v>
      </c>
      <c r="Y106" s="76"/>
      <c r="Z106" s="289"/>
      <c r="AA106" s="289"/>
      <c r="AB106" s="176" t="s">
        <v>153</v>
      </c>
      <c r="AC106" s="433"/>
      <c r="AD106" s="433"/>
      <c r="AE106" s="433"/>
      <c r="AF106" s="433"/>
      <c r="AG106" s="433"/>
      <c r="AH106" s="433"/>
      <c r="AI106" s="192" t="s">
        <v>3651</v>
      </c>
      <c r="AJ106" s="192" t="s">
        <v>3652</v>
      </c>
      <c r="AK106" s="194" t="s">
        <v>3653</v>
      </c>
      <c r="AL106" s="196" t="s">
        <v>3654</v>
      </c>
      <c r="AM106" s="199" t="s">
        <v>3655</v>
      </c>
    </row>
    <row r="107">
      <c r="A107" s="292" t="s">
        <v>621</v>
      </c>
      <c r="B107" s="294" t="s">
        <v>3656</v>
      </c>
      <c r="C107" s="295" t="s">
        <v>137</v>
      </c>
      <c r="D107" s="294" t="s">
        <v>3657</v>
      </c>
      <c r="E107" s="296" t="s">
        <v>3658</v>
      </c>
      <c r="F107" s="298" t="s">
        <v>385</v>
      </c>
      <c r="G107" s="299" t="s">
        <v>170</v>
      </c>
      <c r="H107" s="294" t="s">
        <v>3659</v>
      </c>
      <c r="I107" s="300" t="s">
        <v>170</v>
      </c>
      <c r="J107" s="294" t="s">
        <v>137</v>
      </c>
      <c r="K107" s="301" t="s">
        <v>3660</v>
      </c>
      <c r="L107" s="302" t="s">
        <v>137</v>
      </c>
      <c r="M107" s="303"/>
      <c r="N107" s="304"/>
      <c r="O107" s="303"/>
      <c r="P107" s="303"/>
      <c r="Q107" s="303"/>
      <c r="R107" s="305" t="str">
        <f>HYPERLINK("https://pubmed.ncbi.nlm.nih.gov/24737367/", "Clauw (2014) - Fibromyalgia: A Clinical Review")</f>
        <v>Clauw (2014) - Fibromyalgia: A Clinical Review</v>
      </c>
      <c r="S107" s="373" t="str">
        <f>HYPERLINK("https://pubmed.ncbi.nlm.nih.gov/2306288/", "Wolfe (1990) - The American College of Rheumatology 1990 Criteria for Fibromyalgia")</f>
        <v>Wolfe (1990) - The American College of Rheumatology 1990 Criteria for Fibromyalgia</v>
      </c>
      <c r="T107" s="307" t="s">
        <v>3661</v>
      </c>
      <c r="U107" s="294" t="s">
        <v>150</v>
      </c>
      <c r="V107" s="308" t="s">
        <v>3662</v>
      </c>
      <c r="W107" s="294" t="s">
        <v>150</v>
      </c>
      <c r="X107" s="309" t="s">
        <v>3663</v>
      </c>
      <c r="Y107" s="76">
        <v>16.0</v>
      </c>
      <c r="Z107" s="78">
        <v>35.0</v>
      </c>
      <c r="AA107" s="78">
        <v>45.0</v>
      </c>
      <c r="AB107" s="294" t="s">
        <v>137</v>
      </c>
      <c r="AC107" s="303"/>
      <c r="AD107" s="303"/>
      <c r="AE107" s="303"/>
      <c r="AF107" s="303"/>
      <c r="AG107" s="303"/>
      <c r="AH107" s="303"/>
      <c r="AI107" s="311" t="s">
        <v>3664</v>
      </c>
      <c r="AJ107" s="311" t="s">
        <v>3665</v>
      </c>
      <c r="AK107" s="312" t="s">
        <v>3666</v>
      </c>
      <c r="AL107" s="661" t="s">
        <v>3667</v>
      </c>
      <c r="AM107" s="662" t="s">
        <v>3668</v>
      </c>
    </row>
    <row r="108">
      <c r="A108" s="175" t="s">
        <v>623</v>
      </c>
      <c r="B108" s="176" t="s">
        <v>3669</v>
      </c>
      <c r="C108" s="177" t="s">
        <v>59</v>
      </c>
      <c r="D108" s="176" t="s">
        <v>3670</v>
      </c>
      <c r="E108" s="178" t="s">
        <v>3671</v>
      </c>
      <c r="F108" s="179" t="s">
        <v>3672</v>
      </c>
      <c r="G108" s="180" t="s">
        <v>3673</v>
      </c>
      <c r="H108" s="176" t="s">
        <v>3674</v>
      </c>
      <c r="I108" s="181" t="s">
        <v>3673</v>
      </c>
      <c r="J108" s="176" t="s">
        <v>3675</v>
      </c>
      <c r="K108" s="182" t="s">
        <v>3676</v>
      </c>
      <c r="L108" s="183" t="s">
        <v>71</v>
      </c>
      <c r="M108" s="181"/>
      <c r="N108" s="184"/>
      <c r="O108" s="183" t="s">
        <v>3677</v>
      </c>
      <c r="P108" s="181"/>
      <c r="Q108" s="181"/>
      <c r="R108" s="186" t="str">
        <f>HYPERLINK("[link removed]", "Smith (2016) - Graves' Disease")</f>
        <v>Smith (2016) - Graves' Disease</v>
      </c>
      <c r="S108" s="186" t="str">
        <f>HYPERLINK("[link removed]", "Adams &amp; Purves (1956) - Abnormal Thyroid Stimulator in the Sera of Graves Patients")</f>
        <v>Adams &amp; Purves (1956) - Abnormal Thyroid Stimulator in the Sera of Graves Patients</v>
      </c>
      <c r="T108" s="188" t="s">
        <v>3678</v>
      </c>
      <c r="U108" s="176" t="s">
        <v>150</v>
      </c>
      <c r="V108" s="189" t="s">
        <v>2669</v>
      </c>
      <c r="W108" s="176" t="s">
        <v>150</v>
      </c>
      <c r="X108" s="190" t="s">
        <v>3679</v>
      </c>
      <c r="Y108" s="76">
        <v>3.6</v>
      </c>
      <c r="Z108" s="78">
        <v>30.0</v>
      </c>
      <c r="AA108" s="78">
        <v>50.0</v>
      </c>
      <c r="AB108" s="176" t="s">
        <v>153</v>
      </c>
      <c r="AC108" s="181"/>
      <c r="AD108" s="181"/>
      <c r="AE108" s="181"/>
      <c r="AF108" s="181"/>
      <c r="AG108" s="181"/>
      <c r="AH108" s="181"/>
      <c r="AI108" s="192" t="s">
        <v>3680</v>
      </c>
      <c r="AJ108" s="192" t="s">
        <v>3681</v>
      </c>
      <c r="AK108" s="194" t="s">
        <v>3682</v>
      </c>
      <c r="AL108" s="514" t="s">
        <v>3683</v>
      </c>
      <c r="AM108" s="515" t="s">
        <v>3684</v>
      </c>
    </row>
    <row r="109">
      <c r="A109" s="88" t="s">
        <v>632</v>
      </c>
      <c r="B109" s="89" t="s">
        <v>3685</v>
      </c>
      <c r="C109" s="90" t="s">
        <v>59</v>
      </c>
      <c r="D109" s="89" t="s">
        <v>3686</v>
      </c>
      <c r="E109" s="91" t="s">
        <v>3687</v>
      </c>
      <c r="F109" s="92" t="s">
        <v>101</v>
      </c>
      <c r="G109" s="93" t="s">
        <v>3688</v>
      </c>
      <c r="H109" s="89" t="s">
        <v>3689</v>
      </c>
      <c r="I109" s="94" t="s">
        <v>3690</v>
      </c>
      <c r="J109" s="89" t="s">
        <v>3691</v>
      </c>
      <c r="K109" s="96" t="s">
        <v>3692</v>
      </c>
      <c r="L109" s="97" t="s">
        <v>71</v>
      </c>
      <c r="M109" s="94"/>
      <c r="N109" s="98"/>
      <c r="O109" s="94"/>
      <c r="P109" s="94"/>
      <c r="Q109" s="94"/>
      <c r="R109" s="99" t="str">
        <f>HYPERLINK("https://pubmed.ncbi.nlm.nih.gov/26948435/", "Willison (2016) - Guillain-Barre Syndrome")</f>
        <v>Willison (2016) - Guillain-Barre Syndrome</v>
      </c>
      <c r="S109" s="369" t="str">
        <f>HYPERLINK("https://pubmed.ncbi.nlm.nih.gov/2188204/", "Asbury (1990) - Assessment of Current Diagnostic Criteria for Guillain-Barré Syndrome")</f>
        <v>Asbury (1990) - Assessment of Current Diagnostic Criteria for Guillain-Barré Syndrome</v>
      </c>
      <c r="T109" s="318" t="s">
        <v>3693</v>
      </c>
      <c r="U109" s="89" t="s">
        <v>79</v>
      </c>
      <c r="V109" s="102" t="s">
        <v>367</v>
      </c>
      <c r="W109" s="89" t="s">
        <v>79</v>
      </c>
      <c r="X109" s="104" t="s">
        <v>3694</v>
      </c>
      <c r="Y109" s="76">
        <v>1.0</v>
      </c>
      <c r="Z109" s="78">
        <v>30.0</v>
      </c>
      <c r="AA109" s="78">
        <v>50.0</v>
      </c>
      <c r="AB109" s="89" t="s">
        <v>153</v>
      </c>
      <c r="AC109" s="94"/>
      <c r="AD109" s="94"/>
      <c r="AE109" s="94"/>
      <c r="AF109" s="94"/>
      <c r="AG109" s="94"/>
      <c r="AH109" s="94"/>
      <c r="AI109" s="110" t="s">
        <v>3695</v>
      </c>
      <c r="AJ109" s="110" t="s">
        <v>3696</v>
      </c>
      <c r="AK109" s="111" t="s">
        <v>3697</v>
      </c>
      <c r="AL109" s="112" t="s">
        <v>3698</v>
      </c>
      <c r="AM109" s="113" t="s">
        <v>3699</v>
      </c>
    </row>
    <row r="110">
      <c r="A110" s="148" t="s">
        <v>642</v>
      </c>
      <c r="B110" s="149" t="s">
        <v>3700</v>
      </c>
      <c r="C110" s="150" t="s">
        <v>59</v>
      </c>
      <c r="D110" s="149" t="s">
        <v>3701</v>
      </c>
      <c r="E110" s="152" t="s">
        <v>3702</v>
      </c>
      <c r="F110" s="153" t="s">
        <v>168</v>
      </c>
      <c r="G110" s="156" t="s">
        <v>3703</v>
      </c>
      <c r="H110" s="149" t="s">
        <v>3704</v>
      </c>
      <c r="I110" s="158" t="s">
        <v>3705</v>
      </c>
      <c r="J110" s="149" t="s">
        <v>3706</v>
      </c>
      <c r="K110" s="161" t="s">
        <v>3707</v>
      </c>
      <c r="L110" s="162" t="s">
        <v>71</v>
      </c>
      <c r="M110" s="163"/>
      <c r="N110" s="164"/>
      <c r="O110" s="163"/>
      <c r="P110" s="163"/>
      <c r="Q110" s="163"/>
      <c r="R110" s="399" t="str">
        <f>HYPERLINK("https://pubmed.ncbi.nlm.nih.gov/32242030/", "Huilaja (2020) - Pemphigoid Gestationis: An Update")</f>
        <v>Huilaja (2020) - Pemphigoid Gestationis: An Update</v>
      </c>
      <c r="S110" s="275" t="str">
        <f>HYPERLINK("[link removed]", "Provost &amp; Tomasi (1973) - Immunopathology of Herpes Gestationis")</f>
        <v>Provost &amp; Tomasi (1973) - Immunopathology of Herpes Gestationis</v>
      </c>
      <c r="T110" s="167" t="s">
        <v>3708</v>
      </c>
      <c r="U110" s="149" t="s">
        <v>79</v>
      </c>
      <c r="V110" s="168" t="s">
        <v>3709</v>
      </c>
      <c r="W110" s="149" t="s">
        <v>79</v>
      </c>
      <c r="X110" s="169" t="s">
        <v>3710</v>
      </c>
      <c r="Y110" s="76">
        <v>0.0</v>
      </c>
      <c r="Z110" s="289"/>
      <c r="AA110" s="289"/>
      <c r="AB110" s="149" t="s">
        <v>153</v>
      </c>
      <c r="AC110" s="163"/>
      <c r="AD110" s="163"/>
      <c r="AE110" s="163"/>
      <c r="AF110" s="163"/>
      <c r="AG110" s="163"/>
      <c r="AH110" s="163"/>
      <c r="AI110" s="171" t="s">
        <v>3711</v>
      </c>
      <c r="AJ110" s="171" t="s">
        <v>3712</v>
      </c>
      <c r="AK110" s="172" t="s">
        <v>3713</v>
      </c>
      <c r="AL110" s="173" t="s">
        <v>3714</v>
      </c>
      <c r="AM110" s="174" t="s">
        <v>3715</v>
      </c>
    </row>
    <row r="111">
      <c r="A111" s="148" t="s">
        <v>646</v>
      </c>
      <c r="B111" s="149" t="s">
        <v>3716</v>
      </c>
      <c r="C111" s="150" t="s">
        <v>137</v>
      </c>
      <c r="D111" s="149" t="s">
        <v>3717</v>
      </c>
      <c r="E111" s="152" t="s">
        <v>3718</v>
      </c>
      <c r="F111" s="153" t="s">
        <v>168</v>
      </c>
      <c r="G111" s="156" t="s">
        <v>170</v>
      </c>
      <c r="H111" s="149" t="s">
        <v>3719</v>
      </c>
      <c r="I111" s="158" t="s">
        <v>170</v>
      </c>
      <c r="J111" s="149" t="s">
        <v>137</v>
      </c>
      <c r="K111" s="161" t="s">
        <v>3720</v>
      </c>
      <c r="L111" s="162" t="s">
        <v>137</v>
      </c>
      <c r="M111" s="163"/>
      <c r="N111" s="164"/>
      <c r="O111" s="163"/>
      <c r="P111" s="163"/>
      <c r="Q111" s="163"/>
      <c r="R111" s="165" t="str">
        <f>HYPERLINK("https://pubmed.ncbi.nlm.nih.gov/25640693/", "Zouboulis (2015) - European S1 Guideline for the Treatment of Hidradenitis Suppurativa")</f>
        <v>Zouboulis (2015) - European S1 Guideline for the Treatment of Hidradenitis Suppurativa</v>
      </c>
      <c r="S111" s="536" t="str">
        <f>HYPERLINK("https://pubmed.ncbi.nlm.nih.gov/25640693/", "Zouboulis (2015) - European S1 Guideline for Hidradenitis Suppurativa")</f>
        <v>Zouboulis (2015) - European S1 Guideline for Hidradenitis Suppurativa</v>
      </c>
      <c r="T111" s="167" t="s">
        <v>3721</v>
      </c>
      <c r="U111" s="149" t="s">
        <v>150</v>
      </c>
      <c r="V111" s="168" t="s">
        <v>3209</v>
      </c>
      <c r="W111" s="149" t="s">
        <v>150</v>
      </c>
      <c r="X111" s="169" t="s">
        <v>3722</v>
      </c>
      <c r="Y111" s="76">
        <v>3.6</v>
      </c>
      <c r="Z111" s="78">
        <v>8.0</v>
      </c>
      <c r="AA111" s="78">
        <v>40.0</v>
      </c>
      <c r="AB111" s="149" t="s">
        <v>137</v>
      </c>
      <c r="AC111" s="163"/>
      <c r="AD111" s="163"/>
      <c r="AE111" s="163"/>
      <c r="AF111" s="163"/>
      <c r="AG111" s="163"/>
      <c r="AH111" s="163"/>
      <c r="AI111" s="171" t="s">
        <v>3723</v>
      </c>
      <c r="AJ111" s="171" t="s">
        <v>3724</v>
      </c>
      <c r="AK111" s="172" t="s">
        <v>3725</v>
      </c>
      <c r="AL111" s="663" t="s">
        <v>3726</v>
      </c>
      <c r="AM111" s="664" t="s">
        <v>3727</v>
      </c>
    </row>
    <row r="112">
      <c r="A112" s="114" t="s">
        <v>650</v>
      </c>
      <c r="B112" s="115" t="s">
        <v>3728</v>
      </c>
      <c r="C112" s="116" t="s">
        <v>59</v>
      </c>
      <c r="D112" s="115" t="s">
        <v>3729</v>
      </c>
      <c r="E112" s="118" t="s">
        <v>3730</v>
      </c>
      <c r="F112" s="120" t="s">
        <v>133</v>
      </c>
      <c r="G112" s="121" t="s">
        <v>170</v>
      </c>
      <c r="H112" s="115" t="s">
        <v>3731</v>
      </c>
      <c r="I112" s="125" t="s">
        <v>170</v>
      </c>
      <c r="J112" s="115" t="s">
        <v>137</v>
      </c>
      <c r="K112" s="128" t="s">
        <v>3732</v>
      </c>
      <c r="L112" s="129" t="s">
        <v>71</v>
      </c>
      <c r="M112" s="130"/>
      <c r="N112" s="132"/>
      <c r="O112" s="130"/>
      <c r="P112" s="130"/>
      <c r="Q112" s="130"/>
      <c r="R112" s="133" t="str">
        <f>HYPERLINK("https://pubmed.ncbi.nlm.nih.gov/23045170/", "Jennette (2013) - 2012 Revised International Chapel Hill Consensus Conference Nomenclature of Vasculitides")</f>
        <v>Jennette (2013) - 2012 Revised International Chapel Hill Consensus Conference Nomenclature of Vasculitides</v>
      </c>
      <c r="S112" s="133" t="str">
        <f>HYPERLINK("https://pubmed.ncbi.nlm.nih.gov/12993266/", "Zeek (1952) - Classification and Pathology of Necrotizing Angiitis")</f>
        <v>Zeek (1952) - Classification and Pathology of Necrotizing Angiitis</v>
      </c>
      <c r="T112" s="135" t="s">
        <v>3733</v>
      </c>
      <c r="U112" s="115" t="s">
        <v>79</v>
      </c>
      <c r="V112" s="136" t="s">
        <v>3734</v>
      </c>
      <c r="W112" s="665" t="s">
        <v>79</v>
      </c>
      <c r="X112" s="560" t="s">
        <v>3734</v>
      </c>
      <c r="Y112" s="561"/>
      <c r="Z112" s="289"/>
      <c r="AA112" s="289"/>
      <c r="AB112" s="115" t="s">
        <v>84</v>
      </c>
      <c r="AC112" s="130"/>
      <c r="AD112" s="130"/>
      <c r="AE112" s="130"/>
      <c r="AF112" s="130"/>
      <c r="AG112" s="130"/>
      <c r="AH112" s="130"/>
      <c r="AI112" s="138" t="s">
        <v>3735</v>
      </c>
      <c r="AJ112" s="138" t="s">
        <v>3736</v>
      </c>
      <c r="AK112" s="140" t="s">
        <v>89</v>
      </c>
      <c r="AL112" s="666" t="s">
        <v>3737</v>
      </c>
      <c r="AM112" s="667" t="s">
        <v>3738</v>
      </c>
    </row>
    <row r="113">
      <c r="A113" s="668" t="s">
        <v>660</v>
      </c>
      <c r="B113" s="669" t="s">
        <v>3739</v>
      </c>
      <c r="C113" s="670" t="s">
        <v>59</v>
      </c>
      <c r="D113" s="669" t="s">
        <v>3740</v>
      </c>
      <c r="E113" s="671" t="s">
        <v>3741</v>
      </c>
      <c r="F113" s="672" t="s">
        <v>3371</v>
      </c>
      <c r="G113" s="673" t="s">
        <v>170</v>
      </c>
      <c r="H113" s="669" t="s">
        <v>3742</v>
      </c>
      <c r="I113" s="674" t="s">
        <v>170</v>
      </c>
      <c r="J113" s="669" t="s">
        <v>137</v>
      </c>
      <c r="K113" s="675" t="s">
        <v>3743</v>
      </c>
      <c r="L113" s="676" t="s">
        <v>1185</v>
      </c>
      <c r="M113" s="677"/>
      <c r="N113" s="678"/>
      <c r="O113" s="677"/>
      <c r="P113" s="677"/>
      <c r="Q113" s="677"/>
      <c r="R113" s="679" t="str">
        <f>HYPERLINK("https://pubmed.ncbi.nlm.nih.gov/28365224/", "Richeldi (2017) - Idiopathic Pulmonary Fibrosis")</f>
        <v>Richeldi (2017) - Idiopathic Pulmonary Fibrosis</v>
      </c>
      <c r="S113" s="680" t="str">
        <f>HYPERLINK("https://pubmed.ncbi.nlm.nih.gov/21471066/", "Raghu (2011) - ATS/ERS/JRS/ALAT Statement on Idiopathic Pulmonary Fibrosis")</f>
        <v>Raghu (2011) - ATS/ERS/JRS/ALAT Statement on Idiopathic Pulmonary Fibrosis</v>
      </c>
      <c r="T113" s="681" t="s">
        <v>3744</v>
      </c>
      <c r="U113" s="669" t="s">
        <v>150</v>
      </c>
      <c r="V113" s="682" t="s">
        <v>3745</v>
      </c>
      <c r="W113" s="669" t="s">
        <v>150</v>
      </c>
      <c r="X113" s="683" t="s">
        <v>3746</v>
      </c>
      <c r="Y113" s="76">
        <v>0.6</v>
      </c>
      <c r="Z113" s="289"/>
      <c r="AA113" s="289"/>
      <c r="AB113" s="669" t="s">
        <v>84</v>
      </c>
      <c r="AC113" s="677"/>
      <c r="AD113" s="677"/>
      <c r="AE113" s="677"/>
      <c r="AF113" s="677"/>
      <c r="AG113" s="677"/>
      <c r="AH113" s="677"/>
      <c r="AI113" s="684" t="s">
        <v>3747</v>
      </c>
      <c r="AJ113" s="684" t="s">
        <v>3748</v>
      </c>
      <c r="AK113" s="685" t="s">
        <v>3749</v>
      </c>
      <c r="AL113" s="686" t="s">
        <v>3750</v>
      </c>
      <c r="AM113" s="687" t="s">
        <v>3751</v>
      </c>
    </row>
    <row r="114">
      <c r="A114" s="347" t="s">
        <v>663</v>
      </c>
      <c r="B114" s="348" t="s">
        <v>3752</v>
      </c>
      <c r="C114" s="349" t="s">
        <v>59</v>
      </c>
      <c r="D114" s="348" t="s">
        <v>3753</v>
      </c>
      <c r="E114" s="350" t="s">
        <v>3754</v>
      </c>
      <c r="F114" s="352" t="s">
        <v>670</v>
      </c>
      <c r="G114" s="353" t="s">
        <v>3755</v>
      </c>
      <c r="H114" s="348" t="s">
        <v>3756</v>
      </c>
      <c r="I114" s="354" t="s">
        <v>3757</v>
      </c>
      <c r="J114" s="348" t="s">
        <v>3758</v>
      </c>
      <c r="K114" s="355" t="s">
        <v>3759</v>
      </c>
      <c r="L114" s="356" t="s">
        <v>1185</v>
      </c>
      <c r="M114" s="688"/>
      <c r="N114" s="357"/>
      <c r="O114" s="688"/>
      <c r="P114" s="688"/>
      <c r="Q114" s="688"/>
      <c r="R114" s="689" t="str">
        <f>HYPERLINK("https://pubmed.ncbi.nlm.nih.gov/28647169/", "Rodrigues (2017) - IgA Nephropathy: State of the Art")</f>
        <v>Rodrigues (2017) - IgA Nephropathy: State of the Art</v>
      </c>
      <c r="S114" s="358" t="str">
        <f>HYPERLINK("https://pubmed.ncbi.nlm.nih.gov/21571404/", "Suzuki (2011) - The Pathophysiology of IgA Nephropathy")</f>
        <v>Suzuki (2011) - The Pathophysiology of IgA Nephropathy</v>
      </c>
      <c r="T114" s="360" t="s">
        <v>3760</v>
      </c>
      <c r="U114" s="348" t="s">
        <v>79</v>
      </c>
      <c r="V114" s="362" t="s">
        <v>3761</v>
      </c>
      <c r="W114" s="348" t="s">
        <v>150</v>
      </c>
      <c r="X114" s="363" t="s">
        <v>3762</v>
      </c>
      <c r="Y114" s="76">
        <v>0.0</v>
      </c>
      <c r="Z114" s="289"/>
      <c r="AA114" s="289"/>
      <c r="AB114" s="348" t="s">
        <v>3420</v>
      </c>
      <c r="AC114" s="688"/>
      <c r="AD114" s="688"/>
      <c r="AE114" s="688"/>
      <c r="AF114" s="688"/>
      <c r="AG114" s="688"/>
      <c r="AH114" s="688"/>
      <c r="AI114" s="364" t="s">
        <v>3763</v>
      </c>
      <c r="AJ114" s="364" t="s">
        <v>3764</v>
      </c>
      <c r="AK114" s="365" t="s">
        <v>3765</v>
      </c>
      <c r="AL114" s="690" t="s">
        <v>3766</v>
      </c>
      <c r="AM114" s="691" t="s">
        <v>3767</v>
      </c>
    </row>
    <row r="115">
      <c r="A115" s="244" t="s">
        <v>3768</v>
      </c>
      <c r="B115" s="245" t="s">
        <v>3769</v>
      </c>
      <c r="C115" s="246" t="s">
        <v>137</v>
      </c>
      <c r="D115" s="245" t="s">
        <v>3770</v>
      </c>
      <c r="E115" s="247" t="s">
        <v>3771</v>
      </c>
      <c r="F115" s="248" t="s">
        <v>301</v>
      </c>
      <c r="G115" s="249" t="s">
        <v>170</v>
      </c>
      <c r="H115" s="245" t="s">
        <v>3772</v>
      </c>
      <c r="I115" s="250" t="s">
        <v>3773</v>
      </c>
      <c r="J115" s="245" t="s">
        <v>3774</v>
      </c>
      <c r="K115" s="252" t="s">
        <v>3775</v>
      </c>
      <c r="L115" s="253"/>
      <c r="M115" s="254"/>
      <c r="N115" s="255"/>
      <c r="O115" s="254"/>
      <c r="P115" s="254"/>
      <c r="Q115" s="254"/>
      <c r="R115" s="258" t="str">
        <f>HYPERLINK("https://pubmed.ncbi.nlm.nih.gov/27445206/", "Andrew (2016) - IgG4-Related Orbital Disease: A Review")</f>
        <v>Andrew (2016) - IgG4-Related Orbital Disease: A Review</v>
      </c>
      <c r="S115" s="516" t="str">
        <f>HYPERLINK("https://pubmed.ncbi.nlm.nih.gov/22461475/", "Wallace (2012) - Clinical and Pathological Spectrum of IgG4-Related Ophthalmic Disease")</f>
        <v>Wallace (2012) - Clinical and Pathological Spectrum of IgG4-Related Ophthalmic Disease</v>
      </c>
      <c r="T115" s="265" t="s">
        <v>3776</v>
      </c>
      <c r="U115" s="245" t="s">
        <v>150</v>
      </c>
      <c r="V115" s="266" t="s">
        <v>805</v>
      </c>
      <c r="W115" s="245" t="s">
        <v>150</v>
      </c>
      <c r="X115" s="267" t="s">
        <v>805</v>
      </c>
      <c r="Y115" s="268"/>
      <c r="Z115" s="269"/>
      <c r="AA115" s="269"/>
      <c r="AB115" s="245"/>
      <c r="AC115" s="254"/>
      <c r="AD115" s="254"/>
      <c r="AE115" s="254"/>
      <c r="AF115" s="254"/>
      <c r="AG115" s="254"/>
      <c r="AH115" s="254"/>
      <c r="AI115" s="270" t="s">
        <v>3777</v>
      </c>
      <c r="AJ115" s="270" t="s">
        <v>3778</v>
      </c>
      <c r="AK115" s="271" t="s">
        <v>3779</v>
      </c>
      <c r="AL115" s="272" t="s">
        <v>3780</v>
      </c>
      <c r="AM115" s="273" t="s">
        <v>3781</v>
      </c>
    </row>
    <row r="116">
      <c r="A116" s="201" t="s">
        <v>3782</v>
      </c>
      <c r="B116" s="203" t="s">
        <v>3783</v>
      </c>
      <c r="C116" s="204" t="s">
        <v>137</v>
      </c>
      <c r="D116" s="203" t="s">
        <v>3784</v>
      </c>
      <c r="E116" s="205" t="s">
        <v>3785</v>
      </c>
      <c r="F116" s="692" t="s">
        <v>234</v>
      </c>
      <c r="G116" s="208" t="s">
        <v>170</v>
      </c>
      <c r="H116" s="693" t="s">
        <v>3786</v>
      </c>
      <c r="I116" s="209" t="s">
        <v>3787</v>
      </c>
      <c r="J116" s="693" t="s">
        <v>3788</v>
      </c>
      <c r="K116" s="694" t="s">
        <v>3789</v>
      </c>
      <c r="L116" s="212"/>
      <c r="M116" s="286"/>
      <c r="N116" s="213"/>
      <c r="O116" s="286"/>
      <c r="P116" s="286"/>
      <c r="Q116" s="286"/>
      <c r="R116" s="390" t="str">
        <f>HYPERLINK("https://pubmed.ncbi.nlm.nih.gov/29320654/", "Postow (2018) - Immune-Related Adverse Events Associated with Immune Checkpoint Blockade")</f>
        <v>Postow (2018) - Immune-Related Adverse Events Associated with Immune Checkpoint Blockade</v>
      </c>
      <c r="S116" s="217" t="str">
        <f>HYPERLINK("https://pubmed.ncbi.nlm.nih.gov/29320654/", "Postow (2018) - Immune-Related Adverse Events from Checkpoint Blockade")</f>
        <v>Postow (2018) - Immune-Related Adverse Events from Checkpoint Blockade</v>
      </c>
      <c r="T116" s="223" t="s">
        <v>3790</v>
      </c>
      <c r="U116" s="203" t="s">
        <v>79</v>
      </c>
      <c r="V116" s="224" t="s">
        <v>3791</v>
      </c>
      <c r="W116" s="203" t="s">
        <v>79</v>
      </c>
      <c r="X116" s="225" t="s">
        <v>3792</v>
      </c>
      <c r="Y116" s="241"/>
      <c r="Z116" s="242"/>
      <c r="AA116" s="242"/>
      <c r="AB116" s="203"/>
      <c r="AC116" s="286"/>
      <c r="AD116" s="286"/>
      <c r="AE116" s="286"/>
      <c r="AF116" s="286"/>
      <c r="AG116" s="286"/>
      <c r="AH116" s="286"/>
      <c r="AI116" s="227" t="s">
        <v>3793</v>
      </c>
      <c r="AJ116" s="227" t="s">
        <v>3794</v>
      </c>
      <c r="AK116" s="228" t="s">
        <v>3795</v>
      </c>
      <c r="AL116" s="391" t="s">
        <v>3796</v>
      </c>
      <c r="AM116" s="392" t="s">
        <v>3797</v>
      </c>
    </row>
    <row r="117">
      <c r="A117" s="175" t="s">
        <v>3798</v>
      </c>
      <c r="B117" s="176" t="s">
        <v>3799</v>
      </c>
      <c r="C117" s="177" t="s">
        <v>137</v>
      </c>
      <c r="D117" s="176" t="s">
        <v>3800</v>
      </c>
      <c r="E117" s="178" t="s">
        <v>3801</v>
      </c>
      <c r="F117" s="179" t="s">
        <v>3802</v>
      </c>
      <c r="G117" s="180" t="s">
        <v>3803</v>
      </c>
      <c r="H117" s="176" t="s">
        <v>3804</v>
      </c>
      <c r="I117" s="181" t="s">
        <v>3805</v>
      </c>
      <c r="J117" s="176" t="s">
        <v>3806</v>
      </c>
      <c r="K117" s="182" t="s">
        <v>3807</v>
      </c>
      <c r="L117" s="183"/>
      <c r="M117" s="433"/>
      <c r="N117" s="184"/>
      <c r="O117" s="433"/>
      <c r="P117" s="433"/>
      <c r="Q117" s="433"/>
      <c r="R117" s="187" t="str">
        <f>HYPERLINK("https://pubmed.ncbi.nlm.nih.gov/30234057/", "Gambineri (2018) - Clinical Spectrum of IPEX Syndrome")</f>
        <v>Gambineri (2018) - Clinical Spectrum of IPEX Syndrome</v>
      </c>
      <c r="S117" s="187" t="str">
        <f>HYPERLINK("https://pubmed.ncbi.nlm.nih.gov/11137993/", "Bennett (2001) - The Immune Dysregulation, Polyendocrinopathy, Enteropathy, X-Linked Syndrome")</f>
        <v>Bennett (2001) - The Immune Dysregulation, Polyendocrinopathy, Enteropathy, X-Linked Syndrome</v>
      </c>
      <c r="T117" s="695" t="s">
        <v>3808</v>
      </c>
      <c r="U117" s="176" t="s">
        <v>150</v>
      </c>
      <c r="V117" s="189" t="s">
        <v>3020</v>
      </c>
      <c r="W117" s="176" t="s">
        <v>150</v>
      </c>
      <c r="X117" s="190" t="s">
        <v>285</v>
      </c>
      <c r="Y117" s="76"/>
      <c r="Z117" s="289"/>
      <c r="AA117" s="289"/>
      <c r="AB117" s="176"/>
      <c r="AC117" s="433"/>
      <c r="AD117" s="433"/>
      <c r="AE117" s="433"/>
      <c r="AF117" s="433"/>
      <c r="AG117" s="433"/>
      <c r="AH117" s="433"/>
      <c r="AI117" s="192" t="s">
        <v>3809</v>
      </c>
      <c r="AJ117" s="192" t="s">
        <v>3810</v>
      </c>
      <c r="AK117" s="194" t="s">
        <v>3811</v>
      </c>
      <c r="AL117" s="196" t="s">
        <v>3812</v>
      </c>
      <c r="AM117" s="199" t="s">
        <v>3813</v>
      </c>
    </row>
    <row r="118">
      <c r="A118" s="47" t="s">
        <v>666</v>
      </c>
      <c r="B118" s="48" t="s">
        <v>3814</v>
      </c>
      <c r="C118" s="49" t="s">
        <v>59</v>
      </c>
      <c r="D118" s="48" t="s">
        <v>3815</v>
      </c>
      <c r="E118" s="51" t="s">
        <v>3816</v>
      </c>
      <c r="F118" s="53" t="s">
        <v>62</v>
      </c>
      <c r="G118" s="56" t="s">
        <v>3817</v>
      </c>
      <c r="H118" s="48" t="s">
        <v>3818</v>
      </c>
      <c r="I118" s="58" t="s">
        <v>3819</v>
      </c>
      <c r="J118" s="48" t="s">
        <v>3820</v>
      </c>
      <c r="K118" s="60" t="s">
        <v>3821</v>
      </c>
      <c r="L118" s="63" t="s">
        <v>71</v>
      </c>
      <c r="M118" s="58"/>
      <c r="N118" s="65"/>
      <c r="O118" s="58"/>
      <c r="P118" s="58"/>
      <c r="Q118" s="58"/>
      <c r="R118" s="70" t="str">
        <f>HYPERLINK("https://pubmed.ncbi.nlm.nih.gov/31532958/", "Cooper (2019) - Immune Thrombocytopenia")</f>
        <v>Cooper (2019) - Immune Thrombocytopenia</v>
      </c>
      <c r="S118" s="70" t="str">
        <f>HYPERLINK("[link removed]", "Harrington (1951) - Demonstration of a Thrombocytopenic Factor in the Blood of Patients with ITP")</f>
        <v>Harrington (1951) - Demonstration of a Thrombocytopenic Factor in the Blood of Patients with ITP</v>
      </c>
      <c r="T118" s="377" t="s">
        <v>3822</v>
      </c>
      <c r="U118" s="48" t="s">
        <v>150</v>
      </c>
      <c r="V118" s="73" t="s">
        <v>3451</v>
      </c>
      <c r="W118" s="48" t="s">
        <v>150</v>
      </c>
      <c r="X118" s="75" t="s">
        <v>3823</v>
      </c>
      <c r="Y118" s="396">
        <v>1.4</v>
      </c>
      <c r="Z118" s="397" t="s">
        <v>3824</v>
      </c>
      <c r="AA118" s="397" t="s">
        <v>3824</v>
      </c>
      <c r="AB118" s="48" t="s">
        <v>153</v>
      </c>
      <c r="AC118" s="58"/>
      <c r="AD118" s="58"/>
      <c r="AE118" s="58"/>
      <c r="AF118" s="58"/>
      <c r="AG118" s="58"/>
      <c r="AH118" s="58"/>
      <c r="AI118" s="84" t="s">
        <v>3825</v>
      </c>
      <c r="AJ118" s="84" t="s">
        <v>3826</v>
      </c>
      <c r="AK118" s="85" t="s">
        <v>3827</v>
      </c>
      <c r="AL118" s="379" t="s">
        <v>3828</v>
      </c>
      <c r="AM118" s="380" t="s">
        <v>3829</v>
      </c>
    </row>
    <row r="119">
      <c r="A119" s="292" t="s">
        <v>3830</v>
      </c>
      <c r="B119" s="294" t="s">
        <v>3831</v>
      </c>
      <c r="C119" s="295" t="s">
        <v>137</v>
      </c>
      <c r="D119" s="294" t="s">
        <v>3832</v>
      </c>
      <c r="E119" s="296" t="s">
        <v>3833</v>
      </c>
      <c r="F119" s="298" t="s">
        <v>385</v>
      </c>
      <c r="G119" s="299" t="s">
        <v>3834</v>
      </c>
      <c r="H119" s="294" t="s">
        <v>3835</v>
      </c>
      <c r="I119" s="300" t="s">
        <v>3836</v>
      </c>
      <c r="J119" s="294" t="s">
        <v>3837</v>
      </c>
      <c r="K119" s="301" t="s">
        <v>3838</v>
      </c>
      <c r="L119" s="302"/>
      <c r="M119" s="303"/>
      <c r="N119" s="304"/>
      <c r="O119" s="303"/>
      <c r="P119" s="303"/>
      <c r="Q119" s="303"/>
      <c r="R119" s="305" t="str">
        <f>HYPERLINK("https://pubmed.ncbi.nlm.nih.gov/29352079/", "Allenbach (2018) - Clinico-Sero-Pathological Classification of Immune-Mediated Necrotizing Myopathies")</f>
        <v>Allenbach (2018) - Clinico-Sero-Pathological Classification of Immune-Mediated Necrotizing Myopathies</v>
      </c>
      <c r="S119" s="373" t="str">
        <f>HYPERLINK("https://pubmed.ncbi.nlm.nih.gov/20533543/", "Christopher-Stine (2010) - Anti-HMGCR Autoantibodies in Necrotizing Myopathy")</f>
        <v>Christopher-Stine (2010) - Anti-HMGCR Autoantibodies in Necrotizing Myopathy</v>
      </c>
      <c r="T119" s="307" t="s">
        <v>3839</v>
      </c>
      <c r="U119" s="294" t="s">
        <v>150</v>
      </c>
      <c r="V119" s="308" t="s">
        <v>3608</v>
      </c>
      <c r="W119" s="294" t="s">
        <v>150</v>
      </c>
      <c r="X119" s="309" t="s">
        <v>3840</v>
      </c>
      <c r="Y119" s="374"/>
      <c r="Z119" s="375"/>
      <c r="AA119" s="375"/>
      <c r="AB119" s="294"/>
      <c r="AC119" s="303"/>
      <c r="AD119" s="303"/>
      <c r="AE119" s="303"/>
      <c r="AF119" s="303"/>
      <c r="AG119" s="303"/>
      <c r="AH119" s="303"/>
      <c r="AI119" s="311" t="s">
        <v>3841</v>
      </c>
      <c r="AJ119" s="311" t="s">
        <v>3842</v>
      </c>
      <c r="AK119" s="312" t="s">
        <v>3843</v>
      </c>
      <c r="AL119" s="313" t="s">
        <v>3844</v>
      </c>
      <c r="AM119" s="314" t="s">
        <v>3845</v>
      </c>
    </row>
    <row r="120">
      <c r="A120" s="47" t="s">
        <v>3846</v>
      </c>
      <c r="B120" s="48" t="s">
        <v>3847</v>
      </c>
      <c r="C120" s="49" t="s">
        <v>137</v>
      </c>
      <c r="D120" s="48" t="s">
        <v>3848</v>
      </c>
      <c r="E120" s="51" t="s">
        <v>3849</v>
      </c>
      <c r="F120" s="53" t="s">
        <v>62</v>
      </c>
      <c r="G120" s="56" t="s">
        <v>3850</v>
      </c>
      <c r="H120" s="48" t="s">
        <v>3851</v>
      </c>
      <c r="I120" s="58" t="s">
        <v>3852</v>
      </c>
      <c r="J120" s="48" t="s">
        <v>3853</v>
      </c>
      <c r="K120" s="60" t="s">
        <v>3854</v>
      </c>
      <c r="L120" s="63"/>
      <c r="M120" s="394"/>
      <c r="N120" s="65"/>
      <c r="O120" s="394"/>
      <c r="P120" s="394"/>
      <c r="Q120" s="394"/>
      <c r="R120" s="395" t="str">
        <f>HYPERLINK("https://pubmed.ncbi.nlm.nih.gov/32914526/", "Zheng (2020) - ISTH Guidelines for the Diagnosis and Management of TTP")</f>
        <v>Zheng (2020) - ISTH Guidelines for the Diagnosis and Management of TTP</v>
      </c>
      <c r="S120" s="70" t="str">
        <f>HYPERLINK("https://pubmed.ncbi.nlm.nih.gov/9828245/", "Furlan (1998) - ADAMTS13 Deficiency and Autoantibodies in Thrombotic Thrombocytopenic Purpura")</f>
        <v>Furlan (1998) - ADAMTS13 Deficiency and Autoantibodies in Thrombotic Thrombocytopenic Purpura</v>
      </c>
      <c r="T120" s="377" t="s">
        <v>3855</v>
      </c>
      <c r="U120" s="48" t="s">
        <v>79</v>
      </c>
      <c r="V120" s="73" t="s">
        <v>946</v>
      </c>
      <c r="W120" s="48" t="s">
        <v>79</v>
      </c>
      <c r="X120" s="75" t="s">
        <v>946</v>
      </c>
      <c r="Y120" s="396"/>
      <c r="Z120" s="397"/>
      <c r="AA120" s="397"/>
      <c r="AB120" s="48"/>
      <c r="AC120" s="394"/>
      <c r="AD120" s="394"/>
      <c r="AE120" s="394"/>
      <c r="AF120" s="394"/>
      <c r="AG120" s="394"/>
      <c r="AH120" s="394"/>
      <c r="AI120" s="84" t="s">
        <v>3856</v>
      </c>
      <c r="AJ120" s="84" t="s">
        <v>3857</v>
      </c>
      <c r="AK120" s="85" t="s">
        <v>3858</v>
      </c>
      <c r="AL120" s="379" t="s">
        <v>3859</v>
      </c>
      <c r="AM120" s="380" t="s">
        <v>3860</v>
      </c>
    </row>
    <row r="121">
      <c r="A121" s="114" t="s">
        <v>695</v>
      </c>
      <c r="B121" s="115" t="s">
        <v>3861</v>
      </c>
      <c r="C121" s="116" t="s">
        <v>59</v>
      </c>
      <c r="D121" s="115" t="s">
        <v>3862</v>
      </c>
      <c r="E121" s="118" t="s">
        <v>3863</v>
      </c>
      <c r="F121" s="120" t="s">
        <v>133</v>
      </c>
      <c r="G121" s="121" t="s">
        <v>3755</v>
      </c>
      <c r="H121" s="115" t="s">
        <v>3864</v>
      </c>
      <c r="I121" s="125" t="s">
        <v>3865</v>
      </c>
      <c r="J121" s="115" t="s">
        <v>3866</v>
      </c>
      <c r="K121" s="128" t="s">
        <v>3867</v>
      </c>
      <c r="L121" s="129" t="s">
        <v>71</v>
      </c>
      <c r="M121" s="130"/>
      <c r="N121" s="132"/>
      <c r="O121" s="130"/>
      <c r="P121" s="130"/>
      <c r="Q121" s="130"/>
      <c r="R121" s="133" t="str">
        <f>HYPERLINK("https://pubmed.ncbi.nlm.nih.gov/31336061/", "Ozen (2019) - EULAR/PRINTO/PRES Criteria for Henoch-Schonlein Purpura")</f>
        <v>Ozen (2019) - EULAR/PRINTO/PRES Criteria for Henoch-Schonlein Purpura</v>
      </c>
      <c r="S121" s="376" t="str">
        <f>HYPERLINK("https://pubmed.ncbi.nlm.nih.gov/20435750/", "Ozen (2010) - EULAR/PRINTO/PRES Consensus Criteria for Henoch-Schönlein Purpura")</f>
        <v>Ozen (2010) - EULAR/PRINTO/PRES Consensus Criteria for Henoch-Schönlein Purpura</v>
      </c>
      <c r="T121" s="135" t="s">
        <v>3868</v>
      </c>
      <c r="U121" s="115" t="s">
        <v>79</v>
      </c>
      <c r="V121" s="136" t="s">
        <v>3869</v>
      </c>
      <c r="W121" s="115" t="s">
        <v>79</v>
      </c>
      <c r="X121" s="137" t="s">
        <v>3870</v>
      </c>
      <c r="Y121" s="76">
        <v>1.1</v>
      </c>
      <c r="Z121" s="78">
        <v>0.0</v>
      </c>
      <c r="AA121" s="78">
        <v>10.0</v>
      </c>
      <c r="AB121" s="115" t="s">
        <v>84</v>
      </c>
      <c r="AC121" s="130"/>
      <c r="AD121" s="130"/>
      <c r="AE121" s="130"/>
      <c r="AF121" s="130"/>
      <c r="AG121" s="130"/>
      <c r="AH121" s="130"/>
      <c r="AI121" s="138" t="s">
        <v>3871</v>
      </c>
      <c r="AJ121" s="138" t="s">
        <v>3872</v>
      </c>
      <c r="AK121" s="140" t="s">
        <v>3873</v>
      </c>
      <c r="AL121" s="666" t="s">
        <v>3874</v>
      </c>
      <c r="AM121" s="667" t="s">
        <v>3875</v>
      </c>
    </row>
    <row r="122">
      <c r="A122" s="47" t="s">
        <v>707</v>
      </c>
      <c r="B122" s="48" t="s">
        <v>3876</v>
      </c>
      <c r="C122" s="49" t="s">
        <v>59</v>
      </c>
      <c r="D122" s="48" t="s">
        <v>3877</v>
      </c>
      <c r="E122" s="51" t="s">
        <v>3878</v>
      </c>
      <c r="F122" s="53" t="s">
        <v>62</v>
      </c>
      <c r="G122" s="56" t="s">
        <v>3879</v>
      </c>
      <c r="H122" s="48" t="s">
        <v>3880</v>
      </c>
      <c r="I122" s="58" t="s">
        <v>3881</v>
      </c>
      <c r="J122" s="48" t="s">
        <v>3882</v>
      </c>
      <c r="K122" s="60" t="s">
        <v>3883</v>
      </c>
      <c r="L122" s="63" t="s">
        <v>71</v>
      </c>
      <c r="M122" s="394"/>
      <c r="N122" s="65"/>
      <c r="O122" s="394"/>
      <c r="P122" s="394"/>
      <c r="Q122" s="394"/>
      <c r="R122" s="395" t="str">
        <f>HYPERLINK("https://pubmed.ncbi.nlm.nih.gov/22316447/", "Stone (2012) - IgG4-Related Disease")</f>
        <v>Stone (2012) - IgG4-Related Disease</v>
      </c>
      <c r="S122" s="70" t="str">
        <f>HYPERLINK("https://pubmed.ncbi.nlm.nih.gov/22316447/", "Stone (2012) - IgG4-Related Disease: Pathogenesis and Management")</f>
        <v>Stone (2012) - IgG4-Related Disease: Pathogenesis and Management</v>
      </c>
      <c r="T122" s="377" t="s">
        <v>3884</v>
      </c>
      <c r="U122" s="48" t="s">
        <v>150</v>
      </c>
      <c r="V122" s="73" t="s">
        <v>3237</v>
      </c>
      <c r="W122" s="48" t="s">
        <v>150</v>
      </c>
      <c r="X122" s="75" t="s">
        <v>3885</v>
      </c>
      <c r="Y122" s="76">
        <v>0.0</v>
      </c>
      <c r="Z122" s="289"/>
      <c r="AA122" s="289"/>
      <c r="AB122" s="48" t="s">
        <v>153</v>
      </c>
      <c r="AC122" s="394"/>
      <c r="AD122" s="394"/>
      <c r="AE122" s="394"/>
      <c r="AF122" s="394"/>
      <c r="AG122" s="394"/>
      <c r="AH122" s="394"/>
      <c r="AI122" s="84" t="s">
        <v>3886</v>
      </c>
      <c r="AJ122" s="84" t="s">
        <v>3887</v>
      </c>
      <c r="AK122" s="85" t="s">
        <v>3888</v>
      </c>
      <c r="AL122" s="379" t="s">
        <v>3889</v>
      </c>
      <c r="AM122" s="380" t="s">
        <v>3890</v>
      </c>
    </row>
    <row r="123">
      <c r="A123" s="292" t="s">
        <v>759</v>
      </c>
      <c r="B123" s="294" t="s">
        <v>3891</v>
      </c>
      <c r="C123" s="295" t="s">
        <v>137</v>
      </c>
      <c r="D123" s="294" t="s">
        <v>3892</v>
      </c>
      <c r="E123" s="296" t="s">
        <v>3893</v>
      </c>
      <c r="F123" s="298" t="s">
        <v>385</v>
      </c>
      <c r="G123" s="299" t="s">
        <v>3894</v>
      </c>
      <c r="H123" s="294" t="s">
        <v>3895</v>
      </c>
      <c r="I123" s="300" t="s">
        <v>3896</v>
      </c>
      <c r="J123" s="294" t="s">
        <v>3897</v>
      </c>
      <c r="K123" s="301" t="s">
        <v>3898</v>
      </c>
      <c r="L123" s="302" t="s">
        <v>137</v>
      </c>
      <c r="M123" s="303"/>
      <c r="N123" s="304"/>
      <c r="O123" s="303"/>
      <c r="P123" s="303"/>
      <c r="Q123" s="303"/>
      <c r="R123" s="305" t="str">
        <f>HYPERLINK("https://pubmed.ncbi.nlm.nih.gov/31102010/", "Greenberg (2019) - Inclusion Body Myositis: Clinical Features and Pathogenesis")</f>
        <v>Greenberg (2019) - Inclusion Body Myositis: Clinical Features and Pathogenesis</v>
      </c>
      <c r="S123" s="305" t="str">
        <f>HYPERLINK("[link removed]", "Askanas (2004) - Pathogenic Mechanisms in Inclusion-Body Myositis")</f>
        <v>Askanas (2004) - Pathogenic Mechanisms in Inclusion-Body Myositis</v>
      </c>
      <c r="T123" s="307" t="s">
        <v>3899</v>
      </c>
      <c r="U123" s="294" t="s">
        <v>150</v>
      </c>
      <c r="V123" s="308" t="s">
        <v>3237</v>
      </c>
      <c r="W123" s="696" t="s">
        <v>150</v>
      </c>
      <c r="X123" s="697" t="s">
        <v>3885</v>
      </c>
      <c r="Y123" s="76">
        <v>0.7</v>
      </c>
      <c r="Z123" s="78">
        <v>50.0</v>
      </c>
      <c r="AA123" s="78">
        <v>50.0</v>
      </c>
      <c r="AB123" s="294" t="s">
        <v>137</v>
      </c>
      <c r="AC123" s="303"/>
      <c r="AD123" s="303"/>
      <c r="AE123" s="303"/>
      <c r="AF123" s="303"/>
      <c r="AG123" s="303"/>
      <c r="AH123" s="303"/>
      <c r="AI123" s="311" t="s">
        <v>3900</v>
      </c>
      <c r="AJ123" s="311" t="s">
        <v>3901</v>
      </c>
      <c r="AK123" s="312" t="s">
        <v>3902</v>
      </c>
      <c r="AL123" s="313" t="s">
        <v>3903</v>
      </c>
      <c r="AM123" s="314" t="s">
        <v>3904</v>
      </c>
    </row>
    <row r="124">
      <c r="A124" s="292" t="s">
        <v>761</v>
      </c>
      <c r="B124" s="294" t="s">
        <v>761</v>
      </c>
      <c r="C124" s="295" t="s">
        <v>137</v>
      </c>
      <c r="D124" s="294" t="s">
        <v>3905</v>
      </c>
      <c r="E124" s="296" t="s">
        <v>3906</v>
      </c>
      <c r="F124" s="298" t="s">
        <v>385</v>
      </c>
      <c r="G124" s="299" t="s">
        <v>3894</v>
      </c>
      <c r="H124" s="294" t="s">
        <v>3895</v>
      </c>
      <c r="I124" s="300" t="s">
        <v>3896</v>
      </c>
      <c r="J124" s="294" t="s">
        <v>3897</v>
      </c>
      <c r="K124" s="301" t="s">
        <v>3907</v>
      </c>
      <c r="L124" s="302" t="s">
        <v>137</v>
      </c>
      <c r="M124" s="303"/>
      <c r="N124" s="304"/>
      <c r="O124" s="303"/>
      <c r="P124" s="303"/>
      <c r="Q124" s="303"/>
      <c r="R124" s="305" t="str">
        <f>HYPERLINK("https://pubmed.ncbi.nlm.nih.gov/25211158/", "Machado (2014) - Updating the Assessment of Inclusion Body Myositis")</f>
        <v>Machado (2014) - Updating the Assessment of Inclusion Body Myositis</v>
      </c>
      <c r="S124" s="373" t="str">
        <f>HYPERLINK("https://pubmed.ncbi.nlm.nih.gov/7742842/", "Griggs (1995) - Inclusion Body Myositis and Myopathies: Criteria and Evaluation")</f>
        <v>Griggs (1995) - Inclusion Body Myositis and Myopathies: Criteria and Evaluation</v>
      </c>
      <c r="T124" s="307" t="s">
        <v>3899</v>
      </c>
      <c r="U124" s="294" t="s">
        <v>150</v>
      </c>
      <c r="V124" s="308" t="s">
        <v>3237</v>
      </c>
      <c r="W124" s="294" t="s">
        <v>150</v>
      </c>
      <c r="X124" s="309" t="s">
        <v>3148</v>
      </c>
      <c r="Y124" s="76">
        <v>0.7</v>
      </c>
      <c r="Z124" s="78">
        <v>50.0</v>
      </c>
      <c r="AA124" s="78">
        <v>50.0</v>
      </c>
      <c r="AB124" s="294" t="s">
        <v>137</v>
      </c>
      <c r="AC124" s="303"/>
      <c r="AD124" s="303"/>
      <c r="AE124" s="303"/>
      <c r="AF124" s="303"/>
      <c r="AG124" s="303"/>
      <c r="AH124" s="303"/>
      <c r="AI124" s="311" t="s">
        <v>3900</v>
      </c>
      <c r="AJ124" s="311" t="s">
        <v>3901</v>
      </c>
      <c r="AK124" s="312" t="s">
        <v>3902</v>
      </c>
      <c r="AL124" s="313" t="s">
        <v>3903</v>
      </c>
      <c r="AM124" s="314" t="s">
        <v>3904</v>
      </c>
    </row>
    <row r="125">
      <c r="A125" s="175" t="s">
        <v>3908</v>
      </c>
      <c r="B125" s="176" t="s">
        <v>3909</v>
      </c>
      <c r="C125" s="177" t="s">
        <v>137</v>
      </c>
      <c r="D125" s="176" t="s">
        <v>3910</v>
      </c>
      <c r="E125" s="178" t="s">
        <v>3911</v>
      </c>
      <c r="F125" s="179" t="s">
        <v>203</v>
      </c>
      <c r="G125" s="180" t="s">
        <v>3912</v>
      </c>
      <c r="H125" s="176" t="s">
        <v>3645</v>
      </c>
      <c r="I125" s="181" t="s">
        <v>3646</v>
      </c>
      <c r="J125" s="176" t="s">
        <v>3647</v>
      </c>
      <c r="K125" s="182" t="s">
        <v>3913</v>
      </c>
      <c r="L125" s="183"/>
      <c r="M125" s="433"/>
      <c r="N125" s="184"/>
      <c r="O125" s="433"/>
      <c r="P125" s="433"/>
      <c r="Q125" s="433"/>
      <c r="R125" s="434" t="str">
        <f>HYPERLINK("https://pubmed.ncbi.nlm.nih.gov/23720743/", "Restrepo (2013) - Antisperm Antibodies and Fertility Association")</f>
        <v>Restrepo (2013) - Antisperm Antibodies and Fertility Association</v>
      </c>
      <c r="S125" s="186" t="str">
        <f>HYPERLINK("https://pubmed.ncbi.nlm.nih.gov/3933486/", "Clarke (1985) - Detection of Antisperm Antibodies and Effects on Fertilization")</f>
        <v>Clarke (1985) - Detection of Antisperm Antibodies and Effects on Fertilization</v>
      </c>
      <c r="T125" s="188" t="s">
        <v>3914</v>
      </c>
      <c r="U125" s="176" t="s">
        <v>150</v>
      </c>
      <c r="V125" s="189" t="s">
        <v>3650</v>
      </c>
      <c r="W125" s="176" t="s">
        <v>150</v>
      </c>
      <c r="X125" s="190" t="s">
        <v>3650</v>
      </c>
      <c r="Y125" s="435"/>
      <c r="Z125" s="436">
        <v>20.0</v>
      </c>
      <c r="AA125" s="436">
        <v>60.0</v>
      </c>
      <c r="AB125" s="176"/>
      <c r="AC125" s="433"/>
      <c r="AD125" s="433"/>
      <c r="AE125" s="433"/>
      <c r="AF125" s="433"/>
      <c r="AG125" s="433"/>
      <c r="AH125" s="433"/>
      <c r="AI125" s="192" t="s">
        <v>3915</v>
      </c>
      <c r="AJ125" s="192" t="s">
        <v>3916</v>
      </c>
      <c r="AK125" s="194" t="s">
        <v>3917</v>
      </c>
      <c r="AL125" s="196" t="s">
        <v>3918</v>
      </c>
      <c r="AM125" s="199" t="s">
        <v>3919</v>
      </c>
    </row>
    <row r="126">
      <c r="A126" s="440" t="s">
        <v>765</v>
      </c>
      <c r="B126" s="441" t="s">
        <v>3920</v>
      </c>
      <c r="C126" s="442" t="s">
        <v>59</v>
      </c>
      <c r="D126" s="441" t="s">
        <v>3921</v>
      </c>
      <c r="E126" s="443" t="s">
        <v>3922</v>
      </c>
      <c r="F126" s="444" t="s">
        <v>3355</v>
      </c>
      <c r="G126" s="445" t="s">
        <v>170</v>
      </c>
      <c r="H126" s="441" t="s">
        <v>3923</v>
      </c>
      <c r="I126" s="449" t="s">
        <v>3924</v>
      </c>
      <c r="J126" s="441" t="s">
        <v>3359</v>
      </c>
      <c r="K126" s="447" t="s">
        <v>3925</v>
      </c>
      <c r="L126" s="448" t="s">
        <v>1185</v>
      </c>
      <c r="M126" s="460"/>
      <c r="N126" s="450"/>
      <c r="O126" s="460"/>
      <c r="P126" s="460"/>
      <c r="Q126" s="460"/>
      <c r="R126" s="461" t="str">
        <f>HYPERLINK("https://pubmed.ncbi.nlm.nih.gov/26656573/", "de Souza (2016) - Immunopathogenesis of IBD")</f>
        <v>de Souza (2016) - Immunopathogenesis of IBD</v>
      </c>
      <c r="S126" s="461" t="str">
        <f>HYPERLINK("https://pubmed.ncbi.nlm.nih.gov/12167685/", "Podolsky (2002) - Inflammatory Bowel Disease Pathogenesis and Manifestations")</f>
        <v>Podolsky (2002) - Inflammatory Bowel Disease Pathogenesis and Manifestations</v>
      </c>
      <c r="T126" s="453" t="s">
        <v>3926</v>
      </c>
      <c r="U126" s="441" t="s">
        <v>150</v>
      </c>
      <c r="V126" s="454" t="s">
        <v>3927</v>
      </c>
      <c r="W126" s="698" t="s">
        <v>150</v>
      </c>
      <c r="X126" s="699" t="s">
        <v>3928</v>
      </c>
      <c r="Y126" s="561"/>
      <c r="Z126" s="289"/>
      <c r="AA126" s="289"/>
      <c r="AB126" s="441" t="s">
        <v>153</v>
      </c>
      <c r="AC126" s="460"/>
      <c r="AD126" s="460"/>
      <c r="AE126" s="460"/>
      <c r="AF126" s="460"/>
      <c r="AG126" s="460"/>
      <c r="AH126" s="460"/>
      <c r="AI126" s="456" t="s">
        <v>3929</v>
      </c>
      <c r="AJ126" s="456" t="s">
        <v>3930</v>
      </c>
      <c r="AK126" s="457" t="s">
        <v>3931</v>
      </c>
      <c r="AL126" s="700" t="s">
        <v>3932</v>
      </c>
      <c r="AM126" s="701" t="s">
        <v>3933</v>
      </c>
    </row>
    <row r="127">
      <c r="A127" s="537" t="s">
        <v>3934</v>
      </c>
      <c r="B127" s="538" t="s">
        <v>3935</v>
      </c>
      <c r="C127" s="539" t="s">
        <v>137</v>
      </c>
      <c r="D127" s="538" t="s">
        <v>3936</v>
      </c>
      <c r="E127" s="540" t="s">
        <v>3937</v>
      </c>
      <c r="F127" s="541" t="s">
        <v>1114</v>
      </c>
      <c r="G127" s="542" t="s">
        <v>3938</v>
      </c>
      <c r="H127" s="538" t="s">
        <v>3939</v>
      </c>
      <c r="I127" s="543" t="s">
        <v>3940</v>
      </c>
      <c r="J127" s="538" t="s">
        <v>3941</v>
      </c>
      <c r="K127" s="544" t="s">
        <v>3942</v>
      </c>
      <c r="L127" s="545"/>
      <c r="M127" s="546"/>
      <c r="N127" s="547"/>
      <c r="O127" s="546"/>
      <c r="P127" s="546"/>
      <c r="Q127" s="546"/>
      <c r="R127" s="548" t="str">
        <f>HYPERLINK("https://pubmed.ncbi.nlm.nih.gov/32318024/", "Cappellani (2020) - Insulin Autoimmune Syndrome (Hirata Disease): A Comprehensive Review")</f>
        <v>Cappellani (2020) - Insulin Autoimmune Syndrome (Hirata Disease): A Comprehensive Review</v>
      </c>
      <c r="S127" s="549" t="str">
        <f>HYPERLINK("https://pubmed.ncbi.nlm.nih.gov/1559814/", "Uchigata (1992) - Strong Association of HLA-DR4 with Insulin Autoimmune Syndrome")</f>
        <v>Uchigata (1992) - Strong Association of HLA-DR4 with Insulin Autoimmune Syndrome</v>
      </c>
      <c r="T127" s="550" t="s">
        <v>3943</v>
      </c>
      <c r="U127" s="538" t="s">
        <v>150</v>
      </c>
      <c r="V127" s="551" t="s">
        <v>3020</v>
      </c>
      <c r="W127" s="538" t="s">
        <v>150</v>
      </c>
      <c r="X127" s="552" t="s">
        <v>285</v>
      </c>
      <c r="Y127" s="553"/>
      <c r="Z127" s="554"/>
      <c r="AA127" s="554"/>
      <c r="AB127" s="538"/>
      <c r="AC127" s="546"/>
      <c r="AD127" s="546"/>
      <c r="AE127" s="546"/>
      <c r="AF127" s="546"/>
      <c r="AG127" s="546"/>
      <c r="AH127" s="546"/>
      <c r="AI127" s="555" t="s">
        <v>3944</v>
      </c>
      <c r="AJ127" s="555" t="s">
        <v>3945</v>
      </c>
      <c r="AK127" s="556" t="s">
        <v>3946</v>
      </c>
      <c r="AL127" s="557" t="s">
        <v>3947</v>
      </c>
      <c r="AM127" s="558" t="s">
        <v>3948</v>
      </c>
    </row>
    <row r="128">
      <c r="A128" s="244" t="s">
        <v>770</v>
      </c>
      <c r="B128" s="245" t="s">
        <v>3949</v>
      </c>
      <c r="C128" s="246" t="s">
        <v>59</v>
      </c>
      <c r="D128" s="245" t="s">
        <v>3950</v>
      </c>
      <c r="E128" s="247" t="s">
        <v>3951</v>
      </c>
      <c r="F128" s="248" t="s">
        <v>301</v>
      </c>
      <c r="G128" s="249" t="s">
        <v>3952</v>
      </c>
      <c r="H128" s="245" t="s">
        <v>3953</v>
      </c>
      <c r="I128" s="250" t="s">
        <v>3954</v>
      </c>
      <c r="J128" s="245" t="s">
        <v>3955</v>
      </c>
      <c r="K128" s="252" t="s">
        <v>3956</v>
      </c>
      <c r="L128" s="253" t="s">
        <v>941</v>
      </c>
      <c r="M128" s="254"/>
      <c r="N128" s="255"/>
      <c r="O128" s="254"/>
      <c r="P128" s="254"/>
      <c r="Q128" s="254"/>
      <c r="R128" s="258" t="str">
        <f>HYPERLINK("https://pubmed.ncbi.nlm.nih.gov/32242031/", "Babu (2020) - Intermediate Uveitis: An Overview")</f>
        <v>Babu (2020) - Intermediate Uveitis: An Overview</v>
      </c>
      <c r="S128" s="516" t="str">
        <f>HYPERLINK("https://pubmed.ncbi.nlm.nih.gov/9531853/", "Smith (1998) - Pars Planitis: A Review of Clinical Features and Complications")</f>
        <v>Smith (1998) - Pars Planitis: A Review of Clinical Features and Complications</v>
      </c>
      <c r="T128" s="265" t="s">
        <v>3957</v>
      </c>
      <c r="U128" s="245" t="s">
        <v>150</v>
      </c>
      <c r="V128" s="266" t="s">
        <v>879</v>
      </c>
      <c r="W128" s="245" t="s">
        <v>150</v>
      </c>
      <c r="X128" s="267" t="s">
        <v>3958</v>
      </c>
      <c r="Y128" s="268">
        <v>0.0</v>
      </c>
      <c r="Z128" s="269" t="s">
        <v>3959</v>
      </c>
      <c r="AA128" s="269" t="s">
        <v>118</v>
      </c>
      <c r="AB128" s="245" t="s">
        <v>84</v>
      </c>
      <c r="AC128" s="254"/>
      <c r="AD128" s="254"/>
      <c r="AE128" s="254"/>
      <c r="AF128" s="254"/>
      <c r="AG128" s="254"/>
      <c r="AH128" s="254"/>
      <c r="AI128" s="270" t="s">
        <v>3960</v>
      </c>
      <c r="AJ128" s="270" t="s">
        <v>3961</v>
      </c>
      <c r="AK128" s="271" t="s">
        <v>3962</v>
      </c>
      <c r="AL128" s="272" t="s">
        <v>3963</v>
      </c>
      <c r="AM128" s="273" t="s">
        <v>3964</v>
      </c>
    </row>
    <row r="129">
      <c r="A129" s="702" t="s">
        <v>810</v>
      </c>
      <c r="B129" s="703" t="s">
        <v>3965</v>
      </c>
      <c r="C129" s="704" t="s">
        <v>59</v>
      </c>
      <c r="D129" s="705" t="s">
        <v>3966</v>
      </c>
      <c r="E129" s="706" t="s">
        <v>3967</v>
      </c>
      <c r="F129" s="707" t="s">
        <v>3371</v>
      </c>
      <c r="G129" s="708" t="s">
        <v>170</v>
      </c>
      <c r="H129" s="705" t="s">
        <v>3968</v>
      </c>
      <c r="I129" s="709" t="s">
        <v>3969</v>
      </c>
      <c r="J129" s="705" t="s">
        <v>3970</v>
      </c>
      <c r="K129" s="710" t="s">
        <v>3971</v>
      </c>
      <c r="L129" s="711" t="s">
        <v>1185</v>
      </c>
      <c r="M129" s="712"/>
      <c r="N129" s="713"/>
      <c r="O129" s="712"/>
      <c r="P129" s="712"/>
      <c r="Q129" s="712"/>
      <c r="R129" s="714" t="str">
        <f>HYPERLINK("https://pubmed.ncbi.nlm.nih.gov/24032382/", "Travis (2013) - International Multidisciplinary Consensus Classification of Idiopathic Interstitial Pneumonias")</f>
        <v>Travis (2013) - International Multidisciplinary Consensus Classification of Idiopathic Interstitial Pneumonias</v>
      </c>
      <c r="S129" s="714" t="str">
        <f>HYPERLINK("https://pubmed.ncbi.nlm.nih.gov/21471066/", "Raghu (2011) - Evidence-Based Guidelines for Interstitial Lung Disease")</f>
        <v>Raghu (2011) - Evidence-Based Guidelines for Interstitial Lung Disease</v>
      </c>
      <c r="T129" s="715" t="s">
        <v>3972</v>
      </c>
      <c r="U129" s="705" t="s">
        <v>150</v>
      </c>
      <c r="V129" s="716" t="s">
        <v>3973</v>
      </c>
      <c r="W129" s="717" t="s">
        <v>150</v>
      </c>
      <c r="X129" s="718" t="s">
        <v>3973</v>
      </c>
      <c r="Y129" s="561"/>
      <c r="Z129" s="719"/>
      <c r="AA129" s="719"/>
      <c r="AB129" s="705" t="s">
        <v>84</v>
      </c>
      <c r="AC129" s="712"/>
      <c r="AD129" s="712"/>
      <c r="AE129" s="712"/>
      <c r="AF129" s="712"/>
      <c r="AG129" s="712"/>
      <c r="AH129" s="712"/>
      <c r="AI129" s="720" t="s">
        <v>3974</v>
      </c>
      <c r="AJ129" s="720" t="s">
        <v>3975</v>
      </c>
      <c r="AK129" s="721" t="s">
        <v>3976</v>
      </c>
      <c r="AL129" s="722" t="s">
        <v>3977</v>
      </c>
      <c r="AM129" s="723" t="s">
        <v>3978</v>
      </c>
    </row>
    <row r="130">
      <c r="A130" s="292" t="s">
        <v>822</v>
      </c>
      <c r="B130" s="294" t="s">
        <v>3979</v>
      </c>
      <c r="C130" s="295" t="s">
        <v>59</v>
      </c>
      <c r="D130" s="294" t="s">
        <v>3980</v>
      </c>
      <c r="E130" s="296" t="s">
        <v>3981</v>
      </c>
      <c r="F130" s="298" t="s">
        <v>385</v>
      </c>
      <c r="G130" s="299" t="s">
        <v>170</v>
      </c>
      <c r="H130" s="294" t="s">
        <v>3982</v>
      </c>
      <c r="I130" s="300" t="s">
        <v>3983</v>
      </c>
      <c r="J130" s="294" t="s">
        <v>3984</v>
      </c>
      <c r="K130" s="301" t="s">
        <v>3985</v>
      </c>
      <c r="L130" s="302" t="s">
        <v>71</v>
      </c>
      <c r="M130" s="303"/>
      <c r="N130" s="304"/>
      <c r="O130" s="303"/>
      <c r="P130" s="303"/>
      <c r="Q130" s="303"/>
      <c r="R130" s="305" t="str">
        <f>HYPERLINK("https://pubmed.ncbi.nlm.nih.gov/31021516/", "Ringold (2019) - 2019 ACR Guideline for the Treatment of Juvenile Idiopathic Arthritis")</f>
        <v>Ringold (2019) - 2019 ACR Guideline for the Treatment of Juvenile Idiopathic Arthritis</v>
      </c>
      <c r="S130" s="373" t="str">
        <f>HYPERLINK("[link removed]", "Petty (2004) - International League of Associations for Rheumatology Classification of JIA")</f>
        <v>Petty (2004) - International League of Associations for Rheumatology Classification of JIA</v>
      </c>
      <c r="T130" s="307" t="s">
        <v>3986</v>
      </c>
      <c r="U130" s="294" t="s">
        <v>150</v>
      </c>
      <c r="V130" s="308" t="s">
        <v>2519</v>
      </c>
      <c r="W130" s="294" t="s">
        <v>150</v>
      </c>
      <c r="X130" s="309" t="s">
        <v>3987</v>
      </c>
      <c r="Y130" s="76"/>
      <c r="Z130" s="78">
        <v>0.0</v>
      </c>
      <c r="AA130" s="78">
        <v>16.0</v>
      </c>
      <c r="AB130" s="294" t="s">
        <v>153</v>
      </c>
      <c r="AC130" s="303"/>
      <c r="AD130" s="303"/>
      <c r="AE130" s="303"/>
      <c r="AF130" s="303"/>
      <c r="AG130" s="303"/>
      <c r="AH130" s="303"/>
      <c r="AI130" s="311" t="s">
        <v>3988</v>
      </c>
      <c r="AJ130" s="311" t="s">
        <v>3989</v>
      </c>
      <c r="AK130" s="312" t="s">
        <v>3990</v>
      </c>
      <c r="AL130" s="313" t="s">
        <v>3991</v>
      </c>
      <c r="AM130" s="314" t="s">
        <v>3992</v>
      </c>
    </row>
    <row r="131">
      <c r="A131" s="724" t="s">
        <v>3993</v>
      </c>
      <c r="B131" s="725"/>
      <c r="C131" s="726" t="s">
        <v>137</v>
      </c>
      <c r="D131" s="725" t="s">
        <v>3994</v>
      </c>
      <c r="E131" s="727" t="s">
        <v>3995</v>
      </c>
      <c r="F131" s="728" t="s">
        <v>101</v>
      </c>
      <c r="G131" s="729" t="s">
        <v>170</v>
      </c>
      <c r="H131" s="725" t="s">
        <v>3996</v>
      </c>
      <c r="I131" s="730" t="s">
        <v>170</v>
      </c>
      <c r="J131" s="725" t="s">
        <v>137</v>
      </c>
      <c r="K131" s="731" t="s">
        <v>3997</v>
      </c>
      <c r="L131" s="732" t="s">
        <v>137</v>
      </c>
      <c r="M131" s="733"/>
      <c r="N131" s="734"/>
      <c r="O131" s="733"/>
      <c r="P131" s="733"/>
      <c r="Q131" s="733"/>
      <c r="R131" s="735" t="str">
        <f>HYPERLINK("https://pubmed.ncbi.nlm.nih.gov/18559371/", "Arnulf (2008) - Kleine-Levin Syndrome: A Systematic Review of 186 Patients")</f>
        <v>Arnulf (2008) - Kleine-Levin Syndrome: A Systematic Review of 186 Patients</v>
      </c>
      <c r="S131" s="736" t="str">
        <f>HYPERLINK("https://pubmed.ncbi.nlm.nih.gov/16287873/", "Arnulf (2005) - Kleine-Levin Syndrome Systematic Analysis of 186 Cases")</f>
        <v>Arnulf (2005) - Kleine-Levin Syndrome Systematic Analysis of 186 Cases</v>
      </c>
      <c r="T131" s="737" t="s">
        <v>3998</v>
      </c>
      <c r="U131" s="725" t="s">
        <v>150</v>
      </c>
      <c r="V131" s="738" t="s">
        <v>1512</v>
      </c>
      <c r="W131" s="725" t="s">
        <v>150</v>
      </c>
      <c r="X131" s="739" t="s">
        <v>1512</v>
      </c>
      <c r="Y131" s="740"/>
      <c r="Z131" s="741"/>
      <c r="AA131" s="741"/>
      <c r="AB131" s="725" t="s">
        <v>137</v>
      </c>
      <c r="AC131" s="730" t="s">
        <v>3999</v>
      </c>
      <c r="AD131" s="733"/>
      <c r="AE131" s="733"/>
      <c r="AF131" s="733"/>
      <c r="AG131" s="733"/>
      <c r="AH131" s="733"/>
      <c r="AI131" s="742" t="s">
        <v>4000</v>
      </c>
      <c r="AJ131" s="742" t="s">
        <v>4001</v>
      </c>
      <c r="AK131" s="743" t="s">
        <v>4002</v>
      </c>
      <c r="AL131" s="744" t="s">
        <v>4003</v>
      </c>
      <c r="AM131" s="745" t="s">
        <v>4004</v>
      </c>
    </row>
    <row r="132">
      <c r="A132" s="148" t="s">
        <v>839</v>
      </c>
      <c r="B132" s="149" t="s">
        <v>839</v>
      </c>
      <c r="C132" s="150" t="s">
        <v>137</v>
      </c>
      <c r="D132" s="149" t="s">
        <v>4005</v>
      </c>
      <c r="E132" s="152" t="s">
        <v>4006</v>
      </c>
      <c r="F132" s="153" t="s">
        <v>168</v>
      </c>
      <c r="G132" s="156" t="s">
        <v>170</v>
      </c>
      <c r="H132" s="149" t="s">
        <v>4007</v>
      </c>
      <c r="I132" s="158" t="s">
        <v>170</v>
      </c>
      <c r="J132" s="149" t="s">
        <v>4008</v>
      </c>
      <c r="K132" s="161" t="s">
        <v>4009</v>
      </c>
      <c r="L132" s="162" t="s">
        <v>137</v>
      </c>
      <c r="M132" s="163"/>
      <c r="N132" s="164"/>
      <c r="O132" s="163"/>
      <c r="P132" s="163"/>
      <c r="Q132" s="163"/>
      <c r="R132" s="165" t="str">
        <f>HYPERLINK("https://pubmed.ncbi.nlm.nih.gov/22356325/", "Le Cleach (2012) - Lichen Planus")</f>
        <v>Le Cleach (2012) - Lichen Planus</v>
      </c>
      <c r="S132" s="536" t="str">
        <f>HYPERLINK("https://pubmed.ncbi.nlm.nih.gov/22356325/", "Le Cleach (2012) - Lichen Planus: Clinical Characteristics and Management")</f>
        <v>Le Cleach (2012) - Lichen Planus: Clinical Characteristics and Management</v>
      </c>
      <c r="T132" s="167" t="s">
        <v>4010</v>
      </c>
      <c r="U132" s="149" t="s">
        <v>150</v>
      </c>
      <c r="V132" s="168" t="s">
        <v>2669</v>
      </c>
      <c r="W132" s="149" t="s">
        <v>150</v>
      </c>
      <c r="X132" s="746" t="s">
        <v>2669</v>
      </c>
      <c r="Y132" s="76">
        <v>3.1</v>
      </c>
      <c r="Z132" s="78">
        <v>40.0</v>
      </c>
      <c r="AA132" s="78">
        <v>100.0</v>
      </c>
      <c r="AB132" s="149" t="s">
        <v>137</v>
      </c>
      <c r="AC132" s="163"/>
      <c r="AD132" s="163"/>
      <c r="AE132" s="163"/>
      <c r="AF132" s="163"/>
      <c r="AG132" s="163"/>
      <c r="AH132" s="163"/>
      <c r="AI132" s="171" t="s">
        <v>4011</v>
      </c>
      <c r="AJ132" s="171" t="s">
        <v>4012</v>
      </c>
      <c r="AK132" s="172" t="s">
        <v>4013</v>
      </c>
      <c r="AL132" s="173" t="s">
        <v>4014</v>
      </c>
      <c r="AM132" s="174" t="s">
        <v>4015</v>
      </c>
    </row>
    <row r="133">
      <c r="A133" s="148" t="s">
        <v>843</v>
      </c>
      <c r="B133" s="149" t="s">
        <v>4016</v>
      </c>
      <c r="C133" s="150" t="s">
        <v>59</v>
      </c>
      <c r="D133" s="149" t="s">
        <v>4017</v>
      </c>
      <c r="E133" s="152" t="s">
        <v>4018</v>
      </c>
      <c r="F133" s="153" t="s">
        <v>168</v>
      </c>
      <c r="G133" s="156" t="s">
        <v>4019</v>
      </c>
      <c r="H133" s="149" t="s">
        <v>4020</v>
      </c>
      <c r="I133" s="158" t="s">
        <v>4021</v>
      </c>
      <c r="J133" s="149" t="s">
        <v>4022</v>
      </c>
      <c r="K133" s="161" t="s">
        <v>4023</v>
      </c>
      <c r="L133" s="162" t="s">
        <v>1185</v>
      </c>
      <c r="M133" s="163"/>
      <c r="N133" s="164"/>
      <c r="O133" s="163"/>
      <c r="P133" s="163"/>
      <c r="Q133" s="163"/>
      <c r="R133" s="165" t="str">
        <f>HYPERLINK("https://pubmed.ncbi.nlm.nih.gov/26370008/", "Kirtschig (2015) - Evidence-Based (S3) Guideline on Anogenital Lichen Sclerosus")</f>
        <v>Kirtschig (2015) - Evidence-Based (S3) Guideline on Anogenital Lichen Sclerosus</v>
      </c>
      <c r="S133" s="536" t="str">
        <f>HYPERLINK("https://pubmed.ncbi.nlm.nih.gov/20653609/", "Neill (2010) - British Association of Dermatologists Guidelines for Lichen Sclerosus")</f>
        <v>Neill (2010) - British Association of Dermatologists Guidelines for Lichen Sclerosus</v>
      </c>
      <c r="T133" s="167" t="s">
        <v>4024</v>
      </c>
      <c r="U133" s="149" t="s">
        <v>150</v>
      </c>
      <c r="V133" s="168" t="s">
        <v>3251</v>
      </c>
      <c r="W133" s="149" t="s">
        <v>150</v>
      </c>
      <c r="X133" s="169" t="s">
        <v>4025</v>
      </c>
      <c r="Y133" s="76">
        <v>21.5</v>
      </c>
      <c r="Z133" s="78">
        <v>50.0</v>
      </c>
      <c r="AA133" s="78">
        <v>100.0</v>
      </c>
      <c r="AB133" s="149" t="s">
        <v>84</v>
      </c>
      <c r="AC133" s="163"/>
      <c r="AD133" s="163"/>
      <c r="AE133" s="163"/>
      <c r="AF133" s="163"/>
      <c r="AG133" s="163"/>
      <c r="AH133" s="163"/>
      <c r="AI133" s="171" t="s">
        <v>4026</v>
      </c>
      <c r="AJ133" s="171" t="s">
        <v>4027</v>
      </c>
      <c r="AK133" s="172" t="s">
        <v>4028</v>
      </c>
      <c r="AL133" s="173" t="s">
        <v>4029</v>
      </c>
      <c r="AM133" s="174" t="s">
        <v>4030</v>
      </c>
    </row>
    <row r="134">
      <c r="A134" s="88" t="s">
        <v>853</v>
      </c>
      <c r="B134" s="89" t="s">
        <v>4031</v>
      </c>
      <c r="C134" s="90" t="s">
        <v>137</v>
      </c>
      <c r="D134" s="89" t="s">
        <v>4032</v>
      </c>
      <c r="E134" s="91" t="s">
        <v>4033</v>
      </c>
      <c r="F134" s="92" t="s">
        <v>101</v>
      </c>
      <c r="G134" s="93" t="s">
        <v>4034</v>
      </c>
      <c r="H134" s="89" t="s">
        <v>4035</v>
      </c>
      <c r="I134" s="94" t="s">
        <v>4036</v>
      </c>
      <c r="J134" s="89" t="s">
        <v>137</v>
      </c>
      <c r="K134" s="96" t="s">
        <v>4037</v>
      </c>
      <c r="L134" s="97" t="s">
        <v>137</v>
      </c>
      <c r="M134" s="316"/>
      <c r="N134" s="98"/>
      <c r="O134" s="316"/>
      <c r="P134" s="316"/>
      <c r="Q134" s="316"/>
      <c r="R134" s="594" t="str">
        <f>HYPERLINK("https://pubmed.ncbi.nlm.nih.gov/12850227/", "Schuster (2003) - Ligneous Conjunctivitis")</f>
        <v>Schuster (2003) - Ligneous Conjunctivitis</v>
      </c>
      <c r="S134" s="370" t="str">
        <f>HYPERLINK("https://pubmed.ncbi.nlm.nih.gov/12850227/", "Schuster (2003) - Ligneous Conjunctivitis and Plasminogen Deficiency")</f>
        <v>Schuster (2003) - Ligneous Conjunctivitis and Plasminogen Deficiency</v>
      </c>
      <c r="T134" s="318" t="s">
        <v>4038</v>
      </c>
      <c r="U134" s="89" t="s">
        <v>150</v>
      </c>
      <c r="V134" s="102" t="s">
        <v>3020</v>
      </c>
      <c r="W134" s="89" t="s">
        <v>150</v>
      </c>
      <c r="X134" s="104" t="s">
        <v>4039</v>
      </c>
      <c r="Y134" s="76">
        <v>0.0</v>
      </c>
      <c r="Z134" s="289"/>
      <c r="AA134" s="289"/>
      <c r="AB134" s="89" t="s">
        <v>153</v>
      </c>
      <c r="AC134" s="316"/>
      <c r="AD134" s="316"/>
      <c r="AE134" s="316"/>
      <c r="AF134" s="316"/>
      <c r="AG134" s="316"/>
      <c r="AH134" s="316"/>
      <c r="AI134" s="110" t="s">
        <v>4040</v>
      </c>
      <c r="AJ134" s="110" t="s">
        <v>4041</v>
      </c>
      <c r="AK134" s="111" t="s">
        <v>4042</v>
      </c>
      <c r="AL134" s="112" t="s">
        <v>4043</v>
      </c>
      <c r="AM134" s="113" t="s">
        <v>4044</v>
      </c>
    </row>
    <row r="135">
      <c r="A135" s="114" t="s">
        <v>866</v>
      </c>
      <c r="B135" s="115" t="s">
        <v>4045</v>
      </c>
      <c r="C135" s="116" t="s">
        <v>59</v>
      </c>
      <c r="D135" s="115" t="s">
        <v>4046</v>
      </c>
      <c r="E135" s="118" t="s">
        <v>4047</v>
      </c>
      <c r="F135" s="120" t="s">
        <v>133</v>
      </c>
      <c r="G135" s="121" t="s">
        <v>4048</v>
      </c>
      <c r="H135" s="115" t="s">
        <v>3158</v>
      </c>
      <c r="I135" s="125" t="s">
        <v>4049</v>
      </c>
      <c r="J135" s="115" t="s">
        <v>4050</v>
      </c>
      <c r="K135" s="128" t="s">
        <v>4051</v>
      </c>
      <c r="L135" s="129" t="s">
        <v>71</v>
      </c>
      <c r="M135" s="130"/>
      <c r="N135" s="132"/>
      <c r="O135" s="130"/>
      <c r="P135" s="130"/>
      <c r="Q135" s="130"/>
      <c r="R135" s="133" t="str">
        <f>HYPERLINK("https://pubmed.ncbi.nlm.nih.gov/22251641/", "Fortuna (2012) - Linear Immunoglobulin A Bullous Dermatosis")</f>
        <v>Fortuna (2012) - Linear Immunoglobulin A Bullous Dermatosis</v>
      </c>
      <c r="S135" s="376" t="str">
        <f>HYPERLINK("https://pubmed.ncbi.nlm.nih.gov/11738737/", "Guide (2001) - Linear IgA Bullous Dermatosis: Clinical Characteristics")</f>
        <v>Guide (2001) - Linear IgA Bullous Dermatosis: Clinical Characteristics</v>
      </c>
      <c r="T135" s="135" t="s">
        <v>4052</v>
      </c>
      <c r="U135" s="115" t="s">
        <v>79</v>
      </c>
      <c r="V135" s="136" t="s">
        <v>1512</v>
      </c>
      <c r="W135" s="115" t="s">
        <v>150</v>
      </c>
      <c r="X135" s="137" t="s">
        <v>4053</v>
      </c>
      <c r="Y135" s="76">
        <v>0.0</v>
      </c>
      <c r="Z135" s="78" t="s">
        <v>4054</v>
      </c>
      <c r="AA135" s="78" t="s">
        <v>4055</v>
      </c>
      <c r="AB135" s="115" t="s">
        <v>84</v>
      </c>
      <c r="AC135" s="130"/>
      <c r="AD135" s="130"/>
      <c r="AE135" s="130"/>
      <c r="AF135" s="130"/>
      <c r="AG135" s="130"/>
      <c r="AH135" s="130"/>
      <c r="AI135" s="138" t="s">
        <v>4056</v>
      </c>
      <c r="AJ135" s="138" t="s">
        <v>4057</v>
      </c>
      <c r="AK135" s="140" t="s">
        <v>4058</v>
      </c>
      <c r="AL135" s="142" t="s">
        <v>4059</v>
      </c>
      <c r="AM135" s="145" t="s">
        <v>4060</v>
      </c>
    </row>
    <row r="136">
      <c r="A136" s="292" t="s">
        <v>874</v>
      </c>
      <c r="B136" s="294" t="s">
        <v>4061</v>
      </c>
      <c r="C136" s="295" t="s">
        <v>137</v>
      </c>
      <c r="D136" s="294" t="s">
        <v>4062</v>
      </c>
      <c r="E136" s="296" t="s">
        <v>4063</v>
      </c>
      <c r="F136" s="298" t="s">
        <v>385</v>
      </c>
      <c r="G136" s="299" t="s">
        <v>170</v>
      </c>
      <c r="H136" s="294" t="s">
        <v>4064</v>
      </c>
      <c r="I136" s="300" t="s">
        <v>170</v>
      </c>
      <c r="J136" s="294" t="s">
        <v>137</v>
      </c>
      <c r="K136" s="301" t="s">
        <v>4065</v>
      </c>
      <c r="L136" s="302" t="s">
        <v>137</v>
      </c>
      <c r="M136" s="303"/>
      <c r="N136" s="304"/>
      <c r="O136" s="303"/>
      <c r="P136" s="303"/>
      <c r="Q136" s="303"/>
      <c r="R136" s="305" t="str">
        <f>HYPERLINK("https://pubmed.ncbi.nlm.nih.gov/22549023/", "Hansson (2012) - Review of Dercum's Disease and Proposal of Diagnostic Criteria")</f>
        <v>Hansson (2012) - Review of Dercum's Disease and Proposal of Diagnostic Criteria</v>
      </c>
      <c r="S136" s="373" t="str">
        <f>HYPERLINK("https://pubmed.ncbi.nlm.nih.gov/22549023/", "Hansson (2012) - Review of Dercum's Disease and Diagnostic Criteria")</f>
        <v>Hansson (2012) - Review of Dercum's Disease and Diagnostic Criteria</v>
      </c>
      <c r="T136" s="307" t="s">
        <v>4066</v>
      </c>
      <c r="U136" s="294" t="s">
        <v>150</v>
      </c>
      <c r="V136" s="308" t="s">
        <v>3020</v>
      </c>
      <c r="W136" s="294" t="s">
        <v>150</v>
      </c>
      <c r="X136" s="309" t="s">
        <v>285</v>
      </c>
      <c r="Y136" s="76">
        <v>0.0</v>
      </c>
      <c r="Z136" s="78">
        <v>35.0</v>
      </c>
      <c r="AA136" s="78">
        <v>50.0</v>
      </c>
      <c r="AB136" s="294" t="s">
        <v>137</v>
      </c>
      <c r="AC136" s="303"/>
      <c r="AD136" s="303"/>
      <c r="AE136" s="303"/>
      <c r="AF136" s="303"/>
      <c r="AG136" s="303"/>
      <c r="AH136" s="303"/>
      <c r="AI136" s="311" t="s">
        <v>4067</v>
      </c>
      <c r="AJ136" s="311" t="s">
        <v>4068</v>
      </c>
      <c r="AK136" s="312" t="s">
        <v>4069</v>
      </c>
      <c r="AL136" s="313" t="s">
        <v>4070</v>
      </c>
      <c r="AM136" s="314" t="s">
        <v>4071</v>
      </c>
    </row>
    <row r="137">
      <c r="A137" s="201" t="s">
        <v>4072</v>
      </c>
      <c r="B137" s="203" t="s">
        <v>4073</v>
      </c>
      <c r="C137" s="204" t="s">
        <v>137</v>
      </c>
      <c r="D137" s="203" t="s">
        <v>4074</v>
      </c>
      <c r="E137" s="205" t="s">
        <v>4075</v>
      </c>
      <c r="F137" s="206" t="s">
        <v>234</v>
      </c>
      <c r="G137" s="208" t="s">
        <v>170</v>
      </c>
      <c r="H137" s="203" t="s">
        <v>4076</v>
      </c>
      <c r="I137" s="209" t="s">
        <v>170</v>
      </c>
      <c r="J137" s="203" t="s">
        <v>4077</v>
      </c>
      <c r="K137" s="210" t="s">
        <v>4078</v>
      </c>
      <c r="L137" s="212"/>
      <c r="M137" s="286"/>
      <c r="N137" s="213"/>
      <c r="O137" s="286"/>
      <c r="P137" s="286"/>
      <c r="Q137" s="286"/>
      <c r="R137" s="390" t="str">
        <f>HYPERLINK("https://pubmed.ncbi.nlm.nih.gov/27048657/", "Gamez-Diaz (2016) - The Extended Phenotype of LRBA Deficiency")</f>
        <v>Gamez-Diaz (2016) - The Extended Phenotype of LRBA Deficiency</v>
      </c>
      <c r="S137" s="217" t="str">
        <f>HYPERLINK("https://pubmed.ncbi.nlm.nih.gov/22822204/", "Lopez-Herrera (2012) - LRBA Deficiency in Autoimmune Disease and Immune Dysregulation")</f>
        <v>Lopez-Herrera (2012) - LRBA Deficiency in Autoimmune Disease and Immune Dysregulation</v>
      </c>
      <c r="T137" s="223" t="s">
        <v>4079</v>
      </c>
      <c r="U137" s="203" t="s">
        <v>150</v>
      </c>
      <c r="V137" s="224" t="s">
        <v>3020</v>
      </c>
      <c r="W137" s="203" t="s">
        <v>150</v>
      </c>
      <c r="X137" s="225" t="s">
        <v>285</v>
      </c>
      <c r="Y137" s="241"/>
      <c r="Z137" s="242"/>
      <c r="AA137" s="242"/>
      <c r="AB137" s="203"/>
      <c r="AC137" s="286"/>
      <c r="AD137" s="286"/>
      <c r="AE137" s="286"/>
      <c r="AF137" s="286"/>
      <c r="AG137" s="286"/>
      <c r="AH137" s="286"/>
      <c r="AI137" s="227" t="s">
        <v>4080</v>
      </c>
      <c r="AJ137" s="227" t="s">
        <v>4081</v>
      </c>
      <c r="AK137" s="228" t="s">
        <v>4082</v>
      </c>
      <c r="AL137" s="391" t="s">
        <v>4083</v>
      </c>
      <c r="AM137" s="392" t="s">
        <v>4084</v>
      </c>
    </row>
    <row r="138">
      <c r="A138" s="114" t="s">
        <v>898</v>
      </c>
      <c r="B138" s="115" t="s">
        <v>898</v>
      </c>
      <c r="C138" s="116" t="s">
        <v>59</v>
      </c>
      <c r="D138" s="115" t="s">
        <v>4085</v>
      </c>
      <c r="E138" s="118" t="s">
        <v>4086</v>
      </c>
      <c r="F138" s="120" t="s">
        <v>133</v>
      </c>
      <c r="G138" s="121" t="s">
        <v>4087</v>
      </c>
      <c r="H138" s="115" t="s">
        <v>4088</v>
      </c>
      <c r="I138" s="125" t="s">
        <v>4089</v>
      </c>
      <c r="J138" s="115" t="s">
        <v>4090</v>
      </c>
      <c r="K138" s="128" t="s">
        <v>4091</v>
      </c>
      <c r="L138" s="129" t="s">
        <v>71</v>
      </c>
      <c r="M138" s="130"/>
      <c r="N138" s="132"/>
      <c r="O138" s="130"/>
      <c r="P138" s="130"/>
      <c r="Q138" s="130"/>
      <c r="R138" s="133" t="str">
        <f>HYPERLINK("https://pubmed.ncbi.nlm.nih.gov/24737369/", "Barile-Fabris (2014) - Vasculitis in Systemic Lupus Erythematosus")</f>
        <v>Barile-Fabris (2014) - Vasculitis in Systemic Lupus Erythematosus</v>
      </c>
      <c r="S138" s="376" t="str">
        <f>HYPERLINK("[link removed]", "Drenkard (1997) - Vasculitis in Systemic Lupus Erythematosus: A Study of 670 Patients")</f>
        <v>Drenkard (1997) - Vasculitis in Systemic Lupus Erythematosus: A Study of 670 Patients</v>
      </c>
      <c r="T138" s="135" t="s">
        <v>4092</v>
      </c>
      <c r="U138" s="115" t="s">
        <v>150</v>
      </c>
      <c r="V138" s="136" t="s">
        <v>3451</v>
      </c>
      <c r="W138" s="115" t="s">
        <v>150</v>
      </c>
      <c r="X138" s="137" t="s">
        <v>4093</v>
      </c>
      <c r="Y138" s="76">
        <v>0.0</v>
      </c>
      <c r="Z138" s="78">
        <v>17.0</v>
      </c>
      <c r="AA138" s="78">
        <v>73.0</v>
      </c>
      <c r="AB138" s="115" t="s">
        <v>153</v>
      </c>
      <c r="AC138" s="130"/>
      <c r="AD138" s="130"/>
      <c r="AE138" s="130"/>
      <c r="AF138" s="130"/>
      <c r="AG138" s="130"/>
      <c r="AH138" s="130"/>
      <c r="AI138" s="138" t="s">
        <v>4094</v>
      </c>
      <c r="AJ138" s="138" t="s">
        <v>4095</v>
      </c>
      <c r="AK138" s="140" t="s">
        <v>4096</v>
      </c>
      <c r="AL138" s="142" t="s">
        <v>4097</v>
      </c>
      <c r="AM138" s="145" t="s">
        <v>4098</v>
      </c>
    </row>
    <row r="139">
      <c r="A139" s="175" t="s">
        <v>900</v>
      </c>
      <c r="B139" s="176" t="s">
        <v>4099</v>
      </c>
      <c r="C139" s="177" t="s">
        <v>59</v>
      </c>
      <c r="D139" s="176" t="s">
        <v>4100</v>
      </c>
      <c r="E139" s="178" t="s">
        <v>4101</v>
      </c>
      <c r="F139" s="179" t="s">
        <v>203</v>
      </c>
      <c r="G139" s="180" t="s">
        <v>4102</v>
      </c>
      <c r="H139" s="176" t="s">
        <v>3645</v>
      </c>
      <c r="I139" s="181" t="s">
        <v>3646</v>
      </c>
      <c r="J139" s="176" t="s">
        <v>3647</v>
      </c>
      <c r="K139" s="182" t="s">
        <v>4103</v>
      </c>
      <c r="L139" s="183" t="s">
        <v>71</v>
      </c>
      <c r="M139" s="433"/>
      <c r="N139" s="184"/>
      <c r="O139" s="433"/>
      <c r="P139" s="433"/>
      <c r="Q139" s="433"/>
      <c r="R139" s="512" t="str">
        <f>HYPERLINK("https://pubmed.ncbi.nlm.nih.gov/28735880/", "Marconi (2017) - Antisperm Antibodies and Male Infertility")</f>
        <v>Marconi (2017) - Antisperm Antibodies and Male Infertility</v>
      </c>
      <c r="S139" s="513" t="str">
        <f>HYPERLINK("https://pubmed.ncbi.nlm.nih.gov/17395761/", "Francavilla (2007) - Antisperm Antibodies and Male Infertility")</f>
        <v>Francavilla (2007) - Antisperm Antibodies and Male Infertility</v>
      </c>
      <c r="T139" s="188" t="s">
        <v>4104</v>
      </c>
      <c r="U139" s="176" t="s">
        <v>150</v>
      </c>
      <c r="V139" s="189" t="s">
        <v>2669</v>
      </c>
      <c r="W139" s="176" t="s">
        <v>150</v>
      </c>
      <c r="X139" s="190" t="s">
        <v>285</v>
      </c>
      <c r="Y139" s="76"/>
      <c r="Z139" s="289"/>
      <c r="AA139" s="289"/>
      <c r="AB139" s="176" t="s">
        <v>153</v>
      </c>
      <c r="AC139" s="433"/>
      <c r="AD139" s="433"/>
      <c r="AE139" s="433"/>
      <c r="AF139" s="433"/>
      <c r="AG139" s="433"/>
      <c r="AH139" s="433"/>
      <c r="AI139" s="192" t="s">
        <v>4105</v>
      </c>
      <c r="AJ139" s="192" t="s">
        <v>4106</v>
      </c>
      <c r="AK139" s="194" t="s">
        <v>4107</v>
      </c>
      <c r="AL139" s="196" t="s">
        <v>4108</v>
      </c>
      <c r="AM139" s="199" t="s">
        <v>4109</v>
      </c>
    </row>
    <row r="140">
      <c r="A140" s="440" t="s">
        <v>766</v>
      </c>
      <c r="B140" s="441" t="s">
        <v>766</v>
      </c>
      <c r="C140" s="442" t="s">
        <v>137</v>
      </c>
      <c r="D140" s="441" t="s">
        <v>4110</v>
      </c>
      <c r="E140" s="443" t="s">
        <v>4111</v>
      </c>
      <c r="F140" s="444" t="s">
        <v>3355</v>
      </c>
      <c r="G140" s="445" t="s">
        <v>170</v>
      </c>
      <c r="H140" s="441" t="s">
        <v>4112</v>
      </c>
      <c r="I140" s="449" t="s">
        <v>170</v>
      </c>
      <c r="J140" s="441" t="s">
        <v>4113</v>
      </c>
      <c r="K140" s="447" t="s">
        <v>4114</v>
      </c>
      <c r="L140" s="448" t="s">
        <v>137</v>
      </c>
      <c r="M140" s="460"/>
      <c r="N140" s="450"/>
      <c r="O140" s="460"/>
      <c r="P140" s="460"/>
      <c r="Q140" s="460"/>
      <c r="R140" s="461" t="str">
        <f>HYPERLINK("https://pubmed.ncbi.nlm.nih.gov/33580743/", "Miehlke (2021) - European Guidelines on Microscopic Colitis")</f>
        <v>Miehlke (2021) - European Guidelines on Microscopic Colitis</v>
      </c>
      <c r="S140" s="451" t="str">
        <f>HYPERLINK("https://pubmed.ncbi.nlm.nih.gov/11830651/", "Pardi (2002) - Microscopic Colitis: A Review of Clinical Features and Natural History")</f>
        <v>Pardi (2002) - Microscopic Colitis: A Review of Clinical Features and Natural History</v>
      </c>
      <c r="T140" s="453" t="s">
        <v>4115</v>
      </c>
      <c r="U140" s="441" t="s">
        <v>150</v>
      </c>
      <c r="V140" s="454" t="s">
        <v>2519</v>
      </c>
      <c r="W140" s="441" t="s">
        <v>150</v>
      </c>
      <c r="X140" s="455" t="s">
        <v>4116</v>
      </c>
      <c r="Y140" s="76">
        <v>3.6</v>
      </c>
      <c r="Z140" s="78">
        <v>60.0</v>
      </c>
      <c r="AA140" s="78">
        <v>70.0</v>
      </c>
      <c r="AB140" s="441" t="s">
        <v>137</v>
      </c>
      <c r="AC140" s="460"/>
      <c r="AD140" s="460"/>
      <c r="AE140" s="460"/>
      <c r="AF140" s="460"/>
      <c r="AG140" s="460"/>
      <c r="AH140" s="460"/>
      <c r="AI140" s="456" t="s">
        <v>4117</v>
      </c>
      <c r="AJ140" s="456" t="s">
        <v>4118</v>
      </c>
      <c r="AK140" s="457" t="s">
        <v>4119</v>
      </c>
      <c r="AL140" s="458" t="s">
        <v>4120</v>
      </c>
      <c r="AM140" s="459" t="s">
        <v>4121</v>
      </c>
    </row>
    <row r="141">
      <c r="A141" s="114" t="s">
        <v>918</v>
      </c>
      <c r="B141" s="115" t="s">
        <v>4122</v>
      </c>
      <c r="C141" s="116" t="s">
        <v>59</v>
      </c>
      <c r="D141" s="115" t="s">
        <v>4123</v>
      </c>
      <c r="E141" s="118" t="s">
        <v>4124</v>
      </c>
      <c r="F141" s="120" t="s">
        <v>133</v>
      </c>
      <c r="G141" s="121" t="s">
        <v>4125</v>
      </c>
      <c r="H141" s="115" t="s">
        <v>867</v>
      </c>
      <c r="I141" s="125" t="s">
        <v>4126</v>
      </c>
      <c r="J141" s="115" t="s">
        <v>4127</v>
      </c>
      <c r="K141" s="128" t="s">
        <v>4128</v>
      </c>
      <c r="L141" s="129" t="s">
        <v>71</v>
      </c>
      <c r="M141" s="130"/>
      <c r="N141" s="132"/>
      <c r="O141" s="130"/>
      <c r="P141" s="130"/>
      <c r="Q141" s="130"/>
      <c r="R141" s="133" t="str">
        <f>HYPERLINK("[link removed]", "Guillevin (2011) - Microscopic Polyangiitis: Clinical Presentation and Outcome in 278 Patients")</f>
        <v>Guillevin (2011) - Microscopic Polyangiitis: Clinical Presentation and Outcome in 278 Patients</v>
      </c>
      <c r="S141" s="133" t="str">
        <f>HYPERLINK("https://pubmed.ncbi.nlm.nih.gov/3288867/", "Falk &amp; Jennette (1988) - Anti-Myeloperoxidase Antibodies in Systemic Vasculitis")</f>
        <v>Falk &amp; Jennette (1988) - Anti-Myeloperoxidase Antibodies in Systemic Vasculitis</v>
      </c>
      <c r="T141" s="135" t="s">
        <v>4129</v>
      </c>
      <c r="U141" s="115" t="s">
        <v>150</v>
      </c>
      <c r="V141" s="136" t="s">
        <v>922</v>
      </c>
      <c r="W141" s="559" t="s">
        <v>150</v>
      </c>
      <c r="X141" s="560" t="s">
        <v>4130</v>
      </c>
      <c r="Y141" s="76">
        <v>3.2</v>
      </c>
      <c r="Z141" s="289"/>
      <c r="AA141" s="289"/>
      <c r="AB141" s="115" t="s">
        <v>153</v>
      </c>
      <c r="AC141" s="130"/>
      <c r="AD141" s="130"/>
      <c r="AE141" s="130"/>
      <c r="AF141" s="130"/>
      <c r="AG141" s="130"/>
      <c r="AH141" s="130"/>
      <c r="AI141" s="138" t="s">
        <v>4131</v>
      </c>
      <c r="AJ141" s="138" t="s">
        <v>4132</v>
      </c>
      <c r="AK141" s="140" t="s">
        <v>4133</v>
      </c>
      <c r="AL141" s="142" t="s">
        <v>4134</v>
      </c>
      <c r="AM141" s="145" t="s">
        <v>4135</v>
      </c>
    </row>
    <row r="142">
      <c r="A142" s="201" t="s">
        <v>924</v>
      </c>
      <c r="B142" s="203" t="s">
        <v>4136</v>
      </c>
      <c r="C142" s="204" t="s">
        <v>59</v>
      </c>
      <c r="D142" s="203" t="s">
        <v>4137</v>
      </c>
      <c r="E142" s="205" t="s">
        <v>4138</v>
      </c>
      <c r="F142" s="206" t="s">
        <v>234</v>
      </c>
      <c r="G142" s="208" t="s">
        <v>4139</v>
      </c>
      <c r="H142" s="203" t="s">
        <v>4140</v>
      </c>
      <c r="I142" s="209" t="s">
        <v>4141</v>
      </c>
      <c r="J142" s="203" t="s">
        <v>4142</v>
      </c>
      <c r="K142" s="210" t="s">
        <v>4143</v>
      </c>
      <c r="L142" s="212" t="s">
        <v>71</v>
      </c>
      <c r="M142" s="286"/>
      <c r="N142" s="213"/>
      <c r="O142" s="286"/>
      <c r="P142" s="286"/>
      <c r="Q142" s="286"/>
      <c r="R142" s="287" t="str">
        <f>HYPERLINK("https://pubmed.ncbi.nlm.nih.gov/27048660/", "Gunnarsson (2016) - Mixed Connective Tissue Disease: An Overview")</f>
        <v>Gunnarsson (2016) - Mixed Connective Tissue Disease: An Overview</v>
      </c>
      <c r="S142" s="238" t="str">
        <f>HYPERLINK("[link removed]", "Sharp (1972) - Mixed Connective Tissue Disease with Antibodies to ENA")</f>
        <v>Sharp (1972) - Mixed Connective Tissue Disease with Antibodies to ENA</v>
      </c>
      <c r="T142" s="223" t="s">
        <v>4144</v>
      </c>
      <c r="U142" s="203" t="s">
        <v>150</v>
      </c>
      <c r="V142" s="224" t="s">
        <v>922</v>
      </c>
      <c r="W142" s="203" t="s">
        <v>150</v>
      </c>
      <c r="X142" s="225" t="s">
        <v>4145</v>
      </c>
      <c r="Y142" s="76">
        <v>0.0</v>
      </c>
      <c r="Z142" s="78">
        <v>15.0</v>
      </c>
      <c r="AA142" s="78">
        <v>25.0</v>
      </c>
      <c r="AB142" s="203" t="s">
        <v>153</v>
      </c>
      <c r="AC142" s="286"/>
      <c r="AD142" s="286"/>
      <c r="AE142" s="286"/>
      <c r="AF142" s="286"/>
      <c r="AG142" s="286"/>
      <c r="AH142" s="286"/>
      <c r="AI142" s="227" t="s">
        <v>4146</v>
      </c>
      <c r="AJ142" s="227" t="s">
        <v>4147</v>
      </c>
      <c r="AK142" s="228" t="s">
        <v>4148</v>
      </c>
      <c r="AL142" s="381" t="s">
        <v>4149</v>
      </c>
      <c r="AM142" s="382" t="s">
        <v>4150</v>
      </c>
    </row>
    <row r="143">
      <c r="A143" s="88" t="s">
        <v>939</v>
      </c>
      <c r="B143" s="89" t="s">
        <v>4151</v>
      </c>
      <c r="C143" s="90" t="s">
        <v>137</v>
      </c>
      <c r="D143" s="89" t="s">
        <v>4152</v>
      </c>
      <c r="E143" s="91" t="s">
        <v>4153</v>
      </c>
      <c r="F143" s="92" t="s">
        <v>101</v>
      </c>
      <c r="G143" s="93" t="s">
        <v>4154</v>
      </c>
      <c r="H143" s="89" t="s">
        <v>4155</v>
      </c>
      <c r="I143" s="94" t="s">
        <v>4156</v>
      </c>
      <c r="J143" s="89" t="s">
        <v>4157</v>
      </c>
      <c r="K143" s="96" t="s">
        <v>4158</v>
      </c>
      <c r="L143" s="97" t="s">
        <v>137</v>
      </c>
      <c r="M143" s="316"/>
      <c r="N143" s="98"/>
      <c r="O143" s="316"/>
      <c r="P143" s="316"/>
      <c r="Q143" s="316"/>
      <c r="R143" s="594" t="str">
        <f>HYPERLINK("https://pubmed.ncbi.nlm.nih.gov/16880373/", "Kafkala (2006) - Mooren's Ulcer: An Update")</f>
        <v>Kafkala (2006) - Mooren's Ulcer: An Update</v>
      </c>
      <c r="S143" s="370" t="str">
        <f>HYPERLINK("[link removed]", "Foster (1987) - The Spectrum of Mooren's Corneal Ulceration")</f>
        <v>Foster (1987) - The Spectrum of Mooren's Corneal Ulceration</v>
      </c>
      <c r="T143" s="318" t="s">
        <v>4159</v>
      </c>
      <c r="U143" s="89" t="s">
        <v>150</v>
      </c>
      <c r="V143" s="102" t="s">
        <v>3020</v>
      </c>
      <c r="W143" s="89" t="s">
        <v>150</v>
      </c>
      <c r="X143" s="104" t="s">
        <v>285</v>
      </c>
      <c r="Y143" s="76">
        <v>0.4</v>
      </c>
      <c r="Z143" s="78">
        <v>48.0</v>
      </c>
      <c r="AA143" s="78">
        <v>48.0</v>
      </c>
      <c r="AB143" s="89" t="s">
        <v>137</v>
      </c>
      <c r="AC143" s="316"/>
      <c r="AD143" s="316"/>
      <c r="AE143" s="316"/>
      <c r="AF143" s="316"/>
      <c r="AG143" s="316"/>
      <c r="AH143" s="316"/>
      <c r="AI143" s="110" t="s">
        <v>4160</v>
      </c>
      <c r="AJ143" s="110" t="s">
        <v>4161</v>
      </c>
      <c r="AK143" s="111" t="s">
        <v>4162</v>
      </c>
      <c r="AL143" s="438" t="s">
        <v>4163</v>
      </c>
      <c r="AM143" s="439" t="s">
        <v>4164</v>
      </c>
    </row>
    <row r="144">
      <c r="A144" s="148" t="s">
        <v>944</v>
      </c>
      <c r="B144" s="149" t="s">
        <v>4165</v>
      </c>
      <c r="C144" s="150" t="s">
        <v>137</v>
      </c>
      <c r="D144" s="149" t="s">
        <v>4166</v>
      </c>
      <c r="E144" s="152" t="s">
        <v>4167</v>
      </c>
      <c r="F144" s="153" t="s">
        <v>168</v>
      </c>
      <c r="G144" s="156" t="s">
        <v>4168</v>
      </c>
      <c r="H144" s="149" t="s">
        <v>4169</v>
      </c>
      <c r="I144" s="158" t="s">
        <v>4170</v>
      </c>
      <c r="J144" s="149" t="s">
        <v>4171</v>
      </c>
      <c r="K144" s="161" t="s">
        <v>4172</v>
      </c>
      <c r="L144" s="162" t="s">
        <v>137</v>
      </c>
      <c r="M144" s="163"/>
      <c r="N144" s="164"/>
      <c r="O144" s="163"/>
      <c r="P144" s="163"/>
      <c r="Q144" s="163"/>
      <c r="R144" s="165" t="str">
        <f>HYPERLINK("[link removed]", "Fett (2011) - Update on Morphea: Part I. Epidemiology, Clinical Presentation, and Pathogenesis")</f>
        <v>Fett (2011) - Update on Morphea: Part I. Epidemiology, Clinical Presentation, and Pathogenesis</v>
      </c>
      <c r="S144" s="536" t="str">
        <f>HYPERLINK("[link removed]", "Zulian (2006) - Juvenile Localized Scleroderma: Clinical and Epidemiological Features")</f>
        <v>Zulian (2006) - Juvenile Localized Scleroderma: Clinical and Epidemiological Features</v>
      </c>
      <c r="T144" s="167" t="s">
        <v>4173</v>
      </c>
      <c r="U144" s="149" t="s">
        <v>150</v>
      </c>
      <c r="V144" s="168" t="s">
        <v>922</v>
      </c>
      <c r="W144" s="149" t="s">
        <v>150</v>
      </c>
      <c r="X144" s="169" t="s">
        <v>4174</v>
      </c>
      <c r="Y144" s="76">
        <v>8.9</v>
      </c>
      <c r="Z144" s="78" t="s">
        <v>4175</v>
      </c>
      <c r="AA144" s="78" t="s">
        <v>4176</v>
      </c>
      <c r="AB144" s="149" t="s">
        <v>84</v>
      </c>
      <c r="AC144" s="163"/>
      <c r="AD144" s="163"/>
      <c r="AE144" s="163"/>
      <c r="AF144" s="163"/>
      <c r="AG144" s="163"/>
      <c r="AH144" s="163"/>
      <c r="AI144" s="171" t="s">
        <v>4177</v>
      </c>
      <c r="AJ144" s="171" t="s">
        <v>4178</v>
      </c>
      <c r="AK144" s="172" t="s">
        <v>4179</v>
      </c>
      <c r="AL144" s="173" t="s">
        <v>4180</v>
      </c>
      <c r="AM144" s="174" t="s">
        <v>4181</v>
      </c>
    </row>
    <row r="145">
      <c r="A145" s="114" t="s">
        <v>960</v>
      </c>
      <c r="B145" s="115" t="s">
        <v>4182</v>
      </c>
      <c r="C145" s="116" t="s">
        <v>137</v>
      </c>
      <c r="D145" s="115" t="s">
        <v>4183</v>
      </c>
      <c r="E145" s="118" t="s">
        <v>4184</v>
      </c>
      <c r="F145" s="120" t="s">
        <v>133</v>
      </c>
      <c r="G145" s="121" t="s">
        <v>170</v>
      </c>
      <c r="H145" s="115" t="s">
        <v>4185</v>
      </c>
      <c r="I145" s="125" t="s">
        <v>170</v>
      </c>
      <c r="J145" s="115" t="s">
        <v>137</v>
      </c>
      <c r="K145" s="128" t="s">
        <v>4186</v>
      </c>
      <c r="L145" s="129" t="s">
        <v>137</v>
      </c>
      <c r="M145" s="130"/>
      <c r="N145" s="132"/>
      <c r="O145" s="130"/>
      <c r="P145" s="130"/>
      <c r="Q145" s="130"/>
      <c r="R145" s="133" t="str">
        <f>HYPERLINK("https://pubmed.ncbi.nlm.nih.gov/19297575/", "Scott (2009) - Moyamoya Disease and Moyamoya Syndrome")</f>
        <v>Scott (2009) - Moyamoya Disease and Moyamoya Syndrome</v>
      </c>
      <c r="S145" s="133" t="str">
        <f>HYPERLINK("https://pubmed.ncbi.nlm.nih.gov/21445082/", "Kamada (2011) - Identification of RNF213 Susceptibility Gene in Moyamoya Disease")</f>
        <v>Kamada (2011) - Identification of RNF213 Susceptibility Gene in Moyamoya Disease</v>
      </c>
      <c r="T145" s="135" t="s">
        <v>4187</v>
      </c>
      <c r="U145" s="115" t="s">
        <v>150</v>
      </c>
      <c r="V145" s="136" t="s">
        <v>3082</v>
      </c>
      <c r="W145" s="559" t="s">
        <v>150</v>
      </c>
      <c r="X145" s="560" t="s">
        <v>4188</v>
      </c>
      <c r="Y145" s="561"/>
      <c r="Z145" s="78" t="s">
        <v>117</v>
      </c>
      <c r="AA145" s="78" t="s">
        <v>118</v>
      </c>
      <c r="AB145" s="115" t="s">
        <v>137</v>
      </c>
      <c r="AC145" s="130"/>
      <c r="AD145" s="130"/>
      <c r="AE145" s="130"/>
      <c r="AF145" s="130"/>
      <c r="AG145" s="130"/>
      <c r="AH145" s="130"/>
      <c r="AI145" s="138" t="s">
        <v>4189</v>
      </c>
      <c r="AJ145" s="138" t="s">
        <v>4190</v>
      </c>
      <c r="AK145" s="140" t="s">
        <v>4191</v>
      </c>
      <c r="AL145" s="142" t="s">
        <v>4192</v>
      </c>
      <c r="AM145" s="145" t="s">
        <v>4193</v>
      </c>
    </row>
    <row r="146">
      <c r="A146" s="88" t="s">
        <v>4194</v>
      </c>
      <c r="B146" s="89" t="s">
        <v>4195</v>
      </c>
      <c r="C146" s="90" t="s">
        <v>137</v>
      </c>
      <c r="D146" s="89" t="s">
        <v>4196</v>
      </c>
      <c r="E146" s="91" t="s">
        <v>4197</v>
      </c>
      <c r="F146" s="92" t="s">
        <v>101</v>
      </c>
      <c r="G146" s="93" t="s">
        <v>4198</v>
      </c>
      <c r="H146" s="89" t="s">
        <v>4199</v>
      </c>
      <c r="I146" s="94" t="s">
        <v>4200</v>
      </c>
      <c r="J146" s="89" t="s">
        <v>4201</v>
      </c>
      <c r="K146" s="96" t="s">
        <v>4202</v>
      </c>
      <c r="L146" s="97"/>
      <c r="M146" s="316"/>
      <c r="N146" s="98"/>
      <c r="O146" s="316"/>
      <c r="P146" s="316"/>
      <c r="Q146" s="316"/>
      <c r="R146" s="317" t="str">
        <f>HYPERLINK("https://pubmed.ncbi.nlm.nih.gov/20658827/", "Cats (2010) - Multifocal Motor Neuropathy: An Update")</f>
        <v>Cats (2010) - Multifocal Motor Neuropathy: An Update</v>
      </c>
      <c r="S146" s="369" t="str">
        <f>HYPERLINK("https://pubmed.ncbi.nlm.nih.gov/2839796/", "Pestronk (1988) - Multifocal Motor Neuropathy with Anti-GM1 Antibodies")</f>
        <v>Pestronk (1988) - Multifocal Motor Neuropathy with Anti-GM1 Antibodies</v>
      </c>
      <c r="T146" s="318" t="s">
        <v>4203</v>
      </c>
      <c r="U146" s="89" t="s">
        <v>150</v>
      </c>
      <c r="V146" s="102" t="s">
        <v>367</v>
      </c>
      <c r="W146" s="89" t="s">
        <v>150</v>
      </c>
      <c r="X146" s="104" t="s">
        <v>3148</v>
      </c>
      <c r="Y146" s="319"/>
      <c r="Z146" s="320"/>
      <c r="AA146" s="320"/>
      <c r="AB146" s="89"/>
      <c r="AC146" s="316"/>
      <c r="AD146" s="316"/>
      <c r="AE146" s="316"/>
      <c r="AF146" s="316"/>
      <c r="AG146" s="316"/>
      <c r="AH146" s="316"/>
      <c r="AI146" s="110" t="s">
        <v>4204</v>
      </c>
      <c r="AJ146" s="110" t="s">
        <v>4205</v>
      </c>
      <c r="AK146" s="111" t="s">
        <v>4206</v>
      </c>
      <c r="AL146" s="112" t="s">
        <v>4207</v>
      </c>
      <c r="AM146" s="113" t="s">
        <v>4208</v>
      </c>
    </row>
    <row r="147">
      <c r="A147" s="88" t="s">
        <v>973</v>
      </c>
      <c r="B147" s="89" t="s">
        <v>4209</v>
      </c>
      <c r="C147" s="90" t="s">
        <v>59</v>
      </c>
      <c r="D147" s="89" t="s">
        <v>4210</v>
      </c>
      <c r="E147" s="91" t="s">
        <v>4211</v>
      </c>
      <c r="F147" s="92" t="s">
        <v>4212</v>
      </c>
      <c r="G147" s="93" t="s">
        <v>4213</v>
      </c>
      <c r="H147" s="89" t="s">
        <v>4214</v>
      </c>
      <c r="I147" s="94" t="s">
        <v>4215</v>
      </c>
      <c r="J147" s="89" t="s">
        <v>4216</v>
      </c>
      <c r="K147" s="96" t="s">
        <v>4217</v>
      </c>
      <c r="L147" s="212" t="s">
        <v>4218</v>
      </c>
      <c r="M147" s="316"/>
      <c r="N147" s="98"/>
      <c r="O147" s="316"/>
      <c r="P147" s="316"/>
      <c r="Q147" s="316"/>
      <c r="R147" s="100" t="str">
        <f>HYPERLINK("https://pubmed.ncbi.nlm.nih.gov/29320655/", "Reich (2018) - Multiple Sclerosis")</f>
        <v>Reich (2018) - Multiple Sclerosis</v>
      </c>
      <c r="S147" s="747" t="str">
        <f>HYPERLINK("https://pubmed.ncbi.nlm.nih.gov/11456307/", "McDonald (2001) - Recommended Diagnostic Criteria for Multiple Sclerosis")</f>
        <v>McDonald (2001) - Recommended Diagnostic Criteria for Multiple Sclerosis</v>
      </c>
      <c r="T147" s="318" t="s">
        <v>4219</v>
      </c>
      <c r="U147" s="89" t="s">
        <v>150</v>
      </c>
      <c r="V147" s="102" t="s">
        <v>4220</v>
      </c>
      <c r="W147" s="89" t="s">
        <v>150</v>
      </c>
      <c r="X147" s="104" t="s">
        <v>4221</v>
      </c>
      <c r="Y147" s="76">
        <v>3.0</v>
      </c>
      <c r="Z147" s="78">
        <v>15.0</v>
      </c>
      <c r="AA147" s="78">
        <v>60.0</v>
      </c>
      <c r="AB147" s="89" t="s">
        <v>153</v>
      </c>
      <c r="AC147" s="94" t="s">
        <v>4222</v>
      </c>
      <c r="AD147" s="316"/>
      <c r="AE147" s="316"/>
      <c r="AF147" s="316"/>
      <c r="AG147" s="316"/>
      <c r="AH147" s="316"/>
      <c r="AI147" s="110" t="s">
        <v>4223</v>
      </c>
      <c r="AJ147" s="110" t="s">
        <v>4224</v>
      </c>
      <c r="AK147" s="111" t="s">
        <v>4225</v>
      </c>
      <c r="AL147" s="112" t="s">
        <v>4226</v>
      </c>
      <c r="AM147" s="113" t="s">
        <v>4227</v>
      </c>
    </row>
    <row r="148">
      <c r="A148" s="88" t="s">
        <v>990</v>
      </c>
      <c r="B148" s="89" t="s">
        <v>4228</v>
      </c>
      <c r="C148" s="90" t="s">
        <v>59</v>
      </c>
      <c r="D148" s="89" t="s">
        <v>4229</v>
      </c>
      <c r="E148" s="91" t="s">
        <v>4230</v>
      </c>
      <c r="F148" s="92" t="s">
        <v>101</v>
      </c>
      <c r="G148" s="93" t="s">
        <v>4231</v>
      </c>
      <c r="H148" s="89" t="s">
        <v>4232</v>
      </c>
      <c r="I148" s="94" t="s">
        <v>4233</v>
      </c>
      <c r="J148" s="89" t="s">
        <v>4234</v>
      </c>
      <c r="K148" s="96" t="s">
        <v>4235</v>
      </c>
      <c r="L148" s="97" t="s">
        <v>71</v>
      </c>
      <c r="M148" s="94"/>
      <c r="N148" s="98"/>
      <c r="O148" s="94"/>
      <c r="P148" s="94"/>
      <c r="Q148" s="94"/>
      <c r="R148" s="369" t="str">
        <f>HYPERLINK("https://pubmed.ncbi.nlm.nih.gov/33144515/", "Narayanaswami (2021) - International Consensus Guidance for Management of Myasthenia Gravis")</f>
        <v>Narayanaswami (2021) - International Consensus Guidance for Management of Myasthenia Gravis</v>
      </c>
      <c r="S148" s="370" t="str">
        <f>HYPERLINK("[link removed]", "Patrick &amp; Lindstrom (1973) - Autoimmune Response to Acetylcholine Receptor")</f>
        <v>Patrick &amp; Lindstrom (1973) - Autoimmune Response to Acetylcholine Receptor</v>
      </c>
      <c r="T148" s="318" t="s">
        <v>4236</v>
      </c>
      <c r="U148" s="89" t="s">
        <v>150</v>
      </c>
      <c r="V148" s="102" t="s">
        <v>4237</v>
      </c>
      <c r="W148" s="89" t="s">
        <v>150</v>
      </c>
      <c r="X148" s="104" t="s">
        <v>4238</v>
      </c>
      <c r="Y148" s="76">
        <v>1.1</v>
      </c>
      <c r="Z148" s="78">
        <v>20.0</v>
      </c>
      <c r="AA148" s="78">
        <v>80.0</v>
      </c>
      <c r="AB148" s="89" t="s">
        <v>153</v>
      </c>
      <c r="AC148" s="94"/>
      <c r="AD148" s="94"/>
      <c r="AE148" s="94"/>
      <c r="AF148" s="94"/>
      <c r="AG148" s="94"/>
      <c r="AH148" s="94"/>
      <c r="AI148" s="110" t="s">
        <v>4239</v>
      </c>
      <c r="AJ148" s="110" t="s">
        <v>4240</v>
      </c>
      <c r="AK148" s="111" t="s">
        <v>4241</v>
      </c>
      <c r="AL148" s="112" t="s">
        <v>4242</v>
      </c>
      <c r="AM148" s="113" t="s">
        <v>4243</v>
      </c>
    </row>
    <row r="149">
      <c r="A149" s="88" t="s">
        <v>1001</v>
      </c>
      <c r="B149" s="89" t="s">
        <v>4244</v>
      </c>
      <c r="C149" s="90" t="s">
        <v>59</v>
      </c>
      <c r="D149" s="89" t="s">
        <v>4245</v>
      </c>
      <c r="E149" s="91" t="s">
        <v>4246</v>
      </c>
      <c r="F149" s="92" t="s">
        <v>101</v>
      </c>
      <c r="G149" s="93" t="s">
        <v>4247</v>
      </c>
      <c r="H149" s="89" t="s">
        <v>4248</v>
      </c>
      <c r="I149" s="94" t="s">
        <v>4249</v>
      </c>
      <c r="J149" s="89" t="s">
        <v>4250</v>
      </c>
      <c r="K149" s="96" t="s">
        <v>4251</v>
      </c>
      <c r="L149" s="97" t="s">
        <v>71</v>
      </c>
      <c r="M149" s="316"/>
      <c r="N149" s="98"/>
      <c r="O149" s="316"/>
      <c r="P149" s="316"/>
      <c r="Q149" s="316"/>
      <c r="R149" s="317" t="str">
        <f>HYPERLINK("https://pubmed.ncbi.nlm.nih.gov/36696916/", "Banwell (2023) - Diagnosis of Myelin Oligodendrocyte Glycoprotein Antibody-Associated Disease")</f>
        <v>Banwell (2023) - Diagnosis of Myelin Oligodendrocyte Glycoprotein Antibody-Associated Disease</v>
      </c>
      <c r="S149" s="369" t="str">
        <f>HYPERLINK("https://pubmed.ncbi.nlm.nih.gov/36696916/", "Banwell (2023) - Diagnosis of Myelin Oligodendrocyte Glycoprotein Antibody Disease")</f>
        <v>Banwell (2023) - Diagnosis of Myelin Oligodendrocyte Glycoprotein Antibody Disease</v>
      </c>
      <c r="T149" s="318" t="s">
        <v>4252</v>
      </c>
      <c r="U149" s="89" t="s">
        <v>150</v>
      </c>
      <c r="V149" s="102" t="s">
        <v>4253</v>
      </c>
      <c r="W149" s="89" t="s">
        <v>150</v>
      </c>
      <c r="X149" s="104" t="s">
        <v>4254</v>
      </c>
      <c r="Y149" s="76">
        <v>0.0</v>
      </c>
      <c r="Z149" s="78" t="s">
        <v>4255</v>
      </c>
      <c r="AA149" s="78" t="s">
        <v>4256</v>
      </c>
      <c r="AB149" s="89" t="s">
        <v>84</v>
      </c>
      <c r="AC149" s="316"/>
      <c r="AD149" s="316"/>
      <c r="AE149" s="316"/>
      <c r="AF149" s="316"/>
      <c r="AG149" s="316"/>
      <c r="AH149" s="316"/>
      <c r="AI149" s="110" t="s">
        <v>4257</v>
      </c>
      <c r="AJ149" s="110" t="s">
        <v>4258</v>
      </c>
      <c r="AK149" s="111" t="s">
        <v>3196</v>
      </c>
      <c r="AL149" s="112" t="s">
        <v>4259</v>
      </c>
      <c r="AM149" s="113" t="s">
        <v>4260</v>
      </c>
    </row>
    <row r="150">
      <c r="A150" s="562" t="s">
        <v>1021</v>
      </c>
      <c r="B150" s="563" t="s">
        <v>4261</v>
      </c>
      <c r="C150" s="564" t="s">
        <v>59</v>
      </c>
      <c r="D150" s="563" t="s">
        <v>4262</v>
      </c>
      <c r="E150" s="565" t="s">
        <v>4263</v>
      </c>
      <c r="F150" s="566" t="s">
        <v>2878</v>
      </c>
      <c r="G150" s="567" t="s">
        <v>4264</v>
      </c>
      <c r="H150" s="563" t="s">
        <v>4265</v>
      </c>
      <c r="I150" s="568" t="s">
        <v>4266</v>
      </c>
      <c r="J150" s="563" t="s">
        <v>4267</v>
      </c>
      <c r="K150" s="569" t="s">
        <v>4268</v>
      </c>
      <c r="L150" s="570" t="s">
        <v>71</v>
      </c>
      <c r="M150" s="568"/>
      <c r="N150" s="572"/>
      <c r="O150" s="568"/>
      <c r="P150" s="568"/>
      <c r="Q150" s="568"/>
      <c r="R150" s="748" t="str">
        <f>HYPERLINK("https://pubmed.ncbi.nlm.nih.gov/23824828/", "Caforio (2013) - Current State of Knowledge on Aetiology, Diagnosis, and Management of Myocarditis")</f>
        <v>Caforio (2013) - Current State of Knowledge on Aetiology, Diagnosis, and Management of Myocarditis</v>
      </c>
      <c r="S150" s="574" t="str">
        <f>HYPERLINK("https://pubmed.ncbi.nlm.nih.gov/7623818/", "Mason (1995) - A Clinical Trial of Immunosuppressive Therapy for Myocarditis")</f>
        <v>Mason (1995) - A Clinical Trial of Immunosuppressive Therapy for Myocarditis</v>
      </c>
      <c r="T150" s="575" t="s">
        <v>4269</v>
      </c>
      <c r="U150" s="563" t="s">
        <v>150</v>
      </c>
      <c r="V150" s="576" t="s">
        <v>879</v>
      </c>
      <c r="W150" s="563" t="s">
        <v>150</v>
      </c>
      <c r="X150" s="577" t="s">
        <v>4270</v>
      </c>
      <c r="Y150" s="76">
        <v>0.0</v>
      </c>
      <c r="Z150" s="78">
        <v>3.0</v>
      </c>
      <c r="AA150" s="78">
        <v>35.0</v>
      </c>
      <c r="AB150" s="563" t="s">
        <v>84</v>
      </c>
      <c r="AC150" s="568"/>
      <c r="AD150" s="568"/>
      <c r="AE150" s="568"/>
      <c r="AF150" s="568"/>
      <c r="AG150" s="568"/>
      <c r="AH150" s="568"/>
      <c r="AI150" s="580" t="s">
        <v>4271</v>
      </c>
      <c r="AJ150" s="580" t="s">
        <v>4272</v>
      </c>
      <c r="AK150" s="581" t="s">
        <v>4273</v>
      </c>
      <c r="AL150" s="582" t="s">
        <v>4274</v>
      </c>
      <c r="AM150" s="583" t="s">
        <v>4275</v>
      </c>
    </row>
    <row r="151">
      <c r="A151" s="292" t="s">
        <v>1039</v>
      </c>
      <c r="B151" s="294" t="s">
        <v>4276</v>
      </c>
      <c r="C151" s="295" t="s">
        <v>59</v>
      </c>
      <c r="D151" s="294" t="s">
        <v>4277</v>
      </c>
      <c r="E151" s="296" t="s">
        <v>4278</v>
      </c>
      <c r="F151" s="298" t="s">
        <v>385</v>
      </c>
      <c r="G151" s="299" t="s">
        <v>4279</v>
      </c>
      <c r="H151" s="294" t="s">
        <v>4280</v>
      </c>
      <c r="I151" s="300" t="s">
        <v>4281</v>
      </c>
      <c r="J151" s="294" t="s">
        <v>4282</v>
      </c>
      <c r="K151" s="301" t="s">
        <v>4283</v>
      </c>
      <c r="L151" s="302" t="s">
        <v>71</v>
      </c>
      <c r="M151" s="303"/>
      <c r="N151" s="304"/>
      <c r="O151" s="303"/>
      <c r="P151" s="303"/>
      <c r="Q151" s="303"/>
      <c r="R151" s="305" t="str">
        <f>HYPERLINK("https://pubmed.ncbi.nlm.nih.gov/34857798/", "Lundberg (2021) - Idiopathic Inflammatory Myopathies: Classification and Pathogenesis")</f>
        <v>Lundberg (2021) - Idiopathic Inflammatory Myopathies: Classification and Pathogenesis</v>
      </c>
      <c r="S151" s="373" t="str">
        <f>HYPERLINK("https://pubmed.ncbi.nlm.nih.gov/1090839/", "Bohan &amp; Peter (1975) - Polymyositis and Dermatomyositis")</f>
        <v>Bohan &amp; Peter (1975) - Polymyositis and Dermatomyositis</v>
      </c>
      <c r="T151" s="307" t="s">
        <v>4284</v>
      </c>
      <c r="U151" s="294" t="s">
        <v>150</v>
      </c>
      <c r="V151" s="308" t="s">
        <v>4285</v>
      </c>
      <c r="W151" s="294" t="s">
        <v>150</v>
      </c>
      <c r="X151" s="309" t="s">
        <v>4286</v>
      </c>
      <c r="Y151" s="76">
        <v>3.5</v>
      </c>
      <c r="Z151" s="289"/>
      <c r="AA151" s="289"/>
      <c r="AB151" s="294" t="s">
        <v>153</v>
      </c>
      <c r="AC151" s="303"/>
      <c r="AD151" s="303"/>
      <c r="AE151" s="303"/>
      <c r="AF151" s="303"/>
      <c r="AG151" s="303"/>
      <c r="AH151" s="303"/>
      <c r="AI151" s="311" t="s">
        <v>4287</v>
      </c>
      <c r="AJ151" s="311" t="s">
        <v>4288</v>
      </c>
      <c r="AK151" s="312" t="s">
        <v>3457</v>
      </c>
      <c r="AL151" s="661" t="s">
        <v>4289</v>
      </c>
      <c r="AM151" s="662" t="s">
        <v>4290</v>
      </c>
    </row>
    <row r="152">
      <c r="A152" s="114" t="s">
        <v>1046</v>
      </c>
      <c r="B152" s="115" t="s">
        <v>1046</v>
      </c>
      <c r="C152" s="116" t="s">
        <v>59</v>
      </c>
      <c r="D152" s="115" t="s">
        <v>4291</v>
      </c>
      <c r="E152" s="118" t="s">
        <v>4292</v>
      </c>
      <c r="F152" s="120" t="s">
        <v>133</v>
      </c>
      <c r="G152" s="121" t="s">
        <v>865</v>
      </c>
      <c r="H152" s="115" t="s">
        <v>4293</v>
      </c>
      <c r="I152" s="125" t="s">
        <v>4294</v>
      </c>
      <c r="J152" s="115" t="s">
        <v>4295</v>
      </c>
      <c r="K152" s="128" t="s">
        <v>4296</v>
      </c>
      <c r="L152" s="129" t="s">
        <v>1185</v>
      </c>
      <c r="M152" s="130"/>
      <c r="N152" s="132"/>
      <c r="O152" s="130"/>
      <c r="P152" s="130"/>
      <c r="Q152" s="130"/>
      <c r="R152" s="133" t="str">
        <f>HYPERLINK("https://pubmed.ncbi.nlm.nih.gov/25337750/", "Jennette (2014) - Small-Vessel Vasculitis")</f>
        <v>Jennette (2014) - Small-Vessel Vasculitis</v>
      </c>
      <c r="S152" s="376" t="str">
        <f>HYPERLINK("https://pubmed.ncbi.nlm.nih.gov/12993266/", "Zeek (1952) - Necrotizing Angiitis Classification and Pathology")</f>
        <v>Zeek (1952) - Necrotizing Angiitis Classification and Pathology</v>
      </c>
      <c r="T152" s="135" t="s">
        <v>4297</v>
      </c>
      <c r="U152" s="115" t="s">
        <v>79</v>
      </c>
      <c r="V152" s="136" t="s">
        <v>367</v>
      </c>
      <c r="W152" s="115" t="s">
        <v>79</v>
      </c>
      <c r="X152" s="137" t="s">
        <v>4298</v>
      </c>
      <c r="Y152" s="76">
        <v>2.9</v>
      </c>
      <c r="Z152" s="78">
        <v>50.0</v>
      </c>
      <c r="AA152" s="78">
        <v>70.0</v>
      </c>
      <c r="AB152" s="115" t="s">
        <v>153</v>
      </c>
      <c r="AC152" s="130"/>
      <c r="AD152" s="130"/>
      <c r="AE152" s="130"/>
      <c r="AF152" s="130"/>
      <c r="AG152" s="130"/>
      <c r="AH152" s="130"/>
      <c r="AI152" s="138" t="s">
        <v>4299</v>
      </c>
      <c r="AJ152" s="138" t="s">
        <v>4300</v>
      </c>
      <c r="AK152" s="140" t="s">
        <v>4301</v>
      </c>
      <c r="AL152" s="666" t="s">
        <v>4302</v>
      </c>
      <c r="AM152" s="667" t="s">
        <v>4303</v>
      </c>
    </row>
    <row r="153">
      <c r="A153" s="749" t="s">
        <v>4304</v>
      </c>
      <c r="B153" s="750" t="s">
        <v>4305</v>
      </c>
      <c r="C153" s="751" t="s">
        <v>137</v>
      </c>
      <c r="D153" s="750" t="s">
        <v>4306</v>
      </c>
      <c r="E153" s="752" t="s">
        <v>4307</v>
      </c>
      <c r="F153" s="206" t="s">
        <v>234</v>
      </c>
      <c r="G153" s="753" t="s">
        <v>4308</v>
      </c>
      <c r="H153" s="203" t="s">
        <v>4309</v>
      </c>
      <c r="I153" s="754" t="s">
        <v>4310</v>
      </c>
      <c r="J153" s="203" t="s">
        <v>4311</v>
      </c>
      <c r="K153" s="210" t="s">
        <v>4312</v>
      </c>
      <c r="L153" s="755"/>
      <c r="M153" s="756"/>
      <c r="N153" s="757"/>
      <c r="O153" s="756"/>
      <c r="P153" s="756"/>
      <c r="Q153" s="756"/>
      <c r="R153" s="758" t="str">
        <f>HYPERLINK("[link removed]", "Buyon (2009) - Neonatal Lupus: Clinical Spectrum, Biomarkers, Pathogenesis, and Treatments")</f>
        <v>Buyon (2009) - Neonatal Lupus: Clinical Spectrum, Biomarkers, Pathogenesis, and Treatments</v>
      </c>
      <c r="S153" s="759" t="str">
        <f>HYPERLINK("[link removed]", "Buyon (1993) - Maternal Anti-SSA/Ro Antibodies in Congenital Heart Block")</f>
        <v>Buyon (1993) - Maternal Anti-SSA/Ro Antibodies in Congenital Heart Block</v>
      </c>
      <c r="T153" s="760" t="s">
        <v>4313</v>
      </c>
      <c r="U153" s="750" t="s">
        <v>79</v>
      </c>
      <c r="V153" s="761" t="s">
        <v>4314</v>
      </c>
      <c r="W153" s="750" t="s">
        <v>79</v>
      </c>
      <c r="X153" s="762" t="s">
        <v>4315</v>
      </c>
      <c r="Y153" s="763"/>
      <c r="Z153" s="764"/>
      <c r="AA153" s="764"/>
      <c r="AB153" s="750"/>
      <c r="AC153" s="756"/>
      <c r="AD153" s="756"/>
      <c r="AE153" s="756"/>
      <c r="AF153" s="756"/>
      <c r="AG153" s="756"/>
      <c r="AH153" s="756"/>
      <c r="AI153" s="765" t="s">
        <v>4316</v>
      </c>
      <c r="AJ153" s="765" t="s">
        <v>4317</v>
      </c>
      <c r="AK153" s="766" t="s">
        <v>4318</v>
      </c>
      <c r="AL153" s="767" t="s">
        <v>4319</v>
      </c>
      <c r="AM153" s="768" t="s">
        <v>4320</v>
      </c>
    </row>
    <row r="154">
      <c r="A154" s="769" t="s">
        <v>1052</v>
      </c>
      <c r="B154" s="770" t="s">
        <v>4321</v>
      </c>
      <c r="C154" s="90" t="s">
        <v>137</v>
      </c>
      <c r="D154" s="89" t="s">
        <v>4322</v>
      </c>
      <c r="E154" s="91" t="s">
        <v>4323</v>
      </c>
      <c r="F154" s="92" t="s">
        <v>101</v>
      </c>
      <c r="G154" s="93" t="s">
        <v>170</v>
      </c>
      <c r="H154" s="89" t="s">
        <v>4324</v>
      </c>
      <c r="I154" s="94" t="s">
        <v>170</v>
      </c>
      <c r="J154" s="89" t="s">
        <v>137</v>
      </c>
      <c r="K154" s="96" t="s">
        <v>4325</v>
      </c>
      <c r="L154" s="97" t="s">
        <v>137</v>
      </c>
      <c r="M154" s="316"/>
      <c r="N154" s="98"/>
      <c r="O154" s="316"/>
      <c r="P154" s="316"/>
      <c r="Q154" s="316"/>
      <c r="R154" s="317" t="str">
        <f>HYPERLINK("https://pubmed.ncbi.nlm.nih.gov/16371410/", "van Alfen (2006) - The Clinical Spectrum of Neuralgic Amyotrophy in 246 Cases")</f>
        <v>van Alfen (2006) - The Clinical Spectrum of Neuralgic Amyotrophy in 246 Cases</v>
      </c>
      <c r="S154" s="369" t="str">
        <f>HYPERLINK("https://pubmed.ncbi.nlm.nih.gov/16371410/", "van Alfen (2006) - Neuralgic Amyotrophy: Clinical Spectrum of 246 Cases")</f>
        <v>van Alfen (2006) - Neuralgic Amyotrophy: Clinical Spectrum of 246 Cases</v>
      </c>
      <c r="T154" s="318" t="s">
        <v>4326</v>
      </c>
      <c r="U154" s="89" t="s">
        <v>79</v>
      </c>
      <c r="V154" s="102" t="s">
        <v>4327</v>
      </c>
      <c r="W154" s="89" t="s">
        <v>150</v>
      </c>
      <c r="X154" s="104" t="s">
        <v>4328</v>
      </c>
      <c r="Y154" s="76">
        <v>1.6</v>
      </c>
      <c r="Z154" s="78">
        <v>40.0</v>
      </c>
      <c r="AA154" s="78">
        <v>40.0</v>
      </c>
      <c r="AB154" s="89" t="s">
        <v>137</v>
      </c>
      <c r="AC154" s="316"/>
      <c r="AD154" s="316"/>
      <c r="AE154" s="316"/>
      <c r="AF154" s="316"/>
      <c r="AG154" s="316"/>
      <c r="AH154" s="316"/>
      <c r="AI154" s="110" t="s">
        <v>4329</v>
      </c>
      <c r="AJ154" s="110" t="s">
        <v>4330</v>
      </c>
      <c r="AK154" s="111" t="s">
        <v>4331</v>
      </c>
      <c r="AL154" s="112" t="s">
        <v>4332</v>
      </c>
      <c r="AM154" s="113" t="s">
        <v>4333</v>
      </c>
    </row>
    <row r="155">
      <c r="A155" s="771" t="s">
        <v>1075</v>
      </c>
      <c r="B155" s="245" t="s">
        <v>4334</v>
      </c>
      <c r="C155" s="246" t="s">
        <v>59</v>
      </c>
      <c r="D155" s="245" t="s">
        <v>4335</v>
      </c>
      <c r="E155" s="247" t="s">
        <v>4336</v>
      </c>
      <c r="F155" s="248" t="s">
        <v>301</v>
      </c>
      <c r="G155" s="249" t="s">
        <v>4337</v>
      </c>
      <c r="H155" s="245" t="s">
        <v>4338</v>
      </c>
      <c r="I155" s="250" t="s">
        <v>4339</v>
      </c>
      <c r="J155" s="245" t="s">
        <v>4340</v>
      </c>
      <c r="K155" s="252" t="s">
        <v>4341</v>
      </c>
      <c r="L155" s="253" t="s">
        <v>71</v>
      </c>
      <c r="M155" s="250"/>
      <c r="N155" s="255"/>
      <c r="O155" s="250"/>
      <c r="P155" s="250"/>
      <c r="Q155" s="250"/>
      <c r="R155" s="516" t="str">
        <f>HYPERLINK("https://pubmed.ncbi.nlm.nih.gov/26092914/", "Wingerchuk (2015) - International Consensus Diagnostic Criteria for Neuromyelitis Optica Spectrum Disorders")</f>
        <v>Wingerchuk (2015) - International Consensus Diagnostic Criteria for Neuromyelitis Optica Spectrum Disorders</v>
      </c>
      <c r="S155" s="516" t="str">
        <f>HYPERLINK("https://pubmed.ncbi.nlm.nih.gov/15591575/", "Lennon (2004) - A Serum Autoantibody Marker of Neuromyelitis Optica: Aquaporin-4")</f>
        <v>Lennon (2004) - A Serum Autoantibody Marker of Neuromyelitis Optica: Aquaporin-4</v>
      </c>
      <c r="T155" s="265" t="s">
        <v>4342</v>
      </c>
      <c r="U155" s="245" t="s">
        <v>150</v>
      </c>
      <c r="V155" s="266" t="s">
        <v>4343</v>
      </c>
      <c r="W155" s="245" t="s">
        <v>150</v>
      </c>
      <c r="X155" s="267" t="s">
        <v>4344</v>
      </c>
      <c r="Y155" s="268">
        <v>3.3</v>
      </c>
      <c r="Z155" s="269">
        <v>31.0</v>
      </c>
      <c r="AA155" s="269">
        <v>61.0</v>
      </c>
      <c r="AB155" s="245" t="s">
        <v>153</v>
      </c>
      <c r="AC155" s="250"/>
      <c r="AD155" s="250"/>
      <c r="AE155" s="250"/>
      <c r="AF155" s="250"/>
      <c r="AG155" s="250"/>
      <c r="AH155" s="250"/>
      <c r="AI155" s="270" t="s">
        <v>4345</v>
      </c>
      <c r="AJ155" s="270" t="s">
        <v>4346</v>
      </c>
      <c r="AK155" s="271" t="s">
        <v>4347</v>
      </c>
      <c r="AL155" s="272" t="s">
        <v>4348</v>
      </c>
      <c r="AM155" s="273" t="s">
        <v>4349</v>
      </c>
    </row>
    <row r="156">
      <c r="A156" s="769" t="s">
        <v>1098</v>
      </c>
      <c r="B156" s="89" t="s">
        <v>4350</v>
      </c>
      <c r="C156" s="90" t="s">
        <v>59</v>
      </c>
      <c r="D156" s="89" t="s">
        <v>4351</v>
      </c>
      <c r="E156" s="91" t="s">
        <v>4352</v>
      </c>
      <c r="F156" s="92" t="s">
        <v>101</v>
      </c>
      <c r="G156" s="93" t="s">
        <v>4353</v>
      </c>
      <c r="H156" s="89" t="s">
        <v>4354</v>
      </c>
      <c r="I156" s="94" t="s">
        <v>4355</v>
      </c>
      <c r="J156" s="89" t="s">
        <v>4356</v>
      </c>
      <c r="K156" s="96" t="s">
        <v>4357</v>
      </c>
      <c r="L156" s="97" t="s">
        <v>71</v>
      </c>
      <c r="M156" s="316"/>
      <c r="N156" s="98"/>
      <c r="O156" s="316"/>
      <c r="P156" s="316"/>
      <c r="Q156" s="316"/>
      <c r="R156" s="317" t="str">
        <f>HYPERLINK("https://pubmed.ncbi.nlm.nih.gov/20658828/", "Vincent (2010) - Autoantibodies to VGKC Complexes in Neuromyotonia")</f>
        <v>Vincent (2010) - Autoantibodies to VGKC Complexes in Neuromyotonia</v>
      </c>
      <c r="S156" s="369" t="str">
        <f>HYPERLINK("https://pubmed.ncbi.nlm.nih.gov/9344877/", "Hart (1997) - Phenotypic Variations of Autoimmune Neuromyotonia")</f>
        <v>Hart (1997) - Phenotypic Variations of Autoimmune Neuromyotonia</v>
      </c>
      <c r="T156" s="318" t="s">
        <v>4358</v>
      </c>
      <c r="U156" s="89" t="s">
        <v>150</v>
      </c>
      <c r="V156" s="102" t="s">
        <v>3020</v>
      </c>
      <c r="W156" s="89" t="s">
        <v>150</v>
      </c>
      <c r="X156" s="104" t="s">
        <v>285</v>
      </c>
      <c r="Y156" s="76">
        <v>0.0</v>
      </c>
      <c r="Z156" s="78">
        <v>15.0</v>
      </c>
      <c r="AA156" s="78">
        <v>60.0</v>
      </c>
      <c r="AB156" s="89" t="s">
        <v>84</v>
      </c>
      <c r="AC156" s="316"/>
      <c r="AD156" s="316"/>
      <c r="AE156" s="316"/>
      <c r="AF156" s="316"/>
      <c r="AG156" s="316"/>
      <c r="AH156" s="316"/>
      <c r="AI156" s="110" t="s">
        <v>4359</v>
      </c>
      <c r="AJ156" s="110" t="s">
        <v>4360</v>
      </c>
      <c r="AK156" s="111" t="s">
        <v>4361</v>
      </c>
      <c r="AL156" s="112" t="s">
        <v>4362</v>
      </c>
      <c r="AM156" s="113" t="s">
        <v>4363</v>
      </c>
    </row>
    <row r="157">
      <c r="A157" s="88" t="s">
        <v>1118</v>
      </c>
      <c r="B157" s="646" t="s">
        <v>4364</v>
      </c>
      <c r="C157" s="90" t="s">
        <v>59</v>
      </c>
      <c r="D157" s="89" t="s">
        <v>4365</v>
      </c>
      <c r="E157" s="91" t="s">
        <v>4366</v>
      </c>
      <c r="F157" s="92" t="s">
        <v>101</v>
      </c>
      <c r="G157" s="93" t="s">
        <v>4367</v>
      </c>
      <c r="H157" s="89" t="s">
        <v>4368</v>
      </c>
      <c r="I157" s="94" t="s">
        <v>4369</v>
      </c>
      <c r="J157" s="89" t="s">
        <v>4370</v>
      </c>
      <c r="K157" s="96" t="s">
        <v>4371</v>
      </c>
      <c r="L157" s="97" t="s">
        <v>71</v>
      </c>
      <c r="M157" s="316"/>
      <c r="N157" s="98"/>
      <c r="O157" s="316"/>
      <c r="P157" s="316"/>
      <c r="Q157" s="316"/>
      <c r="R157" s="317" t="str">
        <f>HYPERLINK("https://pubmed.ncbi.nlm.nih.gov/34293819/", "Bartalena (2021) - The 2021 EUGOGO Clinical Practice Guidelines for Graves' Orbitopathy")</f>
        <v>Bartalena (2021) - The 2021 EUGOGO Clinical Practice Guidelines for Graves' Orbitopathy</v>
      </c>
      <c r="S157" s="369" t="str">
        <f>HYPERLINK("https://pubmed.ncbi.nlm.nih.gov/7872659/", "Bartley (1995) - Clinical Features of Graves' Ophthalmopathy in Olmsted County")</f>
        <v>Bartley (1995) - Clinical Features of Graves' Ophthalmopathy in Olmsted County</v>
      </c>
      <c r="T157" s="318" t="s">
        <v>4372</v>
      </c>
      <c r="U157" s="89" t="s">
        <v>150</v>
      </c>
      <c r="V157" s="102" t="s">
        <v>2519</v>
      </c>
      <c r="W157" s="89" t="s">
        <v>150</v>
      </c>
      <c r="X157" s="104" t="s">
        <v>4373</v>
      </c>
      <c r="Y157" s="76">
        <v>0.0</v>
      </c>
      <c r="Z157" s="78">
        <v>20.0</v>
      </c>
      <c r="AA157" s="78">
        <v>50.0</v>
      </c>
      <c r="AB157" s="89" t="s">
        <v>153</v>
      </c>
      <c r="AC157" s="316"/>
      <c r="AD157" s="316"/>
      <c r="AE157" s="316"/>
      <c r="AF157" s="316"/>
      <c r="AG157" s="316"/>
      <c r="AH157" s="316"/>
      <c r="AI157" s="110" t="s">
        <v>4374</v>
      </c>
      <c r="AJ157" s="110" t="s">
        <v>4375</v>
      </c>
      <c r="AK157" s="111" t="s">
        <v>4376</v>
      </c>
      <c r="AL157" s="112" t="s">
        <v>4377</v>
      </c>
      <c r="AM157" s="113" t="s">
        <v>4378</v>
      </c>
    </row>
    <row r="158">
      <c r="A158" s="88" t="s">
        <v>1135</v>
      </c>
      <c r="B158" s="89" t="s">
        <v>4379</v>
      </c>
      <c r="C158" s="90" t="s">
        <v>59</v>
      </c>
      <c r="D158" s="89" t="s">
        <v>4380</v>
      </c>
      <c r="E158" s="91" t="s">
        <v>4381</v>
      </c>
      <c r="F158" s="92" t="s">
        <v>101</v>
      </c>
      <c r="G158" s="93" t="s">
        <v>170</v>
      </c>
      <c r="H158" s="89" t="s">
        <v>4382</v>
      </c>
      <c r="I158" s="94" t="s">
        <v>4383</v>
      </c>
      <c r="J158" s="89" t="s">
        <v>4384</v>
      </c>
      <c r="K158" s="96" t="s">
        <v>4385</v>
      </c>
      <c r="L158" s="97" t="s">
        <v>1185</v>
      </c>
      <c r="M158" s="316"/>
      <c r="N158" s="98"/>
      <c r="O158" s="316"/>
      <c r="P158" s="316"/>
      <c r="Q158" s="316"/>
      <c r="R158" s="317" t="str">
        <f>HYPERLINK("https://pubmed.ncbi.nlm.nih.gov/27048661/", "Armangue (2016) - Opsoclonus-Myoclonus Syndrome: Clinical and Immunological Aspects")</f>
        <v>Armangue (2016) - Opsoclonus-Myoclonus Syndrome: Clinical and Immunological Aspects</v>
      </c>
      <c r="S158" s="772" t="str">
        <f>HYPERLINK("https://pubmed.ncbi.nlm.nih.gov/1381273/", "Pranzatelli (1992) - The Neurobiology of the Opsoclonus-Myoclonus Syndrome")</f>
        <v>Pranzatelli (1992) - The Neurobiology of the Opsoclonus-Myoclonus Syndrome</v>
      </c>
      <c r="T158" s="318" t="s">
        <v>4386</v>
      </c>
      <c r="U158" s="89" t="s">
        <v>79</v>
      </c>
      <c r="V158" s="102" t="s">
        <v>4387</v>
      </c>
      <c r="W158" s="89" t="s">
        <v>150</v>
      </c>
      <c r="X158" s="104" t="s">
        <v>4388</v>
      </c>
      <c r="Y158" s="76">
        <v>0.0</v>
      </c>
      <c r="Z158" s="78">
        <v>1.0</v>
      </c>
      <c r="AA158" s="78">
        <v>2.0</v>
      </c>
      <c r="AB158" s="89" t="s">
        <v>84</v>
      </c>
      <c r="AC158" s="316"/>
      <c r="AD158" s="316"/>
      <c r="AE158" s="316"/>
      <c r="AF158" s="316"/>
      <c r="AG158" s="316"/>
      <c r="AH158" s="316"/>
      <c r="AI158" s="110" t="s">
        <v>4389</v>
      </c>
      <c r="AJ158" s="110" t="s">
        <v>4390</v>
      </c>
      <c r="AK158" s="111" t="s">
        <v>4391</v>
      </c>
      <c r="AL158" s="112" t="s">
        <v>4392</v>
      </c>
      <c r="AM158" s="113" t="s">
        <v>4393</v>
      </c>
    </row>
    <row r="159">
      <c r="A159" s="292" t="s">
        <v>1160</v>
      </c>
      <c r="B159" s="773" t="s">
        <v>4394</v>
      </c>
      <c r="C159" s="295" t="s">
        <v>137</v>
      </c>
      <c r="D159" s="294" t="s">
        <v>4395</v>
      </c>
      <c r="E159" s="296" t="s">
        <v>4396</v>
      </c>
      <c r="F159" s="298" t="s">
        <v>385</v>
      </c>
      <c r="G159" s="299" t="s">
        <v>4397</v>
      </c>
      <c r="H159" s="294" t="s">
        <v>4398</v>
      </c>
      <c r="I159" s="300" t="s">
        <v>4399</v>
      </c>
      <c r="J159" s="294" t="s">
        <v>4400</v>
      </c>
      <c r="K159" s="301" t="s">
        <v>4401</v>
      </c>
      <c r="L159" s="302" t="s">
        <v>137</v>
      </c>
      <c r="M159" s="303"/>
      <c r="N159" s="304"/>
      <c r="O159" s="303"/>
      <c r="P159" s="303"/>
      <c r="Q159" s="303"/>
      <c r="R159" s="305" t="str">
        <f>HYPERLINK("https://pubmed.ncbi.nlm.nih.gov/34085744/", "Sanmarti (2021) - Palindromic Rheumatism: An Updated Overview")</f>
        <v>Sanmarti (2021) - Palindromic Rheumatism: An Updated Overview</v>
      </c>
      <c r="S159" s="373" t="str">
        <f>HYPERLINK("https://pubmed.ncbi.nlm.nih.gov/28408111/", "Sanmarti (2017) - Palindromic Rheumatism: Autoantibodies and Clinical Trajectory")</f>
        <v>Sanmarti (2017) - Palindromic Rheumatism: Autoantibodies and Clinical Trajectory</v>
      </c>
      <c r="T159" s="307" t="s">
        <v>4402</v>
      </c>
      <c r="U159" s="294" t="s">
        <v>150</v>
      </c>
      <c r="V159" s="308" t="s">
        <v>879</v>
      </c>
      <c r="W159" s="294" t="s">
        <v>150</v>
      </c>
      <c r="X159" s="309" t="s">
        <v>4403</v>
      </c>
      <c r="Y159" s="76">
        <v>2.0</v>
      </c>
      <c r="Z159" s="78">
        <v>36.0</v>
      </c>
      <c r="AA159" s="78">
        <v>52.0</v>
      </c>
      <c r="AB159" s="294" t="s">
        <v>153</v>
      </c>
      <c r="AC159" s="303"/>
      <c r="AD159" s="303"/>
      <c r="AE159" s="303"/>
      <c r="AF159" s="303"/>
      <c r="AG159" s="303"/>
      <c r="AH159" s="303"/>
      <c r="AI159" s="311" t="s">
        <v>4404</v>
      </c>
      <c r="AJ159" s="311" t="s">
        <v>4405</v>
      </c>
      <c r="AK159" s="312" t="s">
        <v>4406</v>
      </c>
      <c r="AL159" s="313" t="s">
        <v>4407</v>
      </c>
      <c r="AM159" s="314" t="s">
        <v>4408</v>
      </c>
    </row>
    <row r="160">
      <c r="A160" s="88" t="s">
        <v>1165</v>
      </c>
      <c r="B160" s="89" t="s">
        <v>4409</v>
      </c>
      <c r="C160" s="90" t="s">
        <v>59</v>
      </c>
      <c r="D160" s="89" t="s">
        <v>4410</v>
      </c>
      <c r="E160" s="91" t="s">
        <v>4411</v>
      </c>
      <c r="F160" s="92" t="s">
        <v>101</v>
      </c>
      <c r="G160" s="93" t="s">
        <v>4412</v>
      </c>
      <c r="H160" s="89" t="s">
        <v>4413</v>
      </c>
      <c r="I160" s="774" t="s">
        <v>4414</v>
      </c>
      <c r="J160" s="89" t="s">
        <v>4415</v>
      </c>
      <c r="K160" s="96" t="s">
        <v>4416</v>
      </c>
      <c r="L160" s="97" t="s">
        <v>71</v>
      </c>
      <c r="M160" s="94"/>
      <c r="N160" s="98"/>
      <c r="O160" s="94"/>
      <c r="P160" s="94"/>
      <c r="Q160" s="94"/>
      <c r="R160" s="369" t="str">
        <f>HYPERLINK("[link removed]", "Shams'ili (2003) - Paraneoplastic Cerebellar Degeneration: Clinical Features and Antibodies in 347 Patients")</f>
        <v>Shams'ili (2003) - Paraneoplastic Cerebellar Degeneration: Clinical Features and Antibodies in 347 Patients</v>
      </c>
      <c r="S160" s="370" t="str">
        <f>HYPERLINK("https://pubmed.ncbi.nlm.nih.gov/6344558/", "Greenlee &amp; Brashear (1983) - Antibodies to Purkinje Cells in Paraneoplastic Cerebellar Ataxia")</f>
        <v>Greenlee &amp; Brashear (1983) - Antibodies to Purkinje Cells in Paraneoplastic Cerebellar Ataxia</v>
      </c>
      <c r="T160" s="318" t="s">
        <v>4417</v>
      </c>
      <c r="U160" s="89" t="s">
        <v>150</v>
      </c>
      <c r="V160" s="102" t="s">
        <v>1512</v>
      </c>
      <c r="W160" s="89" t="s">
        <v>150</v>
      </c>
      <c r="X160" s="104" t="s">
        <v>4418</v>
      </c>
      <c r="Y160" s="76">
        <v>0.0</v>
      </c>
      <c r="Z160" s="289"/>
      <c r="AA160" s="289"/>
      <c r="AB160" s="89" t="s">
        <v>153</v>
      </c>
      <c r="AC160" s="94"/>
      <c r="AD160" s="94"/>
      <c r="AE160" s="94"/>
      <c r="AF160" s="94"/>
      <c r="AG160" s="94"/>
      <c r="AH160" s="94"/>
      <c r="AI160" s="110" t="s">
        <v>4419</v>
      </c>
      <c r="AJ160" s="110" t="s">
        <v>4420</v>
      </c>
      <c r="AK160" s="111" t="s">
        <v>4421</v>
      </c>
      <c r="AL160" s="438" t="s">
        <v>4422</v>
      </c>
      <c r="AM160" s="439" t="s">
        <v>4423</v>
      </c>
    </row>
    <row r="161">
      <c r="A161" s="148" t="s">
        <v>4424</v>
      </c>
      <c r="B161" s="149" t="s">
        <v>4425</v>
      </c>
      <c r="C161" s="150" t="s">
        <v>137</v>
      </c>
      <c r="D161" s="149" t="s">
        <v>4426</v>
      </c>
      <c r="E161" s="152" t="s">
        <v>4427</v>
      </c>
      <c r="F161" s="153" t="s">
        <v>168</v>
      </c>
      <c r="G161" s="156" t="s">
        <v>4428</v>
      </c>
      <c r="H161" s="149" t="s">
        <v>4429</v>
      </c>
      <c r="I161" s="158" t="s">
        <v>4430</v>
      </c>
      <c r="J161" s="149" t="s">
        <v>4431</v>
      </c>
      <c r="K161" s="161" t="s">
        <v>4432</v>
      </c>
      <c r="L161" s="162"/>
      <c r="M161" s="163"/>
      <c r="N161" s="164"/>
      <c r="O161" s="163"/>
      <c r="P161" s="163"/>
      <c r="Q161" s="163"/>
      <c r="R161" s="399" t="str">
        <f>HYPERLINK("https://pubmed.ncbi.nlm.nih.gov/27445207/", "Czernik (2016) - Paraneoplastic Pemphigus: A Review")</f>
        <v>Czernik (2016) - Paraneoplastic Pemphigus: A Review</v>
      </c>
      <c r="S161" s="275" t="str">
        <f>HYPERLINK("https://pubmed.ncbi.nlm.nih.gov/2247105/", "Anhalt (1990) - Discovery and Characterization of Paraneoplastic Pemphigus")</f>
        <v>Anhalt (1990) - Discovery and Characterization of Paraneoplastic Pemphigus</v>
      </c>
      <c r="T161" s="167" t="s">
        <v>4433</v>
      </c>
      <c r="U161" s="149" t="s">
        <v>150</v>
      </c>
      <c r="V161" s="168" t="s">
        <v>3020</v>
      </c>
      <c r="W161" s="149" t="s">
        <v>150</v>
      </c>
      <c r="X161" s="169" t="s">
        <v>285</v>
      </c>
      <c r="Y161" s="589"/>
      <c r="Z161" s="590"/>
      <c r="AA161" s="590"/>
      <c r="AB161" s="149"/>
      <c r="AC161" s="163"/>
      <c r="AD161" s="163"/>
      <c r="AE161" s="163"/>
      <c r="AF161" s="163"/>
      <c r="AG161" s="163"/>
      <c r="AH161" s="163"/>
      <c r="AI161" s="171" t="s">
        <v>4434</v>
      </c>
      <c r="AJ161" s="171" t="s">
        <v>4435</v>
      </c>
      <c r="AK161" s="172" t="s">
        <v>4436</v>
      </c>
      <c r="AL161" s="173" t="s">
        <v>4437</v>
      </c>
      <c r="AM161" s="174" t="s">
        <v>4438</v>
      </c>
    </row>
    <row r="162">
      <c r="A162" s="47" t="s">
        <v>4439</v>
      </c>
      <c r="B162" s="48" t="s">
        <v>4440</v>
      </c>
      <c r="C162" s="49" t="s">
        <v>137</v>
      </c>
      <c r="D162" s="48" t="s">
        <v>4441</v>
      </c>
      <c r="E162" s="51" t="s">
        <v>4442</v>
      </c>
      <c r="F162" s="53" t="s">
        <v>62</v>
      </c>
      <c r="G162" s="56" t="s">
        <v>4443</v>
      </c>
      <c r="H162" s="48" t="s">
        <v>3312</v>
      </c>
      <c r="I162" s="58" t="s">
        <v>4444</v>
      </c>
      <c r="J162" s="48" t="s">
        <v>4445</v>
      </c>
      <c r="K162" s="60" t="s">
        <v>4446</v>
      </c>
      <c r="L162" s="63"/>
      <c r="M162" s="394"/>
      <c r="N162" s="65"/>
      <c r="O162" s="394"/>
      <c r="P162" s="394"/>
      <c r="Q162" s="394"/>
      <c r="R162" s="395" t="str">
        <f>HYPERLINK("https://pubmed.ncbi.nlm.nih.gov/25852448/", "Shanbhag (2015) - Paroxysmal Cold Hemoglobinuria")</f>
        <v>Shanbhag (2015) - Paroxysmal Cold Hemoglobinuria</v>
      </c>
      <c r="S162" s="70" t="str">
        <f>HYPERLINK("https://pubmed.ncbi.nlm.nih.gov/10607357/", "Sokol (1999) - Donath-Landsteiner Antibodies in Paroxysmal Cold Hemoglobinuria")</f>
        <v>Sokol (1999) - Donath-Landsteiner Antibodies in Paroxysmal Cold Hemoglobinuria</v>
      </c>
      <c r="T162" s="377" t="s">
        <v>4447</v>
      </c>
      <c r="U162" s="48" t="s">
        <v>150</v>
      </c>
      <c r="V162" s="73" t="s">
        <v>1512</v>
      </c>
      <c r="W162" s="48" t="s">
        <v>150</v>
      </c>
      <c r="X162" s="75" t="s">
        <v>1512</v>
      </c>
      <c r="Y162" s="396"/>
      <c r="Z162" s="397"/>
      <c r="AA162" s="397"/>
      <c r="AB162" s="48"/>
      <c r="AC162" s="394"/>
      <c r="AD162" s="394"/>
      <c r="AE162" s="394"/>
      <c r="AF162" s="394"/>
      <c r="AG162" s="394"/>
      <c r="AH162" s="394"/>
      <c r="AI162" s="84" t="s">
        <v>4448</v>
      </c>
      <c r="AJ162" s="84" t="s">
        <v>4449</v>
      </c>
      <c r="AK162" s="85" t="s">
        <v>4450</v>
      </c>
      <c r="AL162" s="379" t="s">
        <v>4451</v>
      </c>
      <c r="AM162" s="380" t="s">
        <v>4452</v>
      </c>
    </row>
    <row r="163">
      <c r="A163" s="47" t="s">
        <v>1184</v>
      </c>
      <c r="B163" s="48" t="s">
        <v>1184</v>
      </c>
      <c r="C163" s="49" t="s">
        <v>137</v>
      </c>
      <c r="D163" s="48" t="s">
        <v>4453</v>
      </c>
      <c r="E163" s="51" t="s">
        <v>4454</v>
      </c>
      <c r="F163" s="53" t="s">
        <v>62</v>
      </c>
      <c r="G163" s="56" t="s">
        <v>4455</v>
      </c>
      <c r="H163" s="48" t="s">
        <v>4456</v>
      </c>
      <c r="I163" s="58" t="s">
        <v>170</v>
      </c>
      <c r="J163" s="48" t="s">
        <v>137</v>
      </c>
      <c r="K163" s="60" t="s">
        <v>4457</v>
      </c>
      <c r="L163" s="63" t="s">
        <v>137</v>
      </c>
      <c r="M163" s="394"/>
      <c r="N163" s="65"/>
      <c r="O163" s="394"/>
      <c r="P163" s="394"/>
      <c r="Q163" s="394"/>
      <c r="R163" s="395" t="str">
        <f>HYPERLINK("https://pubmed.ncbi.nlm.nih.gov/28516950/", "Hill (2017) - Paroxysmal Nocturnal Haemoglobinuria")</f>
        <v>Hill (2017) - Paroxysmal Nocturnal Haemoglobinuria</v>
      </c>
      <c r="S163" s="70" t="str">
        <f>HYPERLINK("https://pubmed.ncbi.nlm.nih.gov/16322472/", "Parker (2005) - Diagnosis and Management of Paroxysmal Nocturnal Hemoglobinuria")</f>
        <v>Parker (2005) - Diagnosis and Management of Paroxysmal Nocturnal Hemoglobinuria</v>
      </c>
      <c r="T163" s="377" t="s">
        <v>4458</v>
      </c>
      <c r="U163" s="48" t="s">
        <v>150</v>
      </c>
      <c r="V163" s="73" t="s">
        <v>4459</v>
      </c>
      <c r="W163" s="48" t="s">
        <v>150</v>
      </c>
      <c r="X163" s="75" t="s">
        <v>4460</v>
      </c>
      <c r="Y163" s="76">
        <v>1.3</v>
      </c>
      <c r="Z163" s="78">
        <v>40.0</v>
      </c>
      <c r="AA163" s="78">
        <v>50.0</v>
      </c>
      <c r="AB163" s="48" t="s">
        <v>84</v>
      </c>
      <c r="AC163" s="394"/>
      <c r="AD163" s="394"/>
      <c r="AE163" s="394"/>
      <c r="AF163" s="394"/>
      <c r="AG163" s="394"/>
      <c r="AH163" s="394"/>
      <c r="AI163" s="84" t="s">
        <v>4461</v>
      </c>
      <c r="AJ163" s="84" t="s">
        <v>4462</v>
      </c>
      <c r="AK163" s="85" t="s">
        <v>4463</v>
      </c>
      <c r="AL163" s="659" t="s">
        <v>4464</v>
      </c>
      <c r="AM163" s="660" t="s">
        <v>4465</v>
      </c>
    </row>
    <row r="164">
      <c r="A164" s="88" t="s">
        <v>1187</v>
      </c>
      <c r="B164" s="89" t="s">
        <v>4466</v>
      </c>
      <c r="C164" s="90" t="s">
        <v>59</v>
      </c>
      <c r="D164" s="89" t="s">
        <v>4467</v>
      </c>
      <c r="E164" s="91" t="s">
        <v>4468</v>
      </c>
      <c r="F164" s="92" t="s">
        <v>101</v>
      </c>
      <c r="G164" s="93" t="s">
        <v>4469</v>
      </c>
      <c r="H164" s="89" t="s">
        <v>4470</v>
      </c>
      <c r="I164" s="94" t="s">
        <v>4471</v>
      </c>
      <c r="J164" s="89" t="s">
        <v>4472</v>
      </c>
      <c r="K164" s="96" t="s">
        <v>4473</v>
      </c>
      <c r="L164" s="97" t="s">
        <v>1012</v>
      </c>
      <c r="M164" s="316"/>
      <c r="N164" s="98"/>
      <c r="O164" s="316"/>
      <c r="P164" s="316"/>
      <c r="Q164" s="316"/>
      <c r="R164" s="594" t="str">
        <f>HYPERLINK("https://pubmed.ncbi.nlm.nih.gov/22421323/", "Swedo (2012) - Pediatric Autoimmune Neuropsychiatric Disorders Associated with Streptococcal Infections (PANDAS)")</f>
        <v>Swedo (2012) - Pediatric Autoimmune Neuropsychiatric Disorders Associated with Streptococcal Infections (PANDAS)</v>
      </c>
      <c r="S164" s="370" t="str">
        <f>HYPERLINK("https://pubmed.ncbi.nlm.nih.gov/9481000/", "Swedo (1998) - Pediatric Autoimmune Neuropsychiatric Disorders Associated with Streptococcal Infections")</f>
        <v>Swedo (1998) - Pediatric Autoimmune Neuropsychiatric Disorders Associated with Streptococcal Infections</v>
      </c>
      <c r="T164" s="318" t="s">
        <v>4474</v>
      </c>
      <c r="U164" s="89" t="s">
        <v>150</v>
      </c>
      <c r="V164" s="102" t="s">
        <v>4475</v>
      </c>
      <c r="W164" s="89" t="s">
        <v>150</v>
      </c>
      <c r="X164" s="104" t="s">
        <v>4476</v>
      </c>
      <c r="Y164" s="76">
        <v>0.0</v>
      </c>
      <c r="Z164" s="78">
        <v>3.0</v>
      </c>
      <c r="AA164" s="78">
        <v>12.0</v>
      </c>
      <c r="AB164" s="89" t="s">
        <v>137</v>
      </c>
      <c r="AC164" s="316"/>
      <c r="AD164" s="316"/>
      <c r="AE164" s="316"/>
      <c r="AF164" s="316"/>
      <c r="AG164" s="316"/>
      <c r="AH164" s="316"/>
      <c r="AI164" s="110" t="s">
        <v>4477</v>
      </c>
      <c r="AJ164" s="110" t="s">
        <v>4478</v>
      </c>
      <c r="AK164" s="111" t="s">
        <v>4479</v>
      </c>
      <c r="AL164" s="438" t="s">
        <v>4480</v>
      </c>
      <c r="AM164" s="439" t="s">
        <v>4481</v>
      </c>
    </row>
    <row r="165">
      <c r="A165" s="148" t="s">
        <v>1193</v>
      </c>
      <c r="B165" s="149" t="s">
        <v>4482</v>
      </c>
      <c r="C165" s="150" t="s">
        <v>59</v>
      </c>
      <c r="D165" s="149" t="s">
        <v>4483</v>
      </c>
      <c r="E165" s="152" t="s">
        <v>4484</v>
      </c>
      <c r="F165" s="153" t="s">
        <v>168</v>
      </c>
      <c r="G165" s="156" t="s">
        <v>4485</v>
      </c>
      <c r="H165" s="149" t="s">
        <v>4486</v>
      </c>
      <c r="I165" s="158" t="s">
        <v>4487</v>
      </c>
      <c r="J165" s="149" t="s">
        <v>4488</v>
      </c>
      <c r="K165" s="161" t="s">
        <v>4489</v>
      </c>
      <c r="L165" s="162" t="s">
        <v>71</v>
      </c>
      <c r="M165" s="158"/>
      <c r="N165" s="164"/>
      <c r="O165" s="158"/>
      <c r="P165" s="158"/>
      <c r="Q165" s="158"/>
      <c r="R165" s="584" t="str">
        <f>HYPERLINK("https://pubmed.ncbi.nlm.nih.gov/28492232/", "Kasperkiewicz (2017) - Pemphigus")</f>
        <v>Kasperkiewicz (2017) - Pemphigus</v>
      </c>
      <c r="S165" s="275" t="str">
        <f>HYPERLINK("[link removed]", "Beutner &amp; Jordon (1964) - Demonstration of Skin Antibodies in Pemphigus Vulgaris")</f>
        <v>Beutner &amp; Jordon (1964) - Demonstration of Skin Antibodies in Pemphigus Vulgaris</v>
      </c>
      <c r="T165" s="167" t="s">
        <v>4490</v>
      </c>
      <c r="U165" s="149" t="s">
        <v>150</v>
      </c>
      <c r="V165" s="168" t="s">
        <v>3237</v>
      </c>
      <c r="W165" s="149" t="s">
        <v>150</v>
      </c>
      <c r="X165" s="169" t="s">
        <v>4491</v>
      </c>
      <c r="Y165" s="76"/>
      <c r="Z165" s="78">
        <v>50.0</v>
      </c>
      <c r="AA165" s="78">
        <v>60.0</v>
      </c>
      <c r="AB165" s="149" t="s">
        <v>153</v>
      </c>
      <c r="AC165" s="158"/>
      <c r="AD165" s="158"/>
      <c r="AE165" s="158"/>
      <c r="AF165" s="158"/>
      <c r="AG165" s="158"/>
      <c r="AH165" s="158"/>
      <c r="AI165" s="171" t="s">
        <v>4492</v>
      </c>
      <c r="AJ165" s="171" t="s">
        <v>4493</v>
      </c>
      <c r="AK165" s="172" t="s">
        <v>4494</v>
      </c>
      <c r="AL165" s="173" t="s">
        <v>4495</v>
      </c>
      <c r="AM165" s="174" t="s">
        <v>4496</v>
      </c>
    </row>
    <row r="166">
      <c r="A166" s="88" t="s">
        <v>1214</v>
      </c>
      <c r="B166" s="89" t="s">
        <v>4497</v>
      </c>
      <c r="C166" s="90" t="s">
        <v>137</v>
      </c>
      <c r="D166" s="89" t="s">
        <v>4498</v>
      </c>
      <c r="E166" s="91" t="s">
        <v>4499</v>
      </c>
      <c r="F166" s="92" t="s">
        <v>101</v>
      </c>
      <c r="G166" s="93" t="s">
        <v>170</v>
      </c>
      <c r="H166" s="89" t="s">
        <v>4500</v>
      </c>
      <c r="I166" s="94" t="s">
        <v>4501</v>
      </c>
      <c r="J166" s="89" t="s">
        <v>137</v>
      </c>
      <c r="K166" s="96" t="s">
        <v>4502</v>
      </c>
      <c r="L166" s="97" t="s">
        <v>137</v>
      </c>
      <c r="M166" s="316"/>
      <c r="N166" s="98"/>
      <c r="O166" s="316"/>
      <c r="P166" s="316"/>
      <c r="Q166" s="316"/>
      <c r="R166" s="317" t="str">
        <f>HYPERLINK("https://pubmed.ncbi.nlm.nih.gov/31336062/", "Dispenzieri (2019) - POEMS Syndrome: 2019 Update on Diagnosis, Risk-Stratification, and Management")</f>
        <v>Dispenzieri (2019) - POEMS Syndrome: 2019 Update on Diagnosis, Risk-Stratification, and Management</v>
      </c>
      <c r="S166" s="369" t="str">
        <f>HYPERLINK("https://pubmed.ncbi.nlm.nih.gov/12716753/", "Dispenzieri (2003) - POEMS Syndrome: Definitions and Long-Term Outcome in 99 Patients")</f>
        <v>Dispenzieri (2003) - POEMS Syndrome: Definitions and Long-Term Outcome in 99 Patients</v>
      </c>
      <c r="T166" s="318" t="s">
        <v>4503</v>
      </c>
      <c r="U166" s="89" t="s">
        <v>150</v>
      </c>
      <c r="V166" s="102" t="s">
        <v>3608</v>
      </c>
      <c r="W166" s="89" t="s">
        <v>150</v>
      </c>
      <c r="X166" s="104" t="s">
        <v>4504</v>
      </c>
      <c r="Y166" s="76">
        <v>0.0</v>
      </c>
      <c r="Z166" s="78">
        <v>21.0</v>
      </c>
      <c r="AA166" s="78">
        <v>84.0</v>
      </c>
      <c r="AB166" s="89" t="s">
        <v>137</v>
      </c>
      <c r="AC166" s="316"/>
      <c r="AD166" s="316"/>
      <c r="AE166" s="316"/>
      <c r="AF166" s="316"/>
      <c r="AG166" s="316"/>
      <c r="AH166" s="316"/>
      <c r="AI166" s="110" t="s">
        <v>4505</v>
      </c>
      <c r="AJ166" s="110" t="s">
        <v>4506</v>
      </c>
      <c r="AK166" s="111" t="s">
        <v>4507</v>
      </c>
      <c r="AL166" s="112" t="s">
        <v>4508</v>
      </c>
      <c r="AM166" s="113" t="s">
        <v>4509</v>
      </c>
    </row>
    <row r="167">
      <c r="A167" s="114" t="s">
        <v>1235</v>
      </c>
      <c r="B167" s="115" t="s">
        <v>4510</v>
      </c>
      <c r="C167" s="116" t="s">
        <v>137</v>
      </c>
      <c r="D167" s="115" t="s">
        <v>4511</v>
      </c>
      <c r="E167" s="118" t="s">
        <v>4512</v>
      </c>
      <c r="F167" s="120" t="s">
        <v>133</v>
      </c>
      <c r="G167" s="121" t="s">
        <v>170</v>
      </c>
      <c r="H167" s="115" t="s">
        <v>4513</v>
      </c>
      <c r="I167" s="125" t="s">
        <v>170</v>
      </c>
      <c r="J167" s="115" t="s">
        <v>137</v>
      </c>
      <c r="K167" s="128" t="s">
        <v>4514</v>
      </c>
      <c r="L167" s="129" t="s">
        <v>137</v>
      </c>
      <c r="M167" s="130"/>
      <c r="N167" s="132"/>
      <c r="O167" s="130"/>
      <c r="P167" s="130"/>
      <c r="Q167" s="130"/>
      <c r="R167" s="133" t="str">
        <f>HYPERLINK("https://pubmed.ncbi.nlm.nih.gov/24737370/", "Hernandez-Rodriguez (2014) - Polyarteritis Nodosa: Update on Pathogenesis and Treatment")</f>
        <v>Hernandez-Rodriguez (2014) - Polyarteritis Nodosa: Update on Pathogenesis and Treatment</v>
      </c>
      <c r="S167" s="376" t="str">
        <f>HYPERLINK("https://pubmed.ncbi.nlm.nih.gov/1970330/", "Lightfoot (1990) - The American College of Rheumatology 1990 Criteria for Polyarteritis Nodosa")</f>
        <v>Lightfoot (1990) - The American College of Rheumatology 1990 Criteria for Polyarteritis Nodosa</v>
      </c>
      <c r="T167" s="135" t="s">
        <v>4515</v>
      </c>
      <c r="U167" s="115" t="s">
        <v>150</v>
      </c>
      <c r="V167" s="136" t="s">
        <v>3840</v>
      </c>
      <c r="W167" s="115" t="s">
        <v>150</v>
      </c>
      <c r="X167" s="137" t="s">
        <v>4516</v>
      </c>
      <c r="Y167" s="76">
        <v>1.5</v>
      </c>
      <c r="Z167" s="78">
        <v>50.0</v>
      </c>
      <c r="AA167" s="78">
        <v>70.0</v>
      </c>
      <c r="AB167" s="115" t="s">
        <v>153</v>
      </c>
      <c r="AC167" s="130"/>
      <c r="AD167" s="130"/>
      <c r="AE167" s="130"/>
      <c r="AF167" s="130"/>
      <c r="AG167" s="130"/>
      <c r="AH167" s="130"/>
      <c r="AI167" s="138" t="s">
        <v>4517</v>
      </c>
      <c r="AJ167" s="138" t="s">
        <v>4518</v>
      </c>
      <c r="AK167" s="140" t="s">
        <v>4519</v>
      </c>
      <c r="AL167" s="666" t="s">
        <v>4520</v>
      </c>
      <c r="AM167" s="667" t="s">
        <v>4521</v>
      </c>
    </row>
    <row r="168">
      <c r="A168" s="175" t="s">
        <v>1249</v>
      </c>
      <c r="B168" s="176" t="s">
        <v>4522</v>
      </c>
      <c r="C168" s="177" t="s">
        <v>59</v>
      </c>
      <c r="D168" s="176" t="s">
        <v>4523</v>
      </c>
      <c r="E168" s="178" t="s">
        <v>4524</v>
      </c>
      <c r="F168" s="179" t="s">
        <v>203</v>
      </c>
      <c r="G168" s="180" t="s">
        <v>4525</v>
      </c>
      <c r="H168" s="176" t="s">
        <v>4526</v>
      </c>
      <c r="I168" s="181" t="s">
        <v>4527</v>
      </c>
      <c r="J168" s="176" t="s">
        <v>4528</v>
      </c>
      <c r="K168" s="182" t="s">
        <v>4529</v>
      </c>
      <c r="L168" s="183" t="s">
        <v>71</v>
      </c>
      <c r="M168" s="433"/>
      <c r="N168" s="184"/>
      <c r="O168" s="433"/>
      <c r="P168" s="433"/>
      <c r="Q168" s="433"/>
      <c r="R168" s="187" t="str">
        <f>HYPERLINK("https://pubmed.ncbi.nlm.nih.gov/29641963/", "Husebye (2018) - Autoimmune Polyendocrine Syndrome Type 1")</f>
        <v>Husebye (2018) - Autoimmune Polyendocrine Syndrome Type 1</v>
      </c>
      <c r="S168" s="186" t="str">
        <f>HYPERLINK("https://pubmed.ncbi.nlm.nih.gov/2374276/", "Ahonen (1990) - Clinical Variation of Autoimmune Polyendocrinopathy-Candidiasis-Ectodermal Dystrophy")</f>
        <v>Ahonen (1990) - Clinical Variation of Autoimmune Polyendocrinopathy-Candidiasis-Ectodermal Dystrophy</v>
      </c>
      <c r="T168" s="188" t="s">
        <v>4530</v>
      </c>
      <c r="U168" s="176" t="s">
        <v>150</v>
      </c>
      <c r="V168" s="189" t="s">
        <v>805</v>
      </c>
      <c r="W168" s="176" t="s">
        <v>150</v>
      </c>
      <c r="X168" s="190" t="s">
        <v>285</v>
      </c>
      <c r="Y168" s="76">
        <v>0.0</v>
      </c>
      <c r="Z168" s="78">
        <v>0.0</v>
      </c>
      <c r="AA168" s="78">
        <v>0.0</v>
      </c>
      <c r="AB168" s="176" t="s">
        <v>153</v>
      </c>
      <c r="AC168" s="433"/>
      <c r="AD168" s="433"/>
      <c r="AE168" s="433"/>
      <c r="AF168" s="433"/>
      <c r="AG168" s="433"/>
      <c r="AH168" s="433"/>
      <c r="AI168" s="192" t="s">
        <v>4531</v>
      </c>
      <c r="AJ168" s="192" t="s">
        <v>4532</v>
      </c>
      <c r="AK168" s="194" t="s">
        <v>4533</v>
      </c>
      <c r="AL168" s="196" t="s">
        <v>4534</v>
      </c>
      <c r="AM168" s="199" t="s">
        <v>4535</v>
      </c>
    </row>
    <row r="169">
      <c r="A169" s="175" t="s">
        <v>1265</v>
      </c>
      <c r="B169" s="176" t="s">
        <v>4536</v>
      </c>
      <c r="C169" s="177" t="s">
        <v>59</v>
      </c>
      <c r="D169" s="176" t="s">
        <v>4537</v>
      </c>
      <c r="E169" s="178" t="s">
        <v>4538</v>
      </c>
      <c r="F169" s="179" t="s">
        <v>203</v>
      </c>
      <c r="G169" s="180" t="s">
        <v>4539</v>
      </c>
      <c r="H169" s="176" t="s">
        <v>4540</v>
      </c>
      <c r="I169" s="181" t="s">
        <v>4541</v>
      </c>
      <c r="J169" s="176" t="s">
        <v>4542</v>
      </c>
      <c r="K169" s="182" t="s">
        <v>4543</v>
      </c>
      <c r="L169" s="183" t="s">
        <v>71</v>
      </c>
      <c r="M169" s="433"/>
      <c r="N169" s="184"/>
      <c r="O169" s="433"/>
      <c r="P169" s="433"/>
      <c r="Q169" s="433"/>
      <c r="R169" s="187" t="str">
        <f>HYPERLINK("https://pubmed.ncbi.nlm.nih.gov/15141045/", "Eisenbarth (2004) - Autoimmune Polyendocrine Syndrome Type 2")</f>
        <v>Eisenbarth (2004) - Autoimmune Polyendocrine Syndrome Type 2</v>
      </c>
      <c r="S169" s="186" t="str">
        <f>HYPERLINK("https://pubmed.ncbi.nlm.nih.gov/15141045/", "Eisenbarth (2004) - Autoimmune Polyendocrine Syndromes Type 2")</f>
        <v>Eisenbarth (2004) - Autoimmune Polyendocrine Syndromes Type 2</v>
      </c>
      <c r="T169" s="188" t="s">
        <v>4544</v>
      </c>
      <c r="U169" s="176" t="s">
        <v>150</v>
      </c>
      <c r="V169" s="189" t="s">
        <v>3237</v>
      </c>
      <c r="W169" s="176" t="s">
        <v>150</v>
      </c>
      <c r="X169" s="190" t="s">
        <v>285</v>
      </c>
      <c r="Y169" s="76">
        <v>0.0</v>
      </c>
      <c r="Z169" s="78">
        <v>30.0</v>
      </c>
      <c r="AA169" s="78">
        <v>50.0</v>
      </c>
      <c r="AB169" s="176" t="s">
        <v>153</v>
      </c>
      <c r="AC169" s="433"/>
      <c r="AD169" s="433"/>
      <c r="AE169" s="433"/>
      <c r="AF169" s="433"/>
      <c r="AG169" s="433"/>
      <c r="AH169" s="433"/>
      <c r="AI169" s="192" t="s">
        <v>4545</v>
      </c>
      <c r="AJ169" s="192" t="s">
        <v>4546</v>
      </c>
      <c r="AK169" s="194" t="s">
        <v>4547</v>
      </c>
      <c r="AL169" s="196" t="s">
        <v>4548</v>
      </c>
      <c r="AM169" s="199" t="s">
        <v>4549</v>
      </c>
    </row>
    <row r="170">
      <c r="A170" s="175" t="s">
        <v>1286</v>
      </c>
      <c r="B170" s="176" t="s">
        <v>4550</v>
      </c>
      <c r="C170" s="177" t="s">
        <v>59</v>
      </c>
      <c r="D170" s="176" t="s">
        <v>4551</v>
      </c>
      <c r="E170" s="178" t="s">
        <v>4552</v>
      </c>
      <c r="F170" s="179" t="s">
        <v>203</v>
      </c>
      <c r="G170" s="180" t="s">
        <v>4553</v>
      </c>
      <c r="H170" s="176" t="s">
        <v>4554</v>
      </c>
      <c r="I170" s="181" t="s">
        <v>4555</v>
      </c>
      <c r="J170" s="176" t="s">
        <v>4556</v>
      </c>
      <c r="K170" s="182" t="s">
        <v>4557</v>
      </c>
      <c r="L170" s="183" t="s">
        <v>71</v>
      </c>
      <c r="M170" s="433"/>
      <c r="N170" s="184"/>
      <c r="O170" s="433"/>
      <c r="P170" s="433"/>
      <c r="Q170" s="433"/>
      <c r="R170" s="187" t="str">
        <f>HYPERLINK("[link removed]", "Kahaly (2018) - Autoimmune Polyglandular Syndrome Type 3")</f>
        <v>Kahaly (2018) - Autoimmune Polyglandular Syndrome Type 3</v>
      </c>
      <c r="S170" s="186" t="str">
        <f>HYPERLINK("https://pubmed.ncbi.nlm.nih.gov/15291734/", "Betterle (2004) - Autoimmune Polyglandular Syndrome Type 3")</f>
        <v>Betterle (2004) - Autoimmune Polyglandular Syndrome Type 3</v>
      </c>
      <c r="T170" s="188" t="s">
        <v>4558</v>
      </c>
      <c r="U170" s="176" t="s">
        <v>150</v>
      </c>
      <c r="V170" s="189" t="s">
        <v>4559</v>
      </c>
      <c r="W170" s="176" t="s">
        <v>150</v>
      </c>
      <c r="X170" s="190" t="s">
        <v>285</v>
      </c>
      <c r="Y170" s="76">
        <v>0.0</v>
      </c>
      <c r="Z170" s="289"/>
      <c r="AA170" s="289"/>
      <c r="AB170" s="176" t="s">
        <v>153</v>
      </c>
      <c r="AC170" s="433"/>
      <c r="AD170" s="433"/>
      <c r="AE170" s="433"/>
      <c r="AF170" s="433"/>
      <c r="AG170" s="433"/>
      <c r="AH170" s="433"/>
      <c r="AI170" s="192" t="s">
        <v>4560</v>
      </c>
      <c r="AJ170" s="192" t="s">
        <v>4561</v>
      </c>
      <c r="AK170" s="194" t="s">
        <v>4562</v>
      </c>
      <c r="AL170" s="196" t="s">
        <v>4563</v>
      </c>
      <c r="AM170" s="199" t="s">
        <v>4564</v>
      </c>
    </row>
    <row r="171">
      <c r="A171" s="175" t="s">
        <v>1301</v>
      </c>
      <c r="B171" s="176" t="s">
        <v>4565</v>
      </c>
      <c r="C171" s="177" t="s">
        <v>59</v>
      </c>
      <c r="D171" s="176" t="s">
        <v>4566</v>
      </c>
      <c r="E171" s="178" t="s">
        <v>4567</v>
      </c>
      <c r="F171" s="179" t="s">
        <v>203</v>
      </c>
      <c r="G171" s="180" t="s">
        <v>170</v>
      </c>
      <c r="H171" s="176" t="s">
        <v>4568</v>
      </c>
      <c r="I171" s="181" t="s">
        <v>4569</v>
      </c>
      <c r="J171" s="176" t="s">
        <v>1037</v>
      </c>
      <c r="K171" s="182" t="s">
        <v>4570</v>
      </c>
      <c r="L171" s="183" t="s">
        <v>71</v>
      </c>
      <c r="M171" s="433"/>
      <c r="N171" s="184"/>
      <c r="O171" s="433"/>
      <c r="P171" s="433"/>
      <c r="Q171" s="433"/>
      <c r="R171" s="187" t="str">
        <f>HYPERLINK("https://pubmed.ncbi.nlm.nih.gov/24430932/", "Betterle (2014) - Autoimmune Polyglandular Syndromes: An Update")</f>
        <v>Betterle (2014) - Autoimmune Polyglandular Syndromes: An Update</v>
      </c>
      <c r="S171" s="513" t="str">
        <f>HYPERLINK("https://pubmed.ncbi.nlm.nih.gov/24430932/", "Betterle (2014) - Clinical Features of Autoimmune Polyglandular Syndromes")</f>
        <v>Betterle (2014) - Clinical Features of Autoimmune Polyglandular Syndromes</v>
      </c>
      <c r="T171" s="188" t="s">
        <v>4571</v>
      </c>
      <c r="U171" s="176" t="s">
        <v>150</v>
      </c>
      <c r="V171" s="189" t="s">
        <v>3020</v>
      </c>
      <c r="W171" s="176" t="s">
        <v>150</v>
      </c>
      <c r="X171" s="190" t="s">
        <v>285</v>
      </c>
      <c r="Y171" s="76"/>
      <c r="Z171" s="78">
        <v>8.0</v>
      </c>
      <c r="AA171" s="78">
        <v>38.0</v>
      </c>
      <c r="AB171" s="176" t="s">
        <v>153</v>
      </c>
      <c r="AC171" s="433"/>
      <c r="AD171" s="433"/>
      <c r="AE171" s="433"/>
      <c r="AF171" s="433"/>
      <c r="AG171" s="433"/>
      <c r="AH171" s="433"/>
      <c r="AI171" s="192" t="s">
        <v>4572</v>
      </c>
      <c r="AJ171" s="192" t="s">
        <v>4573</v>
      </c>
      <c r="AK171" s="194" t="s">
        <v>4574</v>
      </c>
      <c r="AL171" s="514" t="s">
        <v>1497</v>
      </c>
      <c r="AM171" s="515" t="s">
        <v>4575</v>
      </c>
    </row>
    <row r="172">
      <c r="A172" s="114" t="s">
        <v>1317</v>
      </c>
      <c r="B172" s="115" t="s">
        <v>1317</v>
      </c>
      <c r="C172" s="116" t="s">
        <v>59</v>
      </c>
      <c r="D172" s="115" t="s">
        <v>4576</v>
      </c>
      <c r="E172" s="118" t="s">
        <v>4577</v>
      </c>
      <c r="F172" s="120" t="s">
        <v>133</v>
      </c>
      <c r="G172" s="121" t="s">
        <v>170</v>
      </c>
      <c r="H172" s="115" t="s">
        <v>4578</v>
      </c>
      <c r="I172" s="125" t="s">
        <v>170</v>
      </c>
      <c r="J172" s="115" t="s">
        <v>4579</v>
      </c>
      <c r="K172" s="128" t="s">
        <v>4580</v>
      </c>
      <c r="L172" s="129" t="s">
        <v>1185</v>
      </c>
      <c r="M172" s="130"/>
      <c r="N172" s="132"/>
      <c r="O172" s="130"/>
      <c r="P172" s="130"/>
      <c r="Q172" s="130"/>
      <c r="R172" s="133" t="str">
        <f>HYPERLINK("https://pubmed.ncbi.nlm.nih.gov/28365225/", "Dejaco (2017) - Polymyalgia Rheumatica")</f>
        <v>Dejaco (2017) - Polymyalgia Rheumatica</v>
      </c>
      <c r="S172" s="376" t="str">
        <f>HYPERLINK("https://pubmed.ncbi.nlm.nih.gov/7125433/", "Chuang (1982) - Polymyalgia Rheumatica: A 10-Year Epidemiologic Study in Rochester, Minnesota")</f>
        <v>Chuang (1982) - Polymyalgia Rheumatica: A 10-Year Epidemiologic Study in Rochester, Minnesota</v>
      </c>
      <c r="T172" s="135" t="s">
        <v>4581</v>
      </c>
      <c r="U172" s="115" t="s">
        <v>150</v>
      </c>
      <c r="V172" s="136" t="s">
        <v>4582</v>
      </c>
      <c r="W172" s="115" t="s">
        <v>150</v>
      </c>
      <c r="X172" s="137" t="s">
        <v>4583</v>
      </c>
      <c r="Y172" s="76">
        <v>1.7</v>
      </c>
      <c r="Z172" s="78">
        <v>70.0</v>
      </c>
      <c r="AA172" s="78">
        <v>70.0</v>
      </c>
      <c r="AB172" s="115" t="s">
        <v>153</v>
      </c>
      <c r="AC172" s="130"/>
      <c r="AD172" s="130"/>
      <c r="AE172" s="130"/>
      <c r="AF172" s="130"/>
      <c r="AG172" s="130"/>
      <c r="AH172" s="130"/>
      <c r="AI172" s="138" t="s">
        <v>4584</v>
      </c>
      <c r="AJ172" s="138" t="s">
        <v>4585</v>
      </c>
      <c r="AK172" s="140" t="s">
        <v>4586</v>
      </c>
      <c r="AL172" s="142" t="s">
        <v>4587</v>
      </c>
      <c r="AM172" s="145" t="s">
        <v>4588</v>
      </c>
    </row>
    <row r="173">
      <c r="A173" s="775" t="s">
        <v>1319</v>
      </c>
      <c r="B173" s="773" t="s">
        <v>1319</v>
      </c>
      <c r="C173" s="295" t="s">
        <v>59</v>
      </c>
      <c r="D173" s="294" t="s">
        <v>4589</v>
      </c>
      <c r="E173" s="296" t="s">
        <v>4590</v>
      </c>
      <c r="F173" s="298" t="s">
        <v>385</v>
      </c>
      <c r="G173" s="299" t="s">
        <v>4591</v>
      </c>
      <c r="H173" s="294" t="s">
        <v>4592</v>
      </c>
      <c r="I173" s="300" t="s">
        <v>4593</v>
      </c>
      <c r="J173" s="294" t="s">
        <v>4594</v>
      </c>
      <c r="K173" s="301" t="s">
        <v>4595</v>
      </c>
      <c r="L173" s="302" t="s">
        <v>71</v>
      </c>
      <c r="M173" s="303"/>
      <c r="N173" s="304"/>
      <c r="O173" s="303"/>
      <c r="P173" s="303"/>
      <c r="Q173" s="303"/>
      <c r="R173" s="305" t="str">
        <f>HYPERLINK("https://pubmed.ncbi.nlm.nih.gov/26132942/", "Dalakas (2015) - Inflammatory Muscle Diseases")</f>
        <v>Dalakas (2015) - Inflammatory Muscle Diseases</v>
      </c>
      <c r="S173" s="373" t="str">
        <f>HYPERLINK("https://pubmed.ncbi.nlm.nih.gov/1090839/", "Bohan &amp; Peter (1975) - Polymyositis and Dermatomyositis: Diagnosis and Treatment")</f>
        <v>Bohan &amp; Peter (1975) - Polymyositis and Dermatomyositis: Diagnosis and Treatment</v>
      </c>
      <c r="T173" s="307" t="s">
        <v>4596</v>
      </c>
      <c r="U173" s="294" t="s">
        <v>150</v>
      </c>
      <c r="V173" s="308" t="s">
        <v>3451</v>
      </c>
      <c r="W173" s="294" t="s">
        <v>150</v>
      </c>
      <c r="X173" s="309" t="s">
        <v>4597</v>
      </c>
      <c r="Y173" s="76">
        <v>2.2</v>
      </c>
      <c r="Z173" s="78">
        <v>31.0</v>
      </c>
      <c r="AA173" s="78">
        <v>60.0</v>
      </c>
      <c r="AB173" s="294" t="s">
        <v>153</v>
      </c>
      <c r="AC173" s="303"/>
      <c r="AD173" s="303"/>
      <c r="AE173" s="303"/>
      <c r="AF173" s="303"/>
      <c r="AG173" s="303"/>
      <c r="AH173" s="303"/>
      <c r="AI173" s="311" t="s">
        <v>4598</v>
      </c>
      <c r="AJ173" s="311" t="s">
        <v>4599</v>
      </c>
      <c r="AK173" s="312" t="s">
        <v>4600</v>
      </c>
      <c r="AL173" s="661" t="s">
        <v>4601</v>
      </c>
      <c r="AM173" s="662" t="s">
        <v>4602</v>
      </c>
    </row>
    <row r="174">
      <c r="A174" s="776" t="s">
        <v>1320</v>
      </c>
      <c r="B174" s="777" t="s">
        <v>4603</v>
      </c>
      <c r="C174" s="564" t="s">
        <v>137</v>
      </c>
      <c r="D174" s="563" t="s">
        <v>4604</v>
      </c>
      <c r="E174" s="565" t="s">
        <v>4605</v>
      </c>
      <c r="F174" s="566" t="s">
        <v>2878</v>
      </c>
      <c r="G174" s="567" t="s">
        <v>4606</v>
      </c>
      <c r="H174" s="563" t="s">
        <v>4607</v>
      </c>
      <c r="I174" s="568" t="s">
        <v>4608</v>
      </c>
      <c r="J174" s="563" t="s">
        <v>4609</v>
      </c>
      <c r="K174" s="569" t="s">
        <v>4610</v>
      </c>
      <c r="L174" s="570" t="s">
        <v>137</v>
      </c>
      <c r="M174" s="571"/>
      <c r="N174" s="572"/>
      <c r="O174" s="571"/>
      <c r="P174" s="571"/>
      <c r="Q174" s="571"/>
      <c r="R174" s="573" t="str">
        <f>HYPERLINK("https://pubmed.ncbi.nlm.nih.gov/26320112/", "Imazio (2015) - 2015 ESC Guidelines for the Diagnosis and Management of Pericardial Diseases")</f>
        <v>Imazio (2015) - 2015 ESC Guidelines for the Diagnosis and Management of Pericardial Diseases</v>
      </c>
      <c r="S174" s="574" t="str">
        <f>HYPERLINK("https://pubmed.ncbi.nlm.nih.gov/13376776/", "Dressler (1956) - A Post-Myocardial-Infarction Syndrome: Preliminary Report")</f>
        <v>Dressler (1956) - A Post-Myocardial-Infarction Syndrome: Preliminary Report</v>
      </c>
      <c r="T174" s="575" t="s">
        <v>4611</v>
      </c>
      <c r="U174" s="563" t="s">
        <v>79</v>
      </c>
      <c r="V174" s="576" t="s">
        <v>4612</v>
      </c>
      <c r="W174" s="563" t="s">
        <v>79</v>
      </c>
      <c r="X174" s="577" t="s">
        <v>4613</v>
      </c>
      <c r="Y174" s="76">
        <v>0.8</v>
      </c>
      <c r="Z174" s="78">
        <v>20.0</v>
      </c>
      <c r="AA174" s="78">
        <v>50.0</v>
      </c>
      <c r="AB174" s="563" t="s">
        <v>153</v>
      </c>
      <c r="AC174" s="571"/>
      <c r="AD174" s="571"/>
      <c r="AE174" s="571"/>
      <c r="AF174" s="571"/>
      <c r="AG174" s="571"/>
      <c r="AH174" s="571"/>
      <c r="AI174" s="580" t="s">
        <v>4614</v>
      </c>
      <c r="AJ174" s="580" t="s">
        <v>4615</v>
      </c>
      <c r="AK174" s="581" t="s">
        <v>4616</v>
      </c>
      <c r="AL174" s="582" t="s">
        <v>4617</v>
      </c>
      <c r="AM174" s="583" t="s">
        <v>4618</v>
      </c>
    </row>
    <row r="175">
      <c r="A175" s="778" t="s">
        <v>1337</v>
      </c>
      <c r="B175" s="779" t="s">
        <v>4619</v>
      </c>
      <c r="C175" s="471" t="s">
        <v>59</v>
      </c>
      <c r="D175" s="470" t="s">
        <v>4620</v>
      </c>
      <c r="E175" s="472" t="s">
        <v>4621</v>
      </c>
      <c r="F175" s="473" t="s">
        <v>1404</v>
      </c>
      <c r="G175" s="474" t="s">
        <v>4622</v>
      </c>
      <c r="H175" s="470" t="s">
        <v>4623</v>
      </c>
      <c r="I175" s="475" t="s">
        <v>4624</v>
      </c>
      <c r="J175" s="470" t="s">
        <v>4625</v>
      </c>
      <c r="K175" s="476" t="s">
        <v>4626</v>
      </c>
      <c r="L175" s="477" t="s">
        <v>71</v>
      </c>
      <c r="M175" s="780"/>
      <c r="N175" s="478"/>
      <c r="O175" s="780"/>
      <c r="P175" s="780"/>
      <c r="Q175" s="780"/>
      <c r="R175" s="781" t="str">
        <f>HYPERLINK("https://pubmed.ncbi.nlm.nih.gov/29903673/", "Hirschfield (2018) - Primary Biliary Cholangitis")</f>
        <v>Hirschfield (2018) - Primary Biliary Cholangitis</v>
      </c>
      <c r="S175" s="479" t="str">
        <f>HYPERLINK("[link removed]", "Gershwin (1987) - Identification and Cloning of Primary Biliary Cirrhosis Autoantigen")</f>
        <v>Gershwin (1987) - Identification and Cloning of Primary Biliary Cirrhosis Autoantigen</v>
      </c>
      <c r="T175" s="481" t="s">
        <v>4627</v>
      </c>
      <c r="U175" s="470" t="s">
        <v>150</v>
      </c>
      <c r="V175" s="482" t="s">
        <v>181</v>
      </c>
      <c r="W175" s="470" t="s">
        <v>150</v>
      </c>
      <c r="X175" s="483" t="s">
        <v>4628</v>
      </c>
      <c r="Y175" s="76">
        <v>7.4</v>
      </c>
      <c r="Z175" s="78">
        <v>30.0</v>
      </c>
      <c r="AA175" s="78">
        <v>60.0</v>
      </c>
      <c r="AB175" s="470" t="s">
        <v>153</v>
      </c>
      <c r="AC175" s="780"/>
      <c r="AD175" s="780"/>
      <c r="AE175" s="780"/>
      <c r="AF175" s="780"/>
      <c r="AG175" s="780"/>
      <c r="AH175" s="780"/>
      <c r="AI175" s="485" t="s">
        <v>4629</v>
      </c>
      <c r="AJ175" s="485" t="s">
        <v>4630</v>
      </c>
      <c r="AK175" s="486" t="s">
        <v>4631</v>
      </c>
      <c r="AL175" s="487" t="s">
        <v>4632</v>
      </c>
      <c r="AM175" s="488" t="s">
        <v>4633</v>
      </c>
    </row>
    <row r="176">
      <c r="A176" s="776" t="s">
        <v>1347</v>
      </c>
      <c r="B176" s="777" t="s">
        <v>4634</v>
      </c>
      <c r="C176" s="564" t="s">
        <v>137</v>
      </c>
      <c r="D176" s="563" t="s">
        <v>4635</v>
      </c>
      <c r="E176" s="565" t="s">
        <v>4636</v>
      </c>
      <c r="F176" s="566" t="s">
        <v>2878</v>
      </c>
      <c r="G176" s="567" t="s">
        <v>4637</v>
      </c>
      <c r="H176" s="563" t="s">
        <v>4638</v>
      </c>
      <c r="I176" s="568" t="s">
        <v>4639</v>
      </c>
      <c r="J176" s="563" t="s">
        <v>4640</v>
      </c>
      <c r="K176" s="569" t="s">
        <v>4641</v>
      </c>
      <c r="L176" s="570" t="s">
        <v>137</v>
      </c>
      <c r="M176" s="571"/>
      <c r="N176" s="572"/>
      <c r="O176" s="571"/>
      <c r="P176" s="571"/>
      <c r="Q176" s="571"/>
      <c r="R176" s="573" t="str">
        <f>HYPERLINK("https://pubmed.ncbi.nlm.nih.gov/31073167/", "Schultheiss (2019) - Dilated Cardiomyopathy")</f>
        <v>Schultheiss (2019) - Dilated Cardiomyopathy</v>
      </c>
      <c r="S176" s="574" t="str">
        <f>HYPERLINK("https://pubmed.ncbi.nlm.nih.gov/8594247/", "Richardson (1996) - Report of the 1995 WHO/ISFC Task Force on Cardiomyopathies")</f>
        <v>Richardson (1996) - Report of the 1995 WHO/ISFC Task Force on Cardiomyopathies</v>
      </c>
      <c r="T176" s="575" t="s">
        <v>4642</v>
      </c>
      <c r="U176" s="563" t="s">
        <v>150</v>
      </c>
      <c r="V176" s="576" t="s">
        <v>4643</v>
      </c>
      <c r="W176" s="563" t="s">
        <v>150</v>
      </c>
      <c r="X176" s="577" t="s">
        <v>4644</v>
      </c>
      <c r="Y176" s="76">
        <v>0.0</v>
      </c>
      <c r="Z176" s="78">
        <v>0.0</v>
      </c>
      <c r="AA176" s="78">
        <v>16.0</v>
      </c>
      <c r="AB176" s="563" t="s">
        <v>153</v>
      </c>
      <c r="AC176" s="571"/>
      <c r="AD176" s="571"/>
      <c r="AE176" s="571"/>
      <c r="AF176" s="571"/>
      <c r="AG176" s="571"/>
      <c r="AH176" s="571"/>
      <c r="AI176" s="580" t="s">
        <v>4645</v>
      </c>
      <c r="AJ176" s="580" t="s">
        <v>4646</v>
      </c>
      <c r="AK176" s="581" t="s">
        <v>4647</v>
      </c>
      <c r="AL176" s="582" t="s">
        <v>4648</v>
      </c>
      <c r="AM176" s="583" t="s">
        <v>4649</v>
      </c>
    </row>
    <row r="177">
      <c r="A177" s="347" t="s">
        <v>4650</v>
      </c>
      <c r="B177" s="348" t="s">
        <v>4651</v>
      </c>
      <c r="C177" s="349" t="s">
        <v>137</v>
      </c>
      <c r="D177" s="348" t="s">
        <v>4652</v>
      </c>
      <c r="E177" s="350" t="s">
        <v>4653</v>
      </c>
      <c r="F177" s="352" t="s">
        <v>670</v>
      </c>
      <c r="G177" s="353" t="s">
        <v>4654</v>
      </c>
      <c r="H177" s="348" t="s">
        <v>4655</v>
      </c>
      <c r="I177" s="354" t="s">
        <v>4656</v>
      </c>
      <c r="J177" s="348" t="s">
        <v>4657</v>
      </c>
      <c r="K177" s="355" t="s">
        <v>4658</v>
      </c>
      <c r="L177" s="356"/>
      <c r="M177" s="688"/>
      <c r="N177" s="357"/>
      <c r="O177" s="688"/>
      <c r="P177" s="688"/>
      <c r="Q177" s="688"/>
      <c r="R177" s="689" t="str">
        <f>HYPERLINK("https://pubmed.ncbi.nlm.nih.gov/28546356/", "Couser (2017) - Primary Membranous Nephropathy")</f>
        <v>Couser (2017) - Primary Membranous Nephropathy</v>
      </c>
      <c r="S177" s="358" t="str">
        <f>HYPERLINK("https://pubmed.ncbi.nlm.nih.gov/19571279/", "Beck (2009) - Phospholipase A2 Receptor as Target Antigen in Membranous Nephropathy")</f>
        <v>Beck (2009) - Phospholipase A2 Receptor as Target Antigen in Membranous Nephropathy</v>
      </c>
      <c r="T177" s="360" t="s">
        <v>4659</v>
      </c>
      <c r="U177" s="348" t="s">
        <v>79</v>
      </c>
      <c r="V177" s="362" t="s">
        <v>805</v>
      </c>
      <c r="W177" s="348" t="s">
        <v>79</v>
      </c>
      <c r="X177" s="363" t="s">
        <v>3148</v>
      </c>
      <c r="Y177" s="782"/>
      <c r="Z177" s="783"/>
      <c r="AA177" s="783"/>
      <c r="AB177" s="348"/>
      <c r="AC177" s="688"/>
      <c r="AD177" s="688"/>
      <c r="AE177" s="688"/>
      <c r="AF177" s="688"/>
      <c r="AG177" s="688"/>
      <c r="AH177" s="688"/>
      <c r="AI177" s="364" t="s">
        <v>4660</v>
      </c>
      <c r="AJ177" s="364" t="s">
        <v>4661</v>
      </c>
      <c r="AK177" s="365" t="s">
        <v>4662</v>
      </c>
      <c r="AL177" s="690" t="s">
        <v>4663</v>
      </c>
      <c r="AM177" s="691" t="s">
        <v>4664</v>
      </c>
    </row>
    <row r="178">
      <c r="A178" s="778" t="s">
        <v>1359</v>
      </c>
      <c r="B178" s="779" t="s">
        <v>4665</v>
      </c>
      <c r="C178" s="471" t="s">
        <v>59</v>
      </c>
      <c r="D178" s="470" t="s">
        <v>4666</v>
      </c>
      <c r="E178" s="472" t="s">
        <v>4667</v>
      </c>
      <c r="F178" s="473" t="s">
        <v>1404</v>
      </c>
      <c r="G178" s="474" t="s">
        <v>170</v>
      </c>
      <c r="H178" s="470" t="s">
        <v>4668</v>
      </c>
      <c r="I178" s="475" t="s">
        <v>4669</v>
      </c>
      <c r="J178" s="470" t="s">
        <v>4670</v>
      </c>
      <c r="K178" s="476" t="s">
        <v>4671</v>
      </c>
      <c r="L178" s="477" t="s">
        <v>941</v>
      </c>
      <c r="M178" s="780"/>
      <c r="N178" s="478"/>
      <c r="O178" s="780"/>
      <c r="P178" s="780"/>
      <c r="Q178" s="780"/>
      <c r="R178" s="781" t="str">
        <f>HYPERLINK("https://pubmed.ncbi.nlm.nih.gov/27653566/", "Lazaridis (2016) - Primary Sclerosing Cholangitis")</f>
        <v>Lazaridis (2016) - Primary Sclerosing Cholangitis</v>
      </c>
      <c r="S178" s="479" t="str">
        <f>HYPERLINK("[link removed]", "Chapman (1980) - Primary Sclerosing Cholangitis: A Review of Its Features and Natural History")</f>
        <v>Chapman (1980) - Primary Sclerosing Cholangitis: A Review of Its Features and Natural History</v>
      </c>
      <c r="T178" s="481" t="s">
        <v>4672</v>
      </c>
      <c r="U178" s="470" t="s">
        <v>150</v>
      </c>
      <c r="V178" s="482" t="s">
        <v>3451</v>
      </c>
      <c r="W178" s="470" t="s">
        <v>150</v>
      </c>
      <c r="X178" s="483" t="s">
        <v>4673</v>
      </c>
      <c r="Y178" s="76">
        <v>0.8</v>
      </c>
      <c r="Z178" s="78">
        <v>30.0</v>
      </c>
      <c r="AA178" s="78">
        <v>40.0</v>
      </c>
      <c r="AB178" s="470" t="s">
        <v>153</v>
      </c>
      <c r="AC178" s="780"/>
      <c r="AD178" s="780"/>
      <c r="AE178" s="780"/>
      <c r="AF178" s="780"/>
      <c r="AG178" s="780"/>
      <c r="AH178" s="780"/>
      <c r="AI178" s="485" t="s">
        <v>4674</v>
      </c>
      <c r="AJ178" s="485" t="s">
        <v>4675</v>
      </c>
      <c r="AK178" s="486" t="s">
        <v>4676</v>
      </c>
      <c r="AL178" s="487" t="s">
        <v>4677</v>
      </c>
      <c r="AM178" s="488" t="s">
        <v>4678</v>
      </c>
    </row>
    <row r="179">
      <c r="A179" s="148" t="s">
        <v>1369</v>
      </c>
      <c r="B179" s="149" t="s">
        <v>4679</v>
      </c>
      <c r="C179" s="150" t="s">
        <v>137</v>
      </c>
      <c r="D179" s="149" t="s">
        <v>4680</v>
      </c>
      <c r="E179" s="152" t="s">
        <v>4681</v>
      </c>
      <c r="F179" s="153" t="s">
        <v>168</v>
      </c>
      <c r="G179" s="156" t="s">
        <v>170</v>
      </c>
      <c r="H179" s="149" t="s">
        <v>4682</v>
      </c>
      <c r="I179" s="158" t="s">
        <v>4683</v>
      </c>
      <c r="J179" s="149" t="s">
        <v>137</v>
      </c>
      <c r="K179" s="161" t="s">
        <v>4684</v>
      </c>
      <c r="L179" s="162" t="s">
        <v>137</v>
      </c>
      <c r="M179" s="163"/>
      <c r="N179" s="164"/>
      <c r="O179" s="163"/>
      <c r="P179" s="163"/>
      <c r="Q179" s="163"/>
      <c r="R179" s="165" t="str">
        <f>HYPERLINK("https://pubmed.ncbi.nlm.nih.gov/25852449/", "Tolkachjov (2015) - Progressive Hemifacial Atrophy: A Review")</f>
        <v>Tolkachjov (2015) - Progressive Hemifacial Atrophy: A Review</v>
      </c>
      <c r="S179" s="536" t="str">
        <f>HYPERLINK("https://pubmed.ncbi.nlm.nih.gov/25852449/", "Tolkachjov (2015) - Progressive Hemifacial Atrophy: Review and Management")</f>
        <v>Tolkachjov (2015) - Progressive Hemifacial Atrophy: Review and Management</v>
      </c>
      <c r="T179" s="167" t="s">
        <v>4685</v>
      </c>
      <c r="U179" s="644" t="s">
        <v>150</v>
      </c>
      <c r="V179" s="645" t="s">
        <v>4686</v>
      </c>
      <c r="W179" s="644" t="s">
        <v>150</v>
      </c>
      <c r="X179" s="169" t="s">
        <v>4686</v>
      </c>
      <c r="Y179" s="76">
        <v>0.0</v>
      </c>
      <c r="Z179" s="78">
        <v>10.0</v>
      </c>
      <c r="AA179" s="78">
        <v>10.0</v>
      </c>
      <c r="AB179" s="149" t="s">
        <v>137</v>
      </c>
      <c r="AC179" s="163"/>
      <c r="AD179" s="163"/>
      <c r="AE179" s="163"/>
      <c r="AF179" s="163"/>
      <c r="AG179" s="163"/>
      <c r="AH179" s="163"/>
      <c r="AI179" s="171" t="s">
        <v>4687</v>
      </c>
      <c r="AJ179" s="171" t="s">
        <v>4688</v>
      </c>
      <c r="AK179" s="172" t="s">
        <v>4689</v>
      </c>
      <c r="AL179" s="284" t="s">
        <v>4690</v>
      </c>
      <c r="AM179" s="285" t="s">
        <v>4691</v>
      </c>
    </row>
    <row r="180">
      <c r="A180" s="148" t="s">
        <v>1380</v>
      </c>
      <c r="B180" s="149" t="s">
        <v>4692</v>
      </c>
      <c r="C180" s="150" t="s">
        <v>59</v>
      </c>
      <c r="D180" s="149" t="s">
        <v>4693</v>
      </c>
      <c r="E180" s="152" t="s">
        <v>4694</v>
      </c>
      <c r="F180" s="153" t="s">
        <v>168</v>
      </c>
      <c r="G180" s="156" t="s">
        <v>4695</v>
      </c>
      <c r="H180" s="149" t="s">
        <v>4696</v>
      </c>
      <c r="I180" s="158" t="s">
        <v>170</v>
      </c>
      <c r="J180" s="149" t="s">
        <v>4697</v>
      </c>
      <c r="K180" s="161" t="s">
        <v>4698</v>
      </c>
      <c r="L180" s="162" t="s">
        <v>941</v>
      </c>
      <c r="M180" s="163"/>
      <c r="N180" s="164"/>
      <c r="O180" s="163"/>
      <c r="P180" s="163"/>
      <c r="Q180" s="163"/>
      <c r="R180" s="165" t="str">
        <f>HYPERLINK("https://pubmed.ncbi.nlm.nih.gov/32427307/", "Armstrong (2020) - Pathophysiology, Clinical Presentation, and Treatment of Psoriasis: A Review")</f>
        <v>Armstrong (2020) - Pathophysiology, Clinical Presentation, and Treatment of Psoriasis: A Review</v>
      </c>
      <c r="S180" s="536" t="str">
        <f>HYPERLINK("https://pubmed.ncbi.nlm.nih.gov/11497914/", "Christophers (2001) - Psoriasis: Epidemiology and Clinical Spectrum")</f>
        <v>Christophers (2001) - Psoriasis: Epidemiology and Clinical Spectrum</v>
      </c>
      <c r="T180" s="167" t="s">
        <v>4699</v>
      </c>
      <c r="U180" s="644" t="s">
        <v>150</v>
      </c>
      <c r="V180" s="645" t="s">
        <v>4700</v>
      </c>
      <c r="W180" s="644" t="s">
        <v>150</v>
      </c>
      <c r="X180" s="169" t="s">
        <v>4701</v>
      </c>
      <c r="Y180" s="76">
        <v>1.3</v>
      </c>
      <c r="Z180" s="78">
        <v>15.0</v>
      </c>
      <c r="AA180" s="78">
        <v>35.0</v>
      </c>
      <c r="AB180" s="149" t="s">
        <v>153</v>
      </c>
      <c r="AC180" s="163"/>
      <c r="AD180" s="163"/>
      <c r="AE180" s="163"/>
      <c r="AF180" s="163"/>
      <c r="AG180" s="163"/>
      <c r="AH180" s="163"/>
      <c r="AI180" s="171" t="s">
        <v>4702</v>
      </c>
      <c r="AJ180" s="171" t="s">
        <v>4703</v>
      </c>
      <c r="AK180" s="784" t="s">
        <v>4704</v>
      </c>
      <c r="AL180" s="284" t="s">
        <v>4705</v>
      </c>
      <c r="AM180" s="285" t="s">
        <v>4706</v>
      </c>
    </row>
    <row r="181">
      <c r="A181" s="292" t="s">
        <v>1389</v>
      </c>
      <c r="B181" s="294" t="s">
        <v>4707</v>
      </c>
      <c r="C181" s="295" t="s">
        <v>59</v>
      </c>
      <c r="D181" s="294" t="s">
        <v>4708</v>
      </c>
      <c r="E181" s="296" t="s">
        <v>4709</v>
      </c>
      <c r="F181" s="298" t="s">
        <v>385</v>
      </c>
      <c r="G181" s="299" t="s">
        <v>4710</v>
      </c>
      <c r="H181" s="294" t="s">
        <v>4711</v>
      </c>
      <c r="I181" s="300" t="s">
        <v>170</v>
      </c>
      <c r="J181" s="294" t="s">
        <v>4712</v>
      </c>
      <c r="K181" s="301" t="s">
        <v>4713</v>
      </c>
      <c r="L181" s="302" t="s">
        <v>1185</v>
      </c>
      <c r="M181" s="303"/>
      <c r="N181" s="304"/>
      <c r="O181" s="303"/>
      <c r="P181" s="303"/>
      <c r="Q181" s="303"/>
      <c r="R181" s="305" t="str">
        <f>HYPERLINK("https://pubmed.ncbi.nlm.nih.gov/28273385/", "Ritchlin (2017) - Psoriatic Arthritis")</f>
        <v>Ritchlin (2017) - Psoriatic Arthritis</v>
      </c>
      <c r="S181" s="306" t="str">
        <f>HYPERLINK("https://pubmed.ncbi.nlm.nih.gov/16880857/", "Taylor (2006) - Classification Criteria for Psoriatic Arthritis (CASPAR)")</f>
        <v>Taylor (2006) - Classification Criteria for Psoriatic Arthritis (CASPAR)</v>
      </c>
      <c r="T181" s="307" t="s">
        <v>4714</v>
      </c>
      <c r="U181" s="294" t="s">
        <v>150</v>
      </c>
      <c r="V181" s="308" t="s">
        <v>4715</v>
      </c>
      <c r="W181" s="294" t="s">
        <v>150</v>
      </c>
      <c r="X181" s="309" t="s">
        <v>4716</v>
      </c>
      <c r="Y181" s="76">
        <v>1.3</v>
      </c>
      <c r="Z181" s="78">
        <v>40.0</v>
      </c>
      <c r="AA181" s="78">
        <v>50.0</v>
      </c>
      <c r="AB181" s="294" t="s">
        <v>153</v>
      </c>
      <c r="AC181" s="303"/>
      <c r="AD181" s="303"/>
      <c r="AE181" s="303"/>
      <c r="AF181" s="303"/>
      <c r="AG181" s="303"/>
      <c r="AH181" s="303"/>
      <c r="AI181" s="311" t="s">
        <v>4717</v>
      </c>
      <c r="AJ181" s="311" t="s">
        <v>4718</v>
      </c>
      <c r="AK181" s="312" t="s">
        <v>4719</v>
      </c>
      <c r="AL181" s="313" t="s">
        <v>4720</v>
      </c>
      <c r="AM181" s="314" t="s">
        <v>4721</v>
      </c>
    </row>
    <row r="182">
      <c r="A182" s="47" t="s">
        <v>1405</v>
      </c>
      <c r="B182" s="48" t="s">
        <v>4722</v>
      </c>
      <c r="C182" s="49" t="s">
        <v>59</v>
      </c>
      <c r="D182" s="48" t="s">
        <v>4723</v>
      </c>
      <c r="E182" s="51" t="s">
        <v>4724</v>
      </c>
      <c r="F182" s="53" t="s">
        <v>62</v>
      </c>
      <c r="G182" s="56" t="s">
        <v>4725</v>
      </c>
      <c r="H182" s="48" t="s">
        <v>4726</v>
      </c>
      <c r="I182" s="58" t="s">
        <v>4727</v>
      </c>
      <c r="J182" s="48" t="s">
        <v>4728</v>
      </c>
      <c r="K182" s="60" t="s">
        <v>4729</v>
      </c>
      <c r="L182" s="63" t="s">
        <v>71</v>
      </c>
      <c r="M182" s="394"/>
      <c r="N182" s="65"/>
      <c r="O182" s="394"/>
      <c r="P182" s="394"/>
      <c r="Q182" s="394"/>
      <c r="R182" s="395" t="str">
        <f t="shared" ref="R182:S182" si="1">HYPERLINK("https://pubmed.ncbi.nlm.nih.gov/18718187/", "Sawada (2008) - Pure Red Cell Aplasia: Diagnosis and Management")</f>
        <v>Sawada (2008) - Pure Red Cell Aplasia: Diagnosis and Management</v>
      </c>
      <c r="S182" s="70" t="str">
        <f t="shared" si="1"/>
        <v>Sawada (2008) - Pure Red Cell Aplasia: Diagnosis and Management</v>
      </c>
      <c r="T182" s="377" t="s">
        <v>4730</v>
      </c>
      <c r="U182" s="48" t="s">
        <v>79</v>
      </c>
      <c r="V182" s="73" t="s">
        <v>4731</v>
      </c>
      <c r="W182" s="48" t="s">
        <v>79</v>
      </c>
      <c r="X182" s="75" t="s">
        <v>4732</v>
      </c>
      <c r="Y182" s="76">
        <v>1.0</v>
      </c>
      <c r="Z182" s="289"/>
      <c r="AA182" s="289"/>
      <c r="AB182" s="48" t="s">
        <v>153</v>
      </c>
      <c r="AC182" s="394"/>
      <c r="AD182" s="394"/>
      <c r="AE182" s="394"/>
      <c r="AF182" s="394"/>
      <c r="AG182" s="394"/>
      <c r="AH182" s="394"/>
      <c r="AI182" s="84" t="s">
        <v>4733</v>
      </c>
      <c r="AJ182" s="84" t="s">
        <v>4734</v>
      </c>
      <c r="AK182" s="85" t="s">
        <v>4735</v>
      </c>
      <c r="AL182" s="379" t="s">
        <v>4736</v>
      </c>
      <c r="AM182" s="380" t="s">
        <v>4737</v>
      </c>
    </row>
    <row r="183">
      <c r="A183" s="148" t="s">
        <v>1417</v>
      </c>
      <c r="B183" s="149" t="s">
        <v>1417</v>
      </c>
      <c r="C183" s="150" t="s">
        <v>137</v>
      </c>
      <c r="D183" s="149" t="s">
        <v>4738</v>
      </c>
      <c r="E183" s="152" t="s">
        <v>4739</v>
      </c>
      <c r="F183" s="153" t="s">
        <v>168</v>
      </c>
      <c r="G183" s="156" t="s">
        <v>170</v>
      </c>
      <c r="H183" s="149" t="s">
        <v>4740</v>
      </c>
      <c r="I183" s="158" t="s">
        <v>170</v>
      </c>
      <c r="J183" s="149" t="s">
        <v>137</v>
      </c>
      <c r="K183" s="161" t="s">
        <v>4741</v>
      </c>
      <c r="L183" s="162" t="s">
        <v>137</v>
      </c>
      <c r="M183" s="163"/>
      <c r="N183" s="164"/>
      <c r="O183" s="163"/>
      <c r="P183" s="163"/>
      <c r="Q183" s="163"/>
      <c r="R183" s="399" t="str">
        <f>HYPERLINK("https://pubmed.ncbi.nlm.nih.gov/29466542/", "Maverakis (2018) - Diagnostic Criteria of Ulcerative Pyoderma Gangrenosum: A Delphi Consensus")</f>
        <v>Maverakis (2018) - Diagnostic Criteria of Ulcerative Pyoderma Gangrenosum: A Delphi Consensus</v>
      </c>
      <c r="S183" s="785" t="str">
        <f>HYPERLINK("https://pubmed.ncbi.nlm.nih.gov/29466542/", "Maverakis (2018) - Diagnostic Criteria of Ulcerative Pyoderma Gangrenosum")</f>
        <v>Maverakis (2018) - Diagnostic Criteria of Ulcerative Pyoderma Gangrenosum</v>
      </c>
      <c r="T183" s="167" t="s">
        <v>4742</v>
      </c>
      <c r="U183" s="149" t="s">
        <v>79</v>
      </c>
      <c r="V183" s="168" t="s">
        <v>4743</v>
      </c>
      <c r="W183" s="149" t="s">
        <v>150</v>
      </c>
      <c r="X183" s="169" t="s">
        <v>4744</v>
      </c>
      <c r="Y183" s="76">
        <v>2.7</v>
      </c>
      <c r="Z183" s="289"/>
      <c r="AA183" s="289"/>
      <c r="AB183" s="149" t="s">
        <v>137</v>
      </c>
      <c r="AC183" s="163"/>
      <c r="AD183" s="163"/>
      <c r="AE183" s="163"/>
      <c r="AF183" s="163"/>
      <c r="AG183" s="163"/>
      <c r="AH183" s="163"/>
      <c r="AI183" s="171" t="s">
        <v>4745</v>
      </c>
      <c r="AJ183" s="171" t="s">
        <v>4746</v>
      </c>
      <c r="AK183" s="172" t="s">
        <v>4747</v>
      </c>
      <c r="AL183" s="173" t="s">
        <v>4748</v>
      </c>
      <c r="AM183" s="174" t="s">
        <v>4749</v>
      </c>
    </row>
    <row r="184">
      <c r="A184" s="88" t="s">
        <v>1419</v>
      </c>
      <c r="B184" s="89" t="s">
        <v>4750</v>
      </c>
      <c r="C184" s="90" t="s">
        <v>59</v>
      </c>
      <c r="D184" s="89" t="s">
        <v>4751</v>
      </c>
      <c r="E184" s="91" t="s">
        <v>4752</v>
      </c>
      <c r="F184" s="92" t="s">
        <v>101</v>
      </c>
      <c r="G184" s="93" t="s">
        <v>4753</v>
      </c>
      <c r="H184" s="89" t="s">
        <v>4754</v>
      </c>
      <c r="I184" s="94" t="s">
        <v>4755</v>
      </c>
      <c r="J184" s="89" t="s">
        <v>4756</v>
      </c>
      <c r="K184" s="96" t="s">
        <v>4757</v>
      </c>
      <c r="L184" s="97" t="s">
        <v>71</v>
      </c>
      <c r="M184" s="316"/>
      <c r="N184" s="98"/>
      <c r="O184" s="316"/>
      <c r="P184" s="316"/>
      <c r="Q184" s="316"/>
      <c r="R184" s="317" t="str">
        <f t="shared" ref="R184:S184" si="2">HYPERLINK("https://pubmed.ncbi.nlm.nih.gov/15721828/", "Bien (2005) - Pathogenesis, Diagnosis and Treatment of Rasmussen Encephalitis")</f>
        <v>Bien (2005) - Pathogenesis, Diagnosis and Treatment of Rasmussen Encephalitis</v>
      </c>
      <c r="S184" s="369" t="str">
        <f t="shared" si="2"/>
        <v>Bien (2005) - Pathogenesis, Diagnosis and Treatment of Rasmussen Encephalitis</v>
      </c>
      <c r="T184" s="318" t="s">
        <v>4758</v>
      </c>
      <c r="U184" s="89" t="s">
        <v>79</v>
      </c>
      <c r="V184" s="102" t="s">
        <v>4759</v>
      </c>
      <c r="W184" s="89" t="s">
        <v>79</v>
      </c>
      <c r="X184" s="786" t="s">
        <v>4744</v>
      </c>
      <c r="Y184" s="76">
        <v>0.0</v>
      </c>
      <c r="Z184" s="78">
        <v>1.0</v>
      </c>
      <c r="AA184" s="78">
        <v>14.0</v>
      </c>
      <c r="AB184" s="89" t="s">
        <v>84</v>
      </c>
      <c r="AC184" s="316"/>
      <c r="AD184" s="316"/>
      <c r="AE184" s="316"/>
      <c r="AF184" s="316"/>
      <c r="AG184" s="316"/>
      <c r="AH184" s="316"/>
      <c r="AI184" s="110" t="s">
        <v>4760</v>
      </c>
      <c r="AJ184" s="110" t="s">
        <v>4761</v>
      </c>
      <c r="AK184" s="111" t="s">
        <v>4762</v>
      </c>
      <c r="AL184" s="112" t="s">
        <v>4763</v>
      </c>
      <c r="AM184" s="113" t="s">
        <v>4764</v>
      </c>
    </row>
    <row r="185">
      <c r="A185" s="114" t="s">
        <v>1428</v>
      </c>
      <c r="B185" s="115" t="s">
        <v>4765</v>
      </c>
      <c r="C185" s="116" t="s">
        <v>137</v>
      </c>
      <c r="D185" s="115" t="s">
        <v>4766</v>
      </c>
      <c r="E185" s="118" t="s">
        <v>4767</v>
      </c>
      <c r="F185" s="120" t="s">
        <v>133</v>
      </c>
      <c r="G185" s="121" t="s">
        <v>170</v>
      </c>
      <c r="H185" s="115" t="s">
        <v>4768</v>
      </c>
      <c r="I185" s="125" t="s">
        <v>4769</v>
      </c>
      <c r="J185" s="115" t="s">
        <v>137</v>
      </c>
      <c r="K185" s="128" t="s">
        <v>4770</v>
      </c>
      <c r="L185" s="129" t="s">
        <v>137</v>
      </c>
      <c r="M185" s="130"/>
      <c r="N185" s="132"/>
      <c r="O185" s="130"/>
      <c r="P185" s="130"/>
      <c r="Q185" s="130"/>
      <c r="R185" s="133" t="str">
        <f>HYPERLINK("https://pubmed.ncbi.nlm.nih.gov/27509103/", "Wigley (2016) - Raynaud's Phenomenon")</f>
        <v>Wigley (2016) - Raynaud's Phenomenon</v>
      </c>
      <c r="S185" s="376" t="str">
        <f>HYPERLINK("https://pubmed.ncbi.nlm.nih.gov/1564539/", "LeRoy &amp; Medsger (1992) - Raynaud's Phenomenon: A Proposal for Classification")</f>
        <v>LeRoy &amp; Medsger (1992) - Raynaud's Phenomenon: A Proposal for Classification</v>
      </c>
      <c r="T185" s="135" t="s">
        <v>4771</v>
      </c>
      <c r="U185" s="787" t="s">
        <v>150</v>
      </c>
      <c r="V185" s="788" t="s">
        <v>4772</v>
      </c>
      <c r="W185" s="787" t="s">
        <v>150</v>
      </c>
      <c r="X185" s="137" t="s">
        <v>4773</v>
      </c>
      <c r="Y185" s="76"/>
      <c r="Z185" s="78">
        <v>15.0</v>
      </c>
      <c r="AA185" s="78">
        <v>30.0</v>
      </c>
      <c r="AB185" s="115" t="s">
        <v>4774</v>
      </c>
      <c r="AC185" s="130"/>
      <c r="AD185" s="130"/>
      <c r="AE185" s="130"/>
      <c r="AF185" s="130"/>
      <c r="AG185" s="130"/>
      <c r="AH185" s="130"/>
      <c r="AI185" s="138" t="s">
        <v>4775</v>
      </c>
      <c r="AJ185" s="138" t="s">
        <v>4776</v>
      </c>
      <c r="AK185" s="140" t="s">
        <v>4777</v>
      </c>
      <c r="AL185" s="789" t="s">
        <v>4778</v>
      </c>
      <c r="AM185" s="790" t="s">
        <v>4779</v>
      </c>
    </row>
    <row r="186">
      <c r="A186" s="292" t="s">
        <v>1445</v>
      </c>
      <c r="B186" s="294" t="s">
        <v>4780</v>
      </c>
      <c r="C186" s="295" t="s">
        <v>59</v>
      </c>
      <c r="D186" s="294" t="s">
        <v>4781</v>
      </c>
      <c r="E186" s="296" t="s">
        <v>4782</v>
      </c>
      <c r="F186" s="298" t="s">
        <v>385</v>
      </c>
      <c r="G186" s="299" t="s">
        <v>170</v>
      </c>
      <c r="H186" s="294" t="s">
        <v>4783</v>
      </c>
      <c r="I186" s="300" t="s">
        <v>170</v>
      </c>
      <c r="J186" s="294" t="s">
        <v>4784</v>
      </c>
      <c r="K186" s="301" t="s">
        <v>4785</v>
      </c>
      <c r="L186" s="302" t="s">
        <v>1185</v>
      </c>
      <c r="M186" s="303"/>
      <c r="N186" s="304"/>
      <c r="O186" s="303"/>
      <c r="P186" s="303"/>
      <c r="Q186" s="303"/>
      <c r="R186" s="305" t="str">
        <f>HYPERLINK("https://pubmed.ncbi.nlm.nih.gov/28735881/", "Schmitt (2017) - Reactive Arthritis: An Update")</f>
        <v>Schmitt (2017) - Reactive Arthritis: An Update</v>
      </c>
      <c r="S186" s="373" t="str">
        <f>HYPERLINK("https://pubmed.ncbi.nlm.nih.gov/6347395/", "Keat (1983) - Reiter's Syndrome and Reactive Arthritis")</f>
        <v>Keat (1983) - Reiter's Syndrome and Reactive Arthritis</v>
      </c>
      <c r="T186" s="307" t="s">
        <v>4786</v>
      </c>
      <c r="U186" s="773" t="s">
        <v>150</v>
      </c>
      <c r="V186" s="791" t="s">
        <v>4787</v>
      </c>
      <c r="W186" s="773" t="s">
        <v>150</v>
      </c>
      <c r="X186" s="309" t="s">
        <v>4788</v>
      </c>
      <c r="Y186" s="76">
        <v>0.9</v>
      </c>
      <c r="Z186" s="78">
        <v>20.0</v>
      </c>
      <c r="AA186" s="78">
        <v>30.0</v>
      </c>
      <c r="AB186" s="294" t="s">
        <v>153</v>
      </c>
      <c r="AC186" s="303"/>
      <c r="AD186" s="303"/>
      <c r="AE186" s="303"/>
      <c r="AF186" s="303"/>
      <c r="AG186" s="303"/>
      <c r="AH186" s="303"/>
      <c r="AI186" s="311" t="s">
        <v>4789</v>
      </c>
      <c r="AJ186" s="311" t="s">
        <v>4790</v>
      </c>
      <c r="AK186" s="312" t="s">
        <v>4791</v>
      </c>
      <c r="AL186" s="792" t="s">
        <v>4792</v>
      </c>
      <c r="AM186" s="793" t="s">
        <v>4793</v>
      </c>
    </row>
    <row r="187">
      <c r="A187" s="292" t="s">
        <v>1462</v>
      </c>
      <c r="B187" s="294" t="s">
        <v>4794</v>
      </c>
      <c r="C187" s="295" t="s">
        <v>59</v>
      </c>
      <c r="D187" s="294" t="s">
        <v>4795</v>
      </c>
      <c r="E187" s="296" t="s">
        <v>4796</v>
      </c>
      <c r="F187" s="298" t="s">
        <v>385</v>
      </c>
      <c r="G187" s="299" t="s">
        <v>4797</v>
      </c>
      <c r="H187" s="294" t="s">
        <v>4798</v>
      </c>
      <c r="I187" s="794" t="s">
        <v>4799</v>
      </c>
      <c r="J187" s="294" t="s">
        <v>4800</v>
      </c>
      <c r="K187" s="301" t="s">
        <v>4801</v>
      </c>
      <c r="L187" s="302" t="s">
        <v>71</v>
      </c>
      <c r="M187" s="300"/>
      <c r="N187" s="304"/>
      <c r="O187" s="300"/>
      <c r="P187" s="300"/>
      <c r="Q187" s="300"/>
      <c r="R187" s="373" t="str">
        <f>HYPERLINK("https://pubmed.ncbi.nlm.nih.gov/27048662/", "Vitale (2016) - Relapsing Polychondritis: An Update on Pathogenesis and Treatment")</f>
        <v>Vitale (2016) - Relapsing Polychondritis: An Update on Pathogenesis and Treatment</v>
      </c>
      <c r="S187" s="373" t="str">
        <f>HYPERLINK("[link removed]", "McAdam (1976) - Relapsing Polychondritis: Clinical Analysis of 159 Cases")</f>
        <v>McAdam (1976) - Relapsing Polychondritis: Clinical Analysis of 159 Cases</v>
      </c>
      <c r="T187" s="307" t="s">
        <v>4802</v>
      </c>
      <c r="U187" s="294" t="s">
        <v>79</v>
      </c>
      <c r="V187" s="308" t="s">
        <v>4803</v>
      </c>
      <c r="W187" s="294" t="s">
        <v>150</v>
      </c>
      <c r="X187" s="309" t="s">
        <v>4803</v>
      </c>
      <c r="Y187" s="76">
        <v>2.7</v>
      </c>
      <c r="Z187" s="78">
        <v>40.0</v>
      </c>
      <c r="AA187" s="78">
        <v>60.0</v>
      </c>
      <c r="AB187" s="294" t="s">
        <v>84</v>
      </c>
      <c r="AC187" s="300"/>
      <c r="AD187" s="300"/>
      <c r="AE187" s="300"/>
      <c r="AF187" s="300"/>
      <c r="AG187" s="300"/>
      <c r="AH187" s="300"/>
      <c r="AI187" s="311" t="s">
        <v>4804</v>
      </c>
      <c r="AJ187" s="311" t="s">
        <v>4805</v>
      </c>
      <c r="AK187" s="312" t="s">
        <v>4806</v>
      </c>
      <c r="AL187" s="313" t="s">
        <v>4807</v>
      </c>
      <c r="AM187" s="314" t="s">
        <v>4808</v>
      </c>
    </row>
    <row r="188">
      <c r="A188" s="88" t="s">
        <v>1489</v>
      </c>
      <c r="B188" s="89" t="s">
        <v>4809</v>
      </c>
      <c r="C188" s="90" t="s">
        <v>137</v>
      </c>
      <c r="D188" s="89" t="s">
        <v>4810</v>
      </c>
      <c r="E188" s="91" t="s">
        <v>4811</v>
      </c>
      <c r="F188" s="92" t="s">
        <v>101</v>
      </c>
      <c r="G188" s="93" t="s">
        <v>170</v>
      </c>
      <c r="H188" s="89" t="s">
        <v>4812</v>
      </c>
      <c r="I188" s="94" t="s">
        <v>170</v>
      </c>
      <c r="J188" s="89" t="s">
        <v>137</v>
      </c>
      <c r="K188" s="96" t="s">
        <v>4813</v>
      </c>
      <c r="L188" s="97" t="s">
        <v>137</v>
      </c>
      <c r="M188" s="316"/>
      <c r="N188" s="98"/>
      <c r="O188" s="316"/>
      <c r="P188" s="316"/>
      <c r="Q188" s="316"/>
      <c r="R188" s="317" t="str">
        <f>HYPERLINK("https://pubmed.ncbi.nlm.nih.gov/24794719/", "Allen (2014) - Restless Legs Syndrome: Updated IRLSSG Consensus Diagnostic Criteria")</f>
        <v>Allen (2014) - Restless Legs Syndrome: Updated IRLSSG Consensus Diagnostic Criteria</v>
      </c>
      <c r="S188" s="369" t="str">
        <f>HYPERLINK("https://pubmed.ncbi.nlm.nih.gov/12739097/", "Allen (2003) - Restless Legs Syndrome: Diagnostic Criteria and Validated Rating Scale")</f>
        <v>Allen (2003) - Restless Legs Syndrome: Diagnostic Criteria and Validated Rating Scale</v>
      </c>
      <c r="T188" s="318" t="s">
        <v>4814</v>
      </c>
      <c r="U188" s="89" t="s">
        <v>150</v>
      </c>
      <c r="V188" s="102" t="s">
        <v>2591</v>
      </c>
      <c r="W188" s="89" t="s">
        <v>150</v>
      </c>
      <c r="X188" s="104" t="s">
        <v>4815</v>
      </c>
      <c r="Y188" s="76">
        <v>2.0</v>
      </c>
      <c r="Z188" s="78">
        <v>20.0</v>
      </c>
      <c r="AA188" s="78">
        <v>40.0</v>
      </c>
      <c r="AB188" s="89" t="s">
        <v>4774</v>
      </c>
      <c r="AC188" s="316"/>
      <c r="AD188" s="316"/>
      <c r="AE188" s="316"/>
      <c r="AF188" s="316"/>
      <c r="AG188" s="316"/>
      <c r="AH188" s="316"/>
      <c r="AI188" s="110" t="s">
        <v>4816</v>
      </c>
      <c r="AJ188" s="110" t="s">
        <v>4817</v>
      </c>
      <c r="AK188" s="111" t="s">
        <v>4818</v>
      </c>
      <c r="AL188" s="112" t="s">
        <v>4819</v>
      </c>
      <c r="AM188" s="113" t="s">
        <v>4820</v>
      </c>
    </row>
    <row r="189">
      <c r="A189" s="115" t="s">
        <v>4821</v>
      </c>
      <c r="B189" s="115" t="s">
        <v>4822</v>
      </c>
      <c r="C189" s="116" t="s">
        <v>59</v>
      </c>
      <c r="D189" s="115" t="s">
        <v>4823</v>
      </c>
      <c r="E189" s="118" t="s">
        <v>4824</v>
      </c>
      <c r="F189" s="120" t="s">
        <v>133</v>
      </c>
      <c r="G189" s="121" t="s">
        <v>170</v>
      </c>
      <c r="H189" s="115" t="s">
        <v>4825</v>
      </c>
      <c r="I189" s="125" t="s">
        <v>4826</v>
      </c>
      <c r="J189" s="115" t="s">
        <v>4827</v>
      </c>
      <c r="K189" s="128" t="s">
        <v>4828</v>
      </c>
      <c r="L189" s="129" t="s">
        <v>1012</v>
      </c>
      <c r="M189" s="130"/>
      <c r="N189" s="132"/>
      <c r="O189" s="130"/>
      <c r="P189" s="130"/>
      <c r="Q189" s="130"/>
      <c r="R189" s="133" t="str">
        <f>HYPERLINK("https://pubmed.ncbi.nlm.nih.gov/23977118/", "Dorr (2013) - Characteristics of Susac Syndrome: A Review of All Reported Cases")</f>
        <v>Dorr (2013) - Characteristics of Susac Syndrome: A Review of All Reported Cases</v>
      </c>
      <c r="S189" s="376" t="str">
        <f>HYPERLINK("https://pubmed.ncbi.nlm.nih.gov/23977118/", "Dorr (2013) - Characteristics of Susac Syndrome: A Systematic Review")</f>
        <v>Dorr (2013) - Characteristics of Susac Syndrome: A Systematic Review</v>
      </c>
      <c r="T189" s="135" t="s">
        <v>4829</v>
      </c>
      <c r="U189" s="115" t="s">
        <v>150</v>
      </c>
      <c r="V189" s="136" t="s">
        <v>3020</v>
      </c>
      <c r="W189" s="115" t="s">
        <v>150</v>
      </c>
      <c r="X189" s="137" t="s">
        <v>285</v>
      </c>
      <c r="Y189" s="76">
        <v>0.0</v>
      </c>
      <c r="Z189" s="78">
        <v>20.0</v>
      </c>
      <c r="AA189" s="78">
        <v>40.0</v>
      </c>
      <c r="AB189" s="115" t="s">
        <v>137</v>
      </c>
      <c r="AC189" s="130"/>
      <c r="AD189" s="130"/>
      <c r="AE189" s="130"/>
      <c r="AF189" s="130"/>
      <c r="AG189" s="130"/>
      <c r="AH189" s="130"/>
      <c r="AI189" s="138" t="s">
        <v>4830</v>
      </c>
      <c r="AJ189" s="138" t="s">
        <v>4831</v>
      </c>
      <c r="AK189" s="140" t="s">
        <v>4832</v>
      </c>
      <c r="AL189" s="142" t="s">
        <v>4833</v>
      </c>
      <c r="AM189" s="145" t="s">
        <v>4834</v>
      </c>
    </row>
    <row r="190">
      <c r="A190" s="292" t="s">
        <v>1514</v>
      </c>
      <c r="B190" s="294" t="s">
        <v>4835</v>
      </c>
      <c r="C190" s="295" t="s">
        <v>137</v>
      </c>
      <c r="D190" s="294" t="s">
        <v>4836</v>
      </c>
      <c r="E190" s="296" t="s">
        <v>4837</v>
      </c>
      <c r="F190" s="298" t="s">
        <v>385</v>
      </c>
      <c r="G190" s="299" t="s">
        <v>4469</v>
      </c>
      <c r="H190" s="294" t="s">
        <v>4838</v>
      </c>
      <c r="I190" s="300" t="s">
        <v>4839</v>
      </c>
      <c r="J190" s="294" t="s">
        <v>4840</v>
      </c>
      <c r="K190" s="301" t="s">
        <v>4841</v>
      </c>
      <c r="L190" s="302" t="s">
        <v>137</v>
      </c>
      <c r="M190" s="303"/>
      <c r="N190" s="304"/>
      <c r="O190" s="303"/>
      <c r="P190" s="303"/>
      <c r="Q190" s="303"/>
      <c r="R190" s="305" t="str">
        <f>HYPERLINK("https://pubmed.ncbi.nlm.nih.gov/32242029/", "Cardoso (2020) - Sydenham's Chorea: A Review")</f>
        <v>Cardoso (2020) - Sydenham's Chorea: A Review</v>
      </c>
      <c r="S190" s="373" t="str">
        <f t="shared" ref="S190:S191" si="3">HYPERLINK("https://pubmed.ncbi.nlm.nih.gov/773347/", "Husby (1976) - Antibodies to Caudate Nucleus Neurons in Sydenham's Chorea")</f>
        <v>Husby (1976) - Antibodies to Caudate Nucleus Neurons in Sydenham's Chorea</v>
      </c>
      <c r="T190" s="307" t="s">
        <v>4842</v>
      </c>
      <c r="U190" s="294" t="s">
        <v>150</v>
      </c>
      <c r="V190" s="308" t="s">
        <v>4843</v>
      </c>
      <c r="W190" s="294" t="s">
        <v>150</v>
      </c>
      <c r="X190" s="309" t="s">
        <v>4844</v>
      </c>
      <c r="Y190" s="76">
        <v>1.4</v>
      </c>
      <c r="Z190" s="78">
        <v>5.0</v>
      </c>
      <c r="AA190" s="78">
        <v>15.0</v>
      </c>
      <c r="AB190" s="294" t="s">
        <v>137</v>
      </c>
      <c r="AC190" s="303"/>
      <c r="AD190" s="303"/>
      <c r="AE190" s="303"/>
      <c r="AF190" s="303"/>
      <c r="AG190" s="303"/>
      <c r="AH190" s="303"/>
      <c r="AI190" s="311" t="s">
        <v>4845</v>
      </c>
      <c r="AJ190" s="311" t="s">
        <v>4846</v>
      </c>
      <c r="AK190" s="312" t="s">
        <v>4847</v>
      </c>
      <c r="AL190" s="313" t="s">
        <v>4848</v>
      </c>
      <c r="AM190" s="314" t="s">
        <v>4849</v>
      </c>
    </row>
    <row r="191">
      <c r="A191" s="292" t="s">
        <v>1517</v>
      </c>
      <c r="B191" s="294" t="s">
        <v>4850</v>
      </c>
      <c r="C191" s="295" t="s">
        <v>137</v>
      </c>
      <c r="D191" s="294" t="s">
        <v>4851</v>
      </c>
      <c r="E191" s="296" t="s">
        <v>4852</v>
      </c>
      <c r="F191" s="298" t="s">
        <v>385</v>
      </c>
      <c r="G191" s="299" t="s">
        <v>4469</v>
      </c>
      <c r="H191" s="294" t="s">
        <v>4838</v>
      </c>
      <c r="I191" s="300" t="s">
        <v>4839</v>
      </c>
      <c r="J191" s="294" t="s">
        <v>4840</v>
      </c>
      <c r="K191" s="301" t="s">
        <v>4853</v>
      </c>
      <c r="L191" s="302" t="s">
        <v>137</v>
      </c>
      <c r="M191" s="303"/>
      <c r="N191" s="304"/>
      <c r="O191" s="303"/>
      <c r="P191" s="303"/>
      <c r="Q191" s="303"/>
      <c r="R191" s="305" t="str">
        <f>HYPERLINK("https://pubmed.ncbi.nlm.nih.gov/19665284/", "Dale (2009) - Post-Streptococcal Autoimmune Neuropsychiatric Disease")</f>
        <v>Dale (2009) - Post-Streptococcal Autoimmune Neuropsychiatric Disease</v>
      </c>
      <c r="S191" s="305" t="str">
        <f t="shared" si="3"/>
        <v>Husby (1976) - Antibodies to Caudate Nucleus Neurons in Sydenham's Chorea</v>
      </c>
      <c r="T191" s="307" t="s">
        <v>4842</v>
      </c>
      <c r="U191" s="773" t="s">
        <v>150</v>
      </c>
      <c r="V191" s="791" t="s">
        <v>4843</v>
      </c>
      <c r="W191" s="795" t="s">
        <v>150</v>
      </c>
      <c r="X191" s="697" t="s">
        <v>4844</v>
      </c>
      <c r="Y191" s="76">
        <v>1.4</v>
      </c>
      <c r="Z191" s="78">
        <v>5.0</v>
      </c>
      <c r="AA191" s="78">
        <v>15.0</v>
      </c>
      <c r="AB191" s="294" t="s">
        <v>137</v>
      </c>
      <c r="AC191" s="303"/>
      <c r="AD191" s="303"/>
      <c r="AE191" s="303"/>
      <c r="AF191" s="303"/>
      <c r="AG191" s="303"/>
      <c r="AH191" s="303"/>
      <c r="AI191" s="311" t="s">
        <v>4845</v>
      </c>
      <c r="AJ191" s="311" t="s">
        <v>4846</v>
      </c>
      <c r="AK191" s="312" t="s">
        <v>4847</v>
      </c>
      <c r="AL191" s="792" t="s">
        <v>4848</v>
      </c>
      <c r="AM191" s="793" t="s">
        <v>4849</v>
      </c>
    </row>
    <row r="192">
      <c r="A192" s="562" t="s">
        <v>1529</v>
      </c>
      <c r="B192" s="563" t="s">
        <v>4854</v>
      </c>
      <c r="C192" s="564" t="s">
        <v>59</v>
      </c>
      <c r="D192" s="563" t="s">
        <v>4855</v>
      </c>
      <c r="E192" s="565" t="s">
        <v>4856</v>
      </c>
      <c r="F192" s="566" t="s">
        <v>4857</v>
      </c>
      <c r="G192" s="567" t="s">
        <v>4858</v>
      </c>
      <c r="H192" s="563" t="s">
        <v>4859</v>
      </c>
      <c r="I192" s="568" t="s">
        <v>4860</v>
      </c>
      <c r="J192" s="563" t="s">
        <v>4861</v>
      </c>
      <c r="K192" s="569" t="s">
        <v>4862</v>
      </c>
      <c r="L192" s="570" t="s">
        <v>71</v>
      </c>
      <c r="M192" s="571"/>
      <c r="N192" s="572"/>
      <c r="O192" s="571"/>
      <c r="P192" s="571"/>
      <c r="Q192" s="571"/>
      <c r="R192" s="796" t="str">
        <f>HYPERLINK("https://pubmed.ncbi.nlm.nih.gov/27188830/", "Carapetis (2016) - Acute Rheumatic Fever and Rheumatic Heart Disease")</f>
        <v>Carapetis (2016) - Acute Rheumatic Fever and Rheumatic Heart Disease</v>
      </c>
      <c r="S192" s="797" t="str">
        <f>HYPERLINK("https://pubmed.ncbi.nlm.nih.gov/16005726/", "Carapetis (2005) - The Global Burden of Group A Streptococcal Diseases")</f>
        <v>Carapetis (2005) - The Global Burden of Group A Streptococcal Diseases</v>
      </c>
      <c r="T192" s="575" t="s">
        <v>4863</v>
      </c>
      <c r="U192" s="777" t="s">
        <v>79</v>
      </c>
      <c r="V192" s="798" t="s">
        <v>4864</v>
      </c>
      <c r="W192" s="777" t="s">
        <v>79</v>
      </c>
      <c r="X192" s="577" t="s">
        <v>4865</v>
      </c>
      <c r="Y192" s="76">
        <v>2.4</v>
      </c>
      <c r="Z192" s="78">
        <v>5.0</v>
      </c>
      <c r="AA192" s="78">
        <v>15.0</v>
      </c>
      <c r="AB192" s="563" t="s">
        <v>4866</v>
      </c>
      <c r="AC192" s="571"/>
      <c r="AD192" s="571"/>
      <c r="AE192" s="571"/>
      <c r="AF192" s="571"/>
      <c r="AG192" s="571"/>
      <c r="AH192" s="571"/>
      <c r="AI192" s="580" t="s">
        <v>4867</v>
      </c>
      <c r="AJ192" s="580" t="s">
        <v>4868</v>
      </c>
      <c r="AK192" s="581" t="s">
        <v>4869</v>
      </c>
      <c r="AL192" s="799" t="s">
        <v>4870</v>
      </c>
      <c r="AM192" s="800" t="s">
        <v>4871</v>
      </c>
    </row>
    <row r="193">
      <c r="A193" s="292" t="s">
        <v>1537</v>
      </c>
      <c r="B193" s="294" t="s">
        <v>1537</v>
      </c>
      <c r="C193" s="295" t="s">
        <v>59</v>
      </c>
      <c r="D193" s="294" t="s">
        <v>4872</v>
      </c>
      <c r="E193" s="296" t="s">
        <v>4873</v>
      </c>
      <c r="F193" s="298" t="s">
        <v>385</v>
      </c>
      <c r="G193" s="299" t="s">
        <v>4874</v>
      </c>
      <c r="H193" s="294" t="s">
        <v>4875</v>
      </c>
      <c r="I193" s="300" t="s">
        <v>4876</v>
      </c>
      <c r="J193" s="294" t="s">
        <v>4877</v>
      </c>
      <c r="K193" s="301" t="s">
        <v>4878</v>
      </c>
      <c r="L193" s="302" t="s">
        <v>71</v>
      </c>
      <c r="M193" s="303"/>
      <c r="N193" s="304"/>
      <c r="O193" s="303"/>
      <c r="P193" s="303"/>
      <c r="Q193" s="303"/>
      <c r="R193" s="305" t="str">
        <f>HYPERLINK("https://pubmed.ncbi.nlm.nih.gov/27157341/", "Smolen (2016) - Rheumatoid Arthritis")</f>
        <v>Smolen (2016) - Rheumatoid Arthritis</v>
      </c>
      <c r="S193" s="373" t="str">
        <f>HYPERLINK("https://pubmed.ncbi.nlm.nih.gov/20872595/", "Aletaha (2010) - 2010 ACR/EULAR Rheumatoid Arthritis Classification Criteria")</f>
        <v>Aletaha (2010) - 2010 ACR/EULAR Rheumatoid Arthritis Classification Criteria</v>
      </c>
      <c r="T193" s="307" t="s">
        <v>4879</v>
      </c>
      <c r="U193" s="294" t="s">
        <v>150</v>
      </c>
      <c r="V193" s="308" t="s">
        <v>2669</v>
      </c>
      <c r="W193" s="294" t="s">
        <v>150</v>
      </c>
      <c r="X193" s="309" t="s">
        <v>4880</v>
      </c>
      <c r="Y193" s="76">
        <v>3.9</v>
      </c>
      <c r="Z193" s="78">
        <v>30.0</v>
      </c>
      <c r="AA193" s="78">
        <v>60.0</v>
      </c>
      <c r="AB193" s="294" t="s">
        <v>153</v>
      </c>
      <c r="AC193" s="303"/>
      <c r="AD193" s="303"/>
      <c r="AE193" s="303"/>
      <c r="AF193" s="303"/>
      <c r="AG193" s="303"/>
      <c r="AH193" s="303"/>
      <c r="AI193" s="311" t="s">
        <v>4881</v>
      </c>
      <c r="AJ193" s="311" t="s">
        <v>4882</v>
      </c>
      <c r="AK193" s="312" t="s">
        <v>4883</v>
      </c>
      <c r="AL193" s="661" t="s">
        <v>4884</v>
      </c>
      <c r="AM193" s="662" t="s">
        <v>4885</v>
      </c>
    </row>
    <row r="194">
      <c r="A194" s="114" t="s">
        <v>1538</v>
      </c>
      <c r="B194" s="115" t="s">
        <v>4886</v>
      </c>
      <c r="C194" s="116" t="s">
        <v>59</v>
      </c>
      <c r="D194" s="115" t="s">
        <v>4887</v>
      </c>
      <c r="E194" s="118" t="s">
        <v>4888</v>
      </c>
      <c r="F194" s="120" t="s">
        <v>133</v>
      </c>
      <c r="G194" s="121" t="s">
        <v>4889</v>
      </c>
      <c r="H194" s="115" t="s">
        <v>4890</v>
      </c>
      <c r="I194" s="125" t="s">
        <v>4891</v>
      </c>
      <c r="J194" s="115" t="s">
        <v>4892</v>
      </c>
      <c r="K194" s="128" t="s">
        <v>4893</v>
      </c>
      <c r="L194" s="129" t="s">
        <v>71</v>
      </c>
      <c r="M194" s="130"/>
      <c r="N194" s="132"/>
      <c r="O194" s="130"/>
      <c r="P194" s="130"/>
      <c r="Q194" s="130"/>
      <c r="R194" s="133" t="str">
        <f>HYPERLINK("https://pubmed.ncbi.nlm.nih.gov/16880374/", "Genta (2006) - Systemic Rheumatoid Vasculitis: A Review")</f>
        <v>Genta (2006) - Systemic Rheumatoid Vasculitis: A Review</v>
      </c>
      <c r="S194" s="376" t="str">
        <f>HYPERLINK("https://pubmed.ncbi.nlm.nih.gov/7272212/", "Scott (1981) - Systemic Vasculitis in Rheumatoid Arthritis: A Clinical Follow-Up Study")</f>
        <v>Scott (1981) - Systemic Vasculitis in Rheumatoid Arthritis: A Clinical Follow-Up Study</v>
      </c>
      <c r="T194" s="135" t="s">
        <v>4894</v>
      </c>
      <c r="U194" s="115" t="s">
        <v>150</v>
      </c>
      <c r="V194" s="136" t="s">
        <v>3451</v>
      </c>
      <c r="W194" s="115" t="s">
        <v>150</v>
      </c>
      <c r="X194" s="137" t="s">
        <v>4895</v>
      </c>
      <c r="Y194" s="76">
        <v>8.5</v>
      </c>
      <c r="Z194" s="78">
        <v>60.0</v>
      </c>
      <c r="AA194" s="78">
        <v>70.0</v>
      </c>
      <c r="AB194" s="115" t="s">
        <v>153</v>
      </c>
      <c r="AC194" s="130"/>
      <c r="AD194" s="130"/>
      <c r="AE194" s="130"/>
      <c r="AF194" s="130"/>
      <c r="AG194" s="130"/>
      <c r="AH194" s="130"/>
      <c r="AI194" s="138" t="s">
        <v>4896</v>
      </c>
      <c r="AJ194" s="138" t="s">
        <v>4897</v>
      </c>
      <c r="AK194" s="140" t="s">
        <v>4898</v>
      </c>
      <c r="AL194" s="666" t="s">
        <v>4899</v>
      </c>
      <c r="AM194" s="667" t="s">
        <v>4900</v>
      </c>
    </row>
    <row r="195">
      <c r="A195" s="201" t="s">
        <v>1540</v>
      </c>
      <c r="B195" s="203" t="s">
        <v>4901</v>
      </c>
      <c r="C195" s="204" t="s">
        <v>137</v>
      </c>
      <c r="D195" s="203" t="s">
        <v>4902</v>
      </c>
      <c r="E195" s="205" t="s">
        <v>4903</v>
      </c>
      <c r="F195" s="206" t="s">
        <v>234</v>
      </c>
      <c r="G195" s="208" t="s">
        <v>170</v>
      </c>
      <c r="H195" s="203" t="s">
        <v>4904</v>
      </c>
      <c r="I195" s="209" t="s">
        <v>170</v>
      </c>
      <c r="J195" s="203" t="s">
        <v>137</v>
      </c>
      <c r="K195" s="210" t="s">
        <v>4905</v>
      </c>
      <c r="L195" s="212" t="s">
        <v>137</v>
      </c>
      <c r="M195" s="286"/>
      <c r="N195" s="213"/>
      <c r="O195" s="286"/>
      <c r="P195" s="286"/>
      <c r="Q195" s="286"/>
      <c r="R195" s="390" t="str">
        <f>HYPERLINK("https://pubmed.ncbi.nlm.nih.gov/31270381/", "Grunewald (2019) - Sarcoidosis")</f>
        <v>Grunewald (2019) - Sarcoidosis</v>
      </c>
      <c r="S195" s="217" t="str">
        <f>HYPERLINK("[link removed]", "ATS/ERS/WASOG (1999) - Statement on Sarcoidosis: Joint Statement")</f>
        <v>ATS/ERS/WASOG (1999) - Statement on Sarcoidosis: Joint Statement</v>
      </c>
      <c r="T195" s="223" t="s">
        <v>4906</v>
      </c>
      <c r="U195" s="203" t="s">
        <v>150</v>
      </c>
      <c r="V195" s="224" t="s">
        <v>4907</v>
      </c>
      <c r="W195" s="203" t="s">
        <v>150</v>
      </c>
      <c r="X195" s="225" t="s">
        <v>4908</v>
      </c>
      <c r="Y195" s="76">
        <v>1.4</v>
      </c>
      <c r="Z195" s="289"/>
      <c r="AA195" s="289"/>
      <c r="AB195" s="203" t="s">
        <v>137</v>
      </c>
      <c r="AC195" s="286"/>
      <c r="AD195" s="286"/>
      <c r="AE195" s="286"/>
      <c r="AF195" s="286"/>
      <c r="AG195" s="286"/>
      <c r="AH195" s="286"/>
      <c r="AI195" s="227" t="s">
        <v>4909</v>
      </c>
      <c r="AJ195" s="227" t="s">
        <v>4910</v>
      </c>
      <c r="AK195" s="228" t="s">
        <v>4911</v>
      </c>
      <c r="AL195" s="391" t="s">
        <v>4912</v>
      </c>
      <c r="AM195" s="392" t="s">
        <v>4913</v>
      </c>
    </row>
    <row r="196">
      <c r="A196" s="292" t="s">
        <v>1547</v>
      </c>
      <c r="B196" s="294" t="s">
        <v>4914</v>
      </c>
      <c r="C196" s="295" t="s">
        <v>137</v>
      </c>
      <c r="D196" s="294" t="s">
        <v>4915</v>
      </c>
      <c r="E196" s="296" t="s">
        <v>4916</v>
      </c>
      <c r="F196" s="298" t="s">
        <v>385</v>
      </c>
      <c r="G196" s="299" t="s">
        <v>170</v>
      </c>
      <c r="H196" s="294" t="s">
        <v>4917</v>
      </c>
      <c r="I196" s="300" t="s">
        <v>4918</v>
      </c>
      <c r="J196" s="294" t="s">
        <v>137</v>
      </c>
      <c r="K196" s="301" t="s">
        <v>4919</v>
      </c>
      <c r="L196" s="302" t="s">
        <v>137</v>
      </c>
      <c r="M196" s="303"/>
      <c r="N196" s="304"/>
      <c r="O196" s="303"/>
      <c r="P196" s="303"/>
      <c r="Q196" s="303"/>
      <c r="R196" s="305" t="str">
        <f>HYPERLINK("https://pubmed.ncbi.nlm.nih.gov/21118552/", "Lipsker (2010) - The Schnitzler Syndrome: Four New Cases and Review of the Literature")</f>
        <v>Lipsker (2010) - The Schnitzler Syndrome: Four New Cases and Review of the Literature</v>
      </c>
      <c r="S196" s="373" t="str">
        <f>HYPERLINK("https://pubmed.ncbi.nlm.nih.gov/11738739/", "Lipsker (2001) - The Schnitzler Syndrome: Four New Cases and Diagnostic Criteria")</f>
        <v>Lipsker (2001) - The Schnitzler Syndrome: Four New Cases and Diagnostic Criteria</v>
      </c>
      <c r="T196" s="307" t="s">
        <v>4920</v>
      </c>
      <c r="U196" s="294" t="s">
        <v>150</v>
      </c>
      <c r="V196" s="308" t="s">
        <v>3020</v>
      </c>
      <c r="W196" s="294" t="s">
        <v>150</v>
      </c>
      <c r="X196" s="309" t="s">
        <v>4921</v>
      </c>
      <c r="Y196" s="76">
        <v>0.0</v>
      </c>
      <c r="Z196" s="78">
        <v>51.0</v>
      </c>
      <c r="AA196" s="78">
        <v>51.0</v>
      </c>
      <c r="AB196" s="294" t="s">
        <v>4922</v>
      </c>
      <c r="AC196" s="303"/>
      <c r="AD196" s="303"/>
      <c r="AE196" s="303"/>
      <c r="AF196" s="303"/>
      <c r="AG196" s="303"/>
      <c r="AH196" s="303"/>
      <c r="AI196" s="311" t="s">
        <v>4923</v>
      </c>
      <c r="AJ196" s="311" t="s">
        <v>4924</v>
      </c>
      <c r="AK196" s="312" t="s">
        <v>4925</v>
      </c>
      <c r="AL196" s="661" t="s">
        <v>4926</v>
      </c>
      <c r="AM196" s="662" t="s">
        <v>4927</v>
      </c>
    </row>
    <row r="197">
      <c r="A197" s="88" t="s">
        <v>1552</v>
      </c>
      <c r="B197" s="89" t="s">
        <v>1552</v>
      </c>
      <c r="C197" s="90" t="s">
        <v>137</v>
      </c>
      <c r="D197" s="89" t="s">
        <v>4928</v>
      </c>
      <c r="E197" s="91" t="s">
        <v>4929</v>
      </c>
      <c r="F197" s="92" t="s">
        <v>101</v>
      </c>
      <c r="G197" s="93" t="s">
        <v>170</v>
      </c>
      <c r="H197" s="89" t="s">
        <v>4930</v>
      </c>
      <c r="I197" s="94" t="s">
        <v>4931</v>
      </c>
      <c r="J197" s="89" t="s">
        <v>4932</v>
      </c>
      <c r="K197" s="96" t="s">
        <v>4933</v>
      </c>
      <c r="L197" s="97" t="s">
        <v>137</v>
      </c>
      <c r="M197" s="316"/>
      <c r="N197" s="98"/>
      <c r="O197" s="316"/>
      <c r="P197" s="316"/>
      <c r="Q197" s="316"/>
      <c r="R197" s="317" t="str">
        <f>HYPERLINK("https://pubmed.ncbi.nlm.nih.gov/22421322/", "Sainz de la Maza (2012) - Clinical Characteristics of Scleritis")</f>
        <v>Sainz de la Maza (2012) - Clinical Characteristics of Scleritis</v>
      </c>
      <c r="S197" s="369" t="str">
        <f>HYPERLINK("https://pubmed.ncbi.nlm.nih.gov/8040776/", "Sainz de la Maza (1994) - Clinical Characteristics of A Subpopulation of Patients with Scleritis")</f>
        <v>Sainz de la Maza (1994) - Clinical Characteristics of A Subpopulation of Patients with Scleritis</v>
      </c>
      <c r="T197" s="318" t="s">
        <v>4934</v>
      </c>
      <c r="U197" s="89" t="s">
        <v>150</v>
      </c>
      <c r="V197" s="102" t="s">
        <v>3451</v>
      </c>
      <c r="W197" s="89" t="s">
        <v>150</v>
      </c>
      <c r="X197" s="104" t="s">
        <v>3084</v>
      </c>
      <c r="Y197" s="76">
        <v>2.3</v>
      </c>
      <c r="Z197" s="78">
        <v>3.0</v>
      </c>
      <c r="AA197" s="78">
        <v>35.0</v>
      </c>
      <c r="AB197" s="89" t="s">
        <v>84</v>
      </c>
      <c r="AC197" s="316"/>
      <c r="AD197" s="316"/>
      <c r="AE197" s="316"/>
      <c r="AF197" s="316"/>
      <c r="AG197" s="316"/>
      <c r="AH197" s="316"/>
      <c r="AI197" s="110" t="s">
        <v>4935</v>
      </c>
      <c r="AJ197" s="110" t="s">
        <v>4936</v>
      </c>
      <c r="AK197" s="111" t="s">
        <v>4937</v>
      </c>
      <c r="AL197" s="112" t="s">
        <v>4938</v>
      </c>
      <c r="AM197" s="113" t="s">
        <v>4939</v>
      </c>
    </row>
    <row r="198">
      <c r="A198" s="175" t="s">
        <v>1553</v>
      </c>
      <c r="B198" s="176" t="s">
        <v>4940</v>
      </c>
      <c r="C198" s="177" t="s">
        <v>59</v>
      </c>
      <c r="D198" s="176" t="s">
        <v>4941</v>
      </c>
      <c r="E198" s="178" t="s">
        <v>4942</v>
      </c>
      <c r="F198" s="179" t="s">
        <v>203</v>
      </c>
      <c r="G198" s="180" t="s">
        <v>4308</v>
      </c>
      <c r="H198" s="176" t="s">
        <v>4943</v>
      </c>
      <c r="I198" s="181" t="s">
        <v>4944</v>
      </c>
      <c r="J198" s="176" t="s">
        <v>4945</v>
      </c>
      <c r="K198" s="182" t="s">
        <v>4946</v>
      </c>
      <c r="L198" s="183" t="s">
        <v>71</v>
      </c>
      <c r="M198" s="433"/>
      <c r="N198" s="184"/>
      <c r="O198" s="433"/>
      <c r="P198" s="433"/>
      <c r="Q198" s="433"/>
      <c r="R198" s="434" t="str">
        <f>HYPERLINK("https://pubmed.ncbi.nlm.nih.gov/27383445/", "Brito-Zeron (2016) - Sjogren Syndrome")</f>
        <v>Brito-Zeron (2016) - Sjogren Syndrome</v>
      </c>
      <c r="S198" s="186" t="str">
        <f>HYPERLINK("[link removed]", "Vitali (2002) - Classification Criteria for Sjogren's Syndrome: Consensus Group")</f>
        <v>Vitali (2002) - Classification Criteria for Sjogren's Syndrome: Consensus Group</v>
      </c>
      <c r="T198" s="188" t="s">
        <v>4947</v>
      </c>
      <c r="U198" s="176" t="s">
        <v>150</v>
      </c>
      <c r="V198" s="189" t="s">
        <v>3513</v>
      </c>
      <c r="W198" s="176" t="s">
        <v>150</v>
      </c>
      <c r="X198" s="190" t="s">
        <v>4948</v>
      </c>
      <c r="Y198" s="76">
        <v>9.4</v>
      </c>
      <c r="Z198" s="78">
        <v>45.0</v>
      </c>
      <c r="AA198" s="78">
        <v>45.0</v>
      </c>
      <c r="AB198" s="176" t="s">
        <v>153</v>
      </c>
      <c r="AC198" s="433"/>
      <c r="AD198" s="433"/>
      <c r="AE198" s="433"/>
      <c r="AF198" s="433"/>
      <c r="AG198" s="433"/>
      <c r="AH198" s="433"/>
      <c r="AI198" s="192" t="s">
        <v>4949</v>
      </c>
      <c r="AJ198" s="192" t="s">
        <v>4950</v>
      </c>
      <c r="AK198" s="194" t="s">
        <v>4951</v>
      </c>
      <c r="AL198" s="196" t="s">
        <v>4952</v>
      </c>
      <c r="AM198" s="199" t="s">
        <v>4953</v>
      </c>
    </row>
    <row r="199">
      <c r="A199" s="347" t="s">
        <v>1560</v>
      </c>
      <c r="B199" s="348" t="s">
        <v>4954</v>
      </c>
      <c r="C199" s="349" t="s">
        <v>59</v>
      </c>
      <c r="D199" s="348" t="s">
        <v>4955</v>
      </c>
      <c r="E199" s="350" t="s">
        <v>4956</v>
      </c>
      <c r="F199" s="352" t="s">
        <v>670</v>
      </c>
      <c r="G199" s="353" t="s">
        <v>4957</v>
      </c>
      <c r="H199" s="348" t="s">
        <v>4958</v>
      </c>
      <c r="I199" s="354" t="s">
        <v>4959</v>
      </c>
      <c r="J199" s="348" t="s">
        <v>4960</v>
      </c>
      <c r="K199" s="355" t="s">
        <v>4961</v>
      </c>
      <c r="L199" s="356" t="s">
        <v>71</v>
      </c>
      <c r="M199" s="688"/>
      <c r="N199" s="357"/>
      <c r="O199" s="688"/>
      <c r="P199" s="688"/>
      <c r="Q199" s="688"/>
      <c r="R199" s="689" t="str">
        <f>HYPERLINK("[link removed]", "Almaani (2017) - Update on Lupus Nephritis")</f>
        <v>Almaani (2017) - Update on Lupus Nephritis</v>
      </c>
      <c r="S199" s="358" t="str">
        <f>HYPERLINK("https://pubmed.ncbi.nlm.nih.gov/14757608/", "Weening (2004) - The Classification of Glomerulonephritis in Systemic Lupus Erythematosus")</f>
        <v>Weening (2004) - The Classification of Glomerulonephritis in Systemic Lupus Erythematosus</v>
      </c>
      <c r="T199" s="360" t="s">
        <v>4962</v>
      </c>
      <c r="U199" s="348" t="s">
        <v>150</v>
      </c>
      <c r="V199" s="362" t="s">
        <v>2818</v>
      </c>
      <c r="W199" s="348" t="s">
        <v>150</v>
      </c>
      <c r="X199" s="363" t="s">
        <v>285</v>
      </c>
      <c r="Y199" s="76">
        <v>5.4</v>
      </c>
      <c r="Z199" s="289"/>
      <c r="AA199" s="289"/>
      <c r="AB199" s="348" t="s">
        <v>153</v>
      </c>
      <c r="AC199" s="688"/>
      <c r="AD199" s="688"/>
      <c r="AE199" s="688"/>
      <c r="AF199" s="688"/>
      <c r="AG199" s="688"/>
      <c r="AH199" s="688"/>
      <c r="AI199" s="364" t="s">
        <v>4963</v>
      </c>
      <c r="AJ199" s="364" t="s">
        <v>4964</v>
      </c>
      <c r="AK199" s="365" t="s">
        <v>4965</v>
      </c>
      <c r="AL199" s="690" t="s">
        <v>4966</v>
      </c>
      <c r="AM199" s="691" t="s">
        <v>4967</v>
      </c>
    </row>
    <row r="200">
      <c r="A200" s="201" t="s">
        <v>4968</v>
      </c>
      <c r="B200" s="203" t="s">
        <v>4969</v>
      </c>
      <c r="C200" s="204" t="s">
        <v>137</v>
      </c>
      <c r="D200" s="203" t="s">
        <v>4970</v>
      </c>
      <c r="E200" s="205" t="s">
        <v>4971</v>
      </c>
      <c r="F200" s="206" t="s">
        <v>234</v>
      </c>
      <c r="G200" s="208" t="s">
        <v>170</v>
      </c>
      <c r="H200" s="203" t="s">
        <v>4972</v>
      </c>
      <c r="I200" s="209" t="s">
        <v>4973</v>
      </c>
      <c r="J200" s="203" t="s">
        <v>4974</v>
      </c>
      <c r="K200" s="210" t="s">
        <v>4975</v>
      </c>
      <c r="L200" s="212"/>
      <c r="M200" s="286"/>
      <c r="N200" s="213"/>
      <c r="O200" s="286"/>
      <c r="P200" s="286"/>
      <c r="Q200" s="286"/>
      <c r="R200" s="390" t="str">
        <f>HYPERLINK("https://pubmed.ncbi.nlm.nih.gov/31102009/", "Fabre (2019) - Clinical Aspects of STAT3 Gain-of-Function Germline Mutations")</f>
        <v>Fabre (2019) - Clinical Aspects of STAT3 Gain-of-Function Germline Mutations</v>
      </c>
      <c r="S200" s="217" t="str">
        <f>HYPERLINK("https://pubmed.ncbi.nlm.nih.gov/25359994/", "Milner (2015) - Early-Onset Autoimmunity from STAT3 Gain-of-Function Mutations")</f>
        <v>Milner (2015) - Early-Onset Autoimmunity from STAT3 Gain-of-Function Mutations</v>
      </c>
      <c r="T200" s="223" t="s">
        <v>4976</v>
      </c>
      <c r="U200" s="203" t="s">
        <v>150</v>
      </c>
      <c r="V200" s="224" t="s">
        <v>3020</v>
      </c>
      <c r="W200" s="203" t="s">
        <v>150</v>
      </c>
      <c r="X200" s="225" t="s">
        <v>285</v>
      </c>
      <c r="Y200" s="241"/>
      <c r="Z200" s="242"/>
      <c r="AA200" s="242"/>
      <c r="AB200" s="203"/>
      <c r="AC200" s="286"/>
      <c r="AD200" s="286"/>
      <c r="AE200" s="286"/>
      <c r="AF200" s="286"/>
      <c r="AG200" s="286"/>
      <c r="AH200" s="286"/>
      <c r="AI200" s="227" t="s">
        <v>4977</v>
      </c>
      <c r="AJ200" s="227" t="s">
        <v>4978</v>
      </c>
      <c r="AK200" s="228" t="s">
        <v>4979</v>
      </c>
      <c r="AL200" s="391" t="s">
        <v>4980</v>
      </c>
      <c r="AM200" s="392" t="s">
        <v>4981</v>
      </c>
    </row>
    <row r="201">
      <c r="A201" s="88" t="s">
        <v>1564</v>
      </c>
      <c r="B201" s="89" t="s">
        <v>4982</v>
      </c>
      <c r="C201" s="90" t="s">
        <v>59</v>
      </c>
      <c r="D201" s="89" t="s">
        <v>4983</v>
      </c>
      <c r="E201" s="91" t="s">
        <v>4984</v>
      </c>
      <c r="F201" s="92" t="s">
        <v>101</v>
      </c>
      <c r="G201" s="93" t="s">
        <v>4985</v>
      </c>
      <c r="H201" s="89" t="s">
        <v>4986</v>
      </c>
      <c r="I201" s="94" t="s">
        <v>4987</v>
      </c>
      <c r="J201" s="89" t="s">
        <v>4988</v>
      </c>
      <c r="K201" s="96" t="s">
        <v>4989</v>
      </c>
      <c r="L201" s="97" t="s">
        <v>71</v>
      </c>
      <c r="M201" s="316"/>
      <c r="N201" s="98"/>
      <c r="O201" s="316"/>
      <c r="P201" s="316"/>
      <c r="Q201" s="316"/>
      <c r="R201" s="317" t="str">
        <f>HYPERLINK("https://pubmed.ncbi.nlm.nih.gov/27445205/", "Laurent (2016) - Steroid-Responsive Encephalopathy Associated with Autoimmune Thyroiditis (SREAT)")</f>
        <v>Laurent (2016) - Steroid-Responsive Encephalopathy Associated with Autoimmune Thyroiditis (SREAT)</v>
      </c>
      <c r="S201" s="369" t="str">
        <f>HYPERLINK("https://pubmed.ncbi.nlm.nih.gov/12586614/", "Chong (2003) - Hashimoto Encephalopathy: Clinical and Immunologic Characteristics")</f>
        <v>Chong (2003) - Hashimoto Encephalopathy: Clinical and Immunologic Characteristics</v>
      </c>
      <c r="T201" s="318" t="s">
        <v>4990</v>
      </c>
      <c r="U201" s="89" t="s">
        <v>150</v>
      </c>
      <c r="V201" s="102" t="s">
        <v>3709</v>
      </c>
      <c r="W201" s="89" t="s">
        <v>150</v>
      </c>
      <c r="X201" s="104" t="s">
        <v>4991</v>
      </c>
      <c r="Y201" s="76">
        <v>0.0</v>
      </c>
      <c r="Z201" s="78">
        <v>40.0</v>
      </c>
      <c r="AA201" s="78">
        <v>49.0</v>
      </c>
      <c r="AB201" s="89" t="s">
        <v>84</v>
      </c>
      <c r="AC201" s="316"/>
      <c r="AD201" s="316"/>
      <c r="AE201" s="316"/>
      <c r="AF201" s="316"/>
      <c r="AG201" s="316"/>
      <c r="AH201" s="316"/>
      <c r="AI201" s="110" t="s">
        <v>4992</v>
      </c>
      <c r="AJ201" s="110" t="s">
        <v>4993</v>
      </c>
      <c r="AK201" s="111" t="s">
        <v>4994</v>
      </c>
      <c r="AL201" s="112" t="s">
        <v>4995</v>
      </c>
      <c r="AM201" s="113" t="s">
        <v>4996</v>
      </c>
    </row>
    <row r="202">
      <c r="A202" s="292" t="s">
        <v>1571</v>
      </c>
      <c r="B202" s="294" t="s">
        <v>4997</v>
      </c>
      <c r="C202" s="295" t="s">
        <v>59</v>
      </c>
      <c r="D202" s="294" t="s">
        <v>4998</v>
      </c>
      <c r="E202" s="296" t="s">
        <v>4999</v>
      </c>
      <c r="F202" s="298" t="s">
        <v>385</v>
      </c>
      <c r="G202" s="299" t="s">
        <v>5000</v>
      </c>
      <c r="H202" s="294" t="s">
        <v>5001</v>
      </c>
      <c r="I202" s="300" t="s">
        <v>5002</v>
      </c>
      <c r="J202" s="294" t="s">
        <v>5003</v>
      </c>
      <c r="K202" s="301" t="s">
        <v>5004</v>
      </c>
      <c r="L202" s="302" t="s">
        <v>71</v>
      </c>
      <c r="M202" s="303"/>
      <c r="N202" s="304"/>
      <c r="O202" s="303"/>
      <c r="P202" s="303"/>
      <c r="Q202" s="303"/>
      <c r="R202" s="305" t="str">
        <f>HYPERLINK("https://pubmed.ncbi.nlm.nih.gov/26092915/", "Baizabal-Carvallo (2015) - Stiff-Person Syndrome: Insights into a Complex Disorder")</f>
        <v>Baizabal-Carvallo (2015) - Stiff-Person Syndrome: Insights into a Complex Disorder</v>
      </c>
      <c r="S202" s="373" t="str">
        <f>HYPERLINK("https://pubmed.ncbi.nlm.nih.gov/3277085/", "Solimena (1988) - Autoantibodies to GABA-Ergic Neurons and GAD in Stiff-Man Syndrome")</f>
        <v>Solimena (1988) - Autoantibodies to GABA-Ergic Neurons and GAD in Stiff-Man Syndrome</v>
      </c>
      <c r="T202" s="307" t="s">
        <v>5005</v>
      </c>
      <c r="U202" s="294" t="s">
        <v>150</v>
      </c>
      <c r="V202" s="308" t="s">
        <v>1512</v>
      </c>
      <c r="W202" s="294" t="s">
        <v>150</v>
      </c>
      <c r="X202" s="309" t="s">
        <v>5006</v>
      </c>
      <c r="Y202" s="76">
        <v>1.9</v>
      </c>
      <c r="Z202" s="78">
        <v>30.0</v>
      </c>
      <c r="AA202" s="78">
        <v>60.0</v>
      </c>
      <c r="AB202" s="294" t="s">
        <v>84</v>
      </c>
      <c r="AC202" s="303"/>
      <c r="AD202" s="303"/>
      <c r="AE202" s="303"/>
      <c r="AF202" s="303"/>
      <c r="AG202" s="303"/>
      <c r="AH202" s="303"/>
      <c r="AI202" s="311" t="s">
        <v>5007</v>
      </c>
      <c r="AJ202" s="311" t="s">
        <v>5008</v>
      </c>
      <c r="AK202" s="312" t="s">
        <v>5009</v>
      </c>
      <c r="AL202" s="313" t="s">
        <v>5010</v>
      </c>
      <c r="AM202" s="314" t="s">
        <v>5011</v>
      </c>
    </row>
    <row r="203">
      <c r="A203" s="562" t="s">
        <v>1576</v>
      </c>
      <c r="B203" s="563" t="s">
        <v>5012</v>
      </c>
      <c r="C203" s="564" t="s">
        <v>137</v>
      </c>
      <c r="D203" s="563" t="s">
        <v>5013</v>
      </c>
      <c r="E203" s="565" t="s">
        <v>5014</v>
      </c>
      <c r="F203" s="566" t="s">
        <v>2878</v>
      </c>
      <c r="G203" s="567" t="s">
        <v>170</v>
      </c>
      <c r="H203" s="563" t="s">
        <v>5015</v>
      </c>
      <c r="I203" s="568" t="s">
        <v>5016</v>
      </c>
      <c r="J203" s="563" t="s">
        <v>137</v>
      </c>
      <c r="K203" s="569" t="s">
        <v>5017</v>
      </c>
      <c r="L203" s="570" t="s">
        <v>137</v>
      </c>
      <c r="M203" s="571"/>
      <c r="N203" s="572"/>
      <c r="O203" s="571"/>
      <c r="P203" s="571"/>
      <c r="Q203" s="571"/>
      <c r="R203" s="796" t="str">
        <f>HYPERLINK("https://pubmed.ncbi.nlm.nih.gov/26948436/", "Cahill (2016) - Infective Endocarditis")</f>
        <v>Cahill (2016) - Infective Endocarditis</v>
      </c>
      <c r="S203" s="797" t="str">
        <f>HYPERLINK("https://pubmed.ncbi.nlm.nih.gov/8138768/", "Durack (1994) - New Criteria for Diagnosis of Infective Endocarditis (Duke Criteria)")</f>
        <v>Durack (1994) - New Criteria for Diagnosis of Infective Endocarditis (Duke Criteria)</v>
      </c>
      <c r="T203" s="575" t="s">
        <v>5018</v>
      </c>
      <c r="U203" s="563" t="s">
        <v>79</v>
      </c>
      <c r="V203" s="576" t="s">
        <v>5019</v>
      </c>
      <c r="W203" s="563" t="s">
        <v>79</v>
      </c>
      <c r="X203" s="577" t="s">
        <v>5019</v>
      </c>
      <c r="Y203" s="76">
        <v>0.7</v>
      </c>
      <c r="Z203" s="289"/>
      <c r="AA203" s="289"/>
      <c r="AB203" s="563" t="s">
        <v>137</v>
      </c>
      <c r="AC203" s="571"/>
      <c r="AD203" s="571"/>
      <c r="AE203" s="571"/>
      <c r="AF203" s="571"/>
      <c r="AG203" s="571"/>
      <c r="AH203" s="571"/>
      <c r="AI203" s="580" t="s">
        <v>5020</v>
      </c>
      <c r="AJ203" s="580" t="s">
        <v>5021</v>
      </c>
      <c r="AK203" s="581" t="s">
        <v>5022</v>
      </c>
      <c r="AL203" s="801" t="s">
        <v>5023</v>
      </c>
      <c r="AM203" s="802" t="s">
        <v>5024</v>
      </c>
    </row>
    <row r="204">
      <c r="A204" s="244" t="s">
        <v>1585</v>
      </c>
      <c r="B204" s="245" t="s">
        <v>5025</v>
      </c>
      <c r="C204" s="246" t="s">
        <v>59</v>
      </c>
      <c r="D204" s="245" t="s">
        <v>5026</v>
      </c>
      <c r="E204" s="247" t="s">
        <v>5027</v>
      </c>
      <c r="F204" s="248" t="s">
        <v>301</v>
      </c>
      <c r="G204" s="249" t="s">
        <v>5028</v>
      </c>
      <c r="H204" s="245" t="s">
        <v>5029</v>
      </c>
      <c r="I204" s="250" t="s">
        <v>5030</v>
      </c>
      <c r="J204" s="245" t="s">
        <v>5031</v>
      </c>
      <c r="K204" s="252" t="s">
        <v>5032</v>
      </c>
      <c r="L204" s="253" t="s">
        <v>71</v>
      </c>
      <c r="M204" s="254"/>
      <c r="N204" s="255"/>
      <c r="O204" s="254"/>
      <c r="P204" s="254"/>
      <c r="Q204" s="254"/>
      <c r="R204" s="258" t="str">
        <f>HYPERLINK("https://pubmed.ncbi.nlm.nih.gov/22421324/", "Arevalo (2012) - Sympathetic Ophthalmia: An Updated Review")</f>
        <v>Arevalo (2012) - Sympathetic Ophthalmia: An Updated Review</v>
      </c>
      <c r="S204" s="516" t="str">
        <f>HYPERLINK("[link removed]", "Marak (1979) - Recent Advances in Sympathetic Ophthalmia")</f>
        <v>Marak (1979) - Recent Advances in Sympathetic Ophthalmia</v>
      </c>
      <c r="T204" s="265" t="s">
        <v>5033</v>
      </c>
      <c r="U204" s="245" t="s">
        <v>150</v>
      </c>
      <c r="V204" s="266" t="s">
        <v>5034</v>
      </c>
      <c r="W204" s="245" t="s">
        <v>79</v>
      </c>
      <c r="X204" s="267" t="s">
        <v>5035</v>
      </c>
      <c r="Y204" s="268">
        <v>1.0</v>
      </c>
      <c r="Z204" s="588"/>
      <c r="AA204" s="588"/>
      <c r="AB204" s="245" t="s">
        <v>84</v>
      </c>
      <c r="AC204" s="254"/>
      <c r="AD204" s="254"/>
      <c r="AE204" s="254"/>
      <c r="AF204" s="254"/>
      <c r="AG204" s="254"/>
      <c r="AH204" s="254"/>
      <c r="AI204" s="270" t="s">
        <v>5036</v>
      </c>
      <c r="AJ204" s="270" t="s">
        <v>5037</v>
      </c>
      <c r="AK204" s="271" t="s">
        <v>5038</v>
      </c>
      <c r="AL204" s="272" t="s">
        <v>5039</v>
      </c>
      <c r="AM204" s="273" t="s">
        <v>5040</v>
      </c>
    </row>
    <row r="205">
      <c r="A205" s="201" t="s">
        <v>1592</v>
      </c>
      <c r="B205" s="203" t="s">
        <v>5041</v>
      </c>
      <c r="C205" s="204" t="s">
        <v>59</v>
      </c>
      <c r="D205" s="203" t="s">
        <v>5042</v>
      </c>
      <c r="E205" s="205" t="s">
        <v>5043</v>
      </c>
      <c r="F205" s="206" t="s">
        <v>234</v>
      </c>
      <c r="G205" s="208" t="s">
        <v>5044</v>
      </c>
      <c r="H205" s="203" t="s">
        <v>5045</v>
      </c>
      <c r="I205" s="209" t="s">
        <v>5046</v>
      </c>
      <c r="J205" s="203" t="s">
        <v>5047</v>
      </c>
      <c r="K205" s="210" t="s">
        <v>5048</v>
      </c>
      <c r="L205" s="212" t="s">
        <v>71</v>
      </c>
      <c r="M205" s="286"/>
      <c r="N205" s="213"/>
      <c r="O205" s="286"/>
      <c r="P205" s="286"/>
      <c r="Q205" s="286"/>
      <c r="R205" s="390" t="str">
        <f>HYPERLINK("https://pubmed.ncbi.nlm.nih.gov/27307062/", "Kaul (2016) - Systemic Lupus Erythematosus")</f>
        <v>Kaul (2016) - Systemic Lupus Erythematosus</v>
      </c>
      <c r="S205" s="217" t="str">
        <f>HYPERLINK("https://pubmed.ncbi.nlm.nih.gov/7137537/", "Tan (1982) - The 1982 Revised Criteria for the Classification of SLE")</f>
        <v>Tan (1982) - The 1982 Revised Criteria for the Classification of SLE</v>
      </c>
      <c r="T205" s="223" t="s">
        <v>5049</v>
      </c>
      <c r="U205" s="203" t="s">
        <v>150</v>
      </c>
      <c r="V205" s="224" t="s">
        <v>2519</v>
      </c>
      <c r="W205" s="203" t="s">
        <v>150</v>
      </c>
      <c r="X205" s="225" t="s">
        <v>5050</v>
      </c>
      <c r="Y205" s="76">
        <v>8.7</v>
      </c>
      <c r="Z205" s="78">
        <v>20.0</v>
      </c>
      <c r="AA205" s="78">
        <v>29.0</v>
      </c>
      <c r="AB205" s="203" t="s">
        <v>153</v>
      </c>
      <c r="AC205" s="286"/>
      <c r="AD205" s="286"/>
      <c r="AE205" s="286"/>
      <c r="AF205" s="286"/>
      <c r="AG205" s="286"/>
      <c r="AH205" s="286"/>
      <c r="AI205" s="227" t="s">
        <v>5051</v>
      </c>
      <c r="AJ205" s="227" t="s">
        <v>5052</v>
      </c>
      <c r="AK205" s="803" t="s">
        <v>5053</v>
      </c>
      <c r="AL205" s="391" t="s">
        <v>5054</v>
      </c>
      <c r="AM205" s="392" t="s">
        <v>5055</v>
      </c>
    </row>
    <row r="206">
      <c r="A206" s="201" t="s">
        <v>1595</v>
      </c>
      <c r="B206" s="203" t="s">
        <v>1595</v>
      </c>
      <c r="C206" s="204" t="s">
        <v>137</v>
      </c>
      <c r="D206" s="203" t="s">
        <v>5056</v>
      </c>
      <c r="E206" s="205" t="s">
        <v>5057</v>
      </c>
      <c r="F206" s="206" t="s">
        <v>234</v>
      </c>
      <c r="G206" s="208" t="s">
        <v>170</v>
      </c>
      <c r="H206" s="203" t="s">
        <v>5058</v>
      </c>
      <c r="I206" s="209" t="s">
        <v>170</v>
      </c>
      <c r="J206" s="203" t="s">
        <v>137</v>
      </c>
      <c r="K206" s="210" t="s">
        <v>5059</v>
      </c>
      <c r="L206" s="212" t="s">
        <v>137</v>
      </c>
      <c r="M206" s="286"/>
      <c r="N206" s="213"/>
      <c r="O206" s="286"/>
      <c r="P206" s="286"/>
      <c r="Q206" s="286"/>
      <c r="R206" s="287" t="str">
        <f>HYPERLINK("https://pubmed.ncbi.nlm.nih.gov/28532995/", "Valent (2017) - Advances in the Classification and Treatment of Mastocytosis")</f>
        <v>Valent (2017) - Advances in the Classification and Treatment of Mastocytosis</v>
      </c>
      <c r="S206" s="238" t="str">
        <f>HYPERLINK("https://pubmed.ncbi.nlm.nih.gov/11468163/", "Valent (2001) - Diagnostic Criteria and Classification of Mastocytosis: A Consensus Proposal")</f>
        <v>Valent (2001) - Diagnostic Criteria and Classification of Mastocytosis: A Consensus Proposal</v>
      </c>
      <c r="T206" s="223" t="s">
        <v>5060</v>
      </c>
      <c r="U206" s="804" t="s">
        <v>150</v>
      </c>
      <c r="V206" s="805" t="s">
        <v>5061</v>
      </c>
      <c r="W206" s="804" t="s">
        <v>150</v>
      </c>
      <c r="X206" s="225" t="s">
        <v>5062</v>
      </c>
      <c r="Y206" s="76">
        <v>4.8</v>
      </c>
      <c r="Z206" s="78">
        <v>50.0</v>
      </c>
      <c r="AA206" s="78">
        <v>100.0</v>
      </c>
      <c r="AB206" s="203" t="s">
        <v>3420</v>
      </c>
      <c r="AC206" s="286"/>
      <c r="AD206" s="286"/>
      <c r="AE206" s="286"/>
      <c r="AF206" s="286"/>
      <c r="AG206" s="286"/>
      <c r="AH206" s="286"/>
      <c r="AI206" s="227" t="s">
        <v>5063</v>
      </c>
      <c r="AJ206" s="227" t="s">
        <v>5064</v>
      </c>
      <c r="AK206" s="228" t="s">
        <v>5065</v>
      </c>
      <c r="AL206" s="229" t="s">
        <v>5066</v>
      </c>
      <c r="AM206" s="230" t="s">
        <v>5067</v>
      </c>
    </row>
    <row r="207">
      <c r="A207" s="201" t="s">
        <v>1596</v>
      </c>
      <c r="B207" s="203" t="s">
        <v>5068</v>
      </c>
      <c r="C207" s="204" t="s">
        <v>59</v>
      </c>
      <c r="D207" s="203" t="s">
        <v>5069</v>
      </c>
      <c r="E207" s="205" t="s">
        <v>5070</v>
      </c>
      <c r="F207" s="206" t="s">
        <v>234</v>
      </c>
      <c r="G207" s="208" t="s">
        <v>5071</v>
      </c>
      <c r="H207" s="203" t="s">
        <v>5072</v>
      </c>
      <c r="I207" s="209" t="s">
        <v>5073</v>
      </c>
      <c r="J207" s="203" t="s">
        <v>5074</v>
      </c>
      <c r="K207" s="210" t="s">
        <v>5075</v>
      </c>
      <c r="L207" s="212" t="s">
        <v>71</v>
      </c>
      <c r="M207" s="286"/>
      <c r="N207" s="213"/>
      <c r="O207" s="286"/>
      <c r="P207" s="286"/>
      <c r="Q207" s="286"/>
      <c r="R207" s="287" t="str">
        <f>HYPERLINK("https://pubmed.ncbi.nlm.nih.gov/28273386/", "Denton (2017) - Systemic Sclerosis")</f>
        <v>Denton (2017) - Systemic Sclerosis</v>
      </c>
      <c r="S207" s="238" t="str">
        <f>HYPERLINK("https://pubmed.ncbi.nlm.nih.gov/3184212/", "LeRoy (1988) - Scleroderma (Systemic Sclerosis): Classification and Subsets")</f>
        <v>LeRoy (1988) - Scleroderma (Systemic Sclerosis): Classification and Subsets</v>
      </c>
      <c r="T207" s="223" t="s">
        <v>5076</v>
      </c>
      <c r="U207" s="804" t="s">
        <v>150</v>
      </c>
      <c r="V207" s="805" t="s">
        <v>5077</v>
      </c>
      <c r="W207" s="804" t="s">
        <v>150</v>
      </c>
      <c r="X207" s="225" t="s">
        <v>5077</v>
      </c>
      <c r="Y207" s="76">
        <v>5.5</v>
      </c>
      <c r="Z207" s="78">
        <v>40.0</v>
      </c>
      <c r="AA207" s="78">
        <v>50.0</v>
      </c>
      <c r="AB207" s="203" t="s">
        <v>153</v>
      </c>
      <c r="AC207" s="286"/>
      <c r="AD207" s="286"/>
      <c r="AE207" s="286"/>
      <c r="AF207" s="286"/>
      <c r="AG207" s="286"/>
      <c r="AH207" s="286"/>
      <c r="AI207" s="227" t="s">
        <v>5078</v>
      </c>
      <c r="AJ207" s="227" t="s">
        <v>5079</v>
      </c>
      <c r="AK207" s="228" t="s">
        <v>5080</v>
      </c>
      <c r="AL207" s="229" t="s">
        <v>5081</v>
      </c>
      <c r="AM207" s="230" t="s">
        <v>5082</v>
      </c>
    </row>
    <row r="208">
      <c r="A208" s="201" t="s">
        <v>1600</v>
      </c>
      <c r="B208" s="203" t="s">
        <v>5083</v>
      </c>
      <c r="C208" s="204" t="s">
        <v>59</v>
      </c>
      <c r="D208" s="203" t="s">
        <v>5084</v>
      </c>
      <c r="E208" s="205" t="s">
        <v>5085</v>
      </c>
      <c r="F208" s="206" t="s">
        <v>234</v>
      </c>
      <c r="G208" s="208" t="s">
        <v>5086</v>
      </c>
      <c r="H208" s="203" t="s">
        <v>5087</v>
      </c>
      <c r="I208" s="209" t="s">
        <v>5088</v>
      </c>
      <c r="J208" s="203" t="s">
        <v>5089</v>
      </c>
      <c r="K208" s="210" t="s">
        <v>5090</v>
      </c>
      <c r="L208" s="212" t="s">
        <v>1012</v>
      </c>
      <c r="M208" s="286"/>
      <c r="N208" s="213"/>
      <c r="O208" s="286"/>
      <c r="P208" s="286"/>
      <c r="Q208" s="286"/>
      <c r="R208" s="287" t="str">
        <f>HYPERLINK("https://pubmed.ncbi.nlm.nih.gov/27188831/", "Allanore (2015) - Systemic Sclerosis")</f>
        <v>Allanore (2015) - Systemic Sclerosis</v>
      </c>
      <c r="S208" s="238" t="str">
        <f>HYPERLINK("https://pubmed.ncbi.nlm.nih.gov/14197825/", "Winterbauer (1964) - Multiple Telangiectasia, Raynaud's Phenomenon, Sclerodactyly (CRST)")</f>
        <v>Winterbauer (1964) - Multiple Telangiectasia, Raynaud's Phenomenon, Sclerodactyly (CRST)</v>
      </c>
      <c r="T208" s="223" t="s">
        <v>5091</v>
      </c>
      <c r="U208" s="804" t="s">
        <v>150</v>
      </c>
      <c r="V208" s="805" t="s">
        <v>4238</v>
      </c>
      <c r="W208" s="806" t="s">
        <v>150</v>
      </c>
      <c r="X208" s="225" t="s">
        <v>3486</v>
      </c>
      <c r="Y208" s="76"/>
      <c r="Z208" s="78">
        <v>30.0</v>
      </c>
      <c r="AA208" s="78">
        <v>65.0</v>
      </c>
      <c r="AB208" s="203" t="s">
        <v>153</v>
      </c>
      <c r="AC208" s="286"/>
      <c r="AD208" s="286"/>
      <c r="AE208" s="286"/>
      <c r="AF208" s="286"/>
      <c r="AG208" s="286"/>
      <c r="AH208" s="286"/>
      <c r="AI208" s="227" t="s">
        <v>5092</v>
      </c>
      <c r="AJ208" s="227" t="s">
        <v>5093</v>
      </c>
      <c r="AK208" s="228" t="s">
        <v>5094</v>
      </c>
      <c r="AL208" s="229" t="s">
        <v>5095</v>
      </c>
      <c r="AM208" s="230" t="s">
        <v>5096</v>
      </c>
    </row>
    <row r="209">
      <c r="A209" s="114" t="s">
        <v>1610</v>
      </c>
      <c r="B209" s="115" t="s">
        <v>5097</v>
      </c>
      <c r="C209" s="116" t="s">
        <v>59</v>
      </c>
      <c r="D209" s="115" t="s">
        <v>5098</v>
      </c>
      <c r="E209" s="118" t="s">
        <v>5099</v>
      </c>
      <c r="F209" s="120" t="s">
        <v>133</v>
      </c>
      <c r="G209" s="121" t="s">
        <v>5100</v>
      </c>
      <c r="H209" s="115" t="s">
        <v>5101</v>
      </c>
      <c r="I209" s="125" t="s">
        <v>5102</v>
      </c>
      <c r="J209" s="115" t="s">
        <v>5103</v>
      </c>
      <c r="K209" s="128" t="s">
        <v>5104</v>
      </c>
      <c r="L209" s="129" t="s">
        <v>941</v>
      </c>
      <c r="M209" s="130"/>
      <c r="N209" s="132"/>
      <c r="O209" s="130"/>
      <c r="P209" s="130"/>
      <c r="Q209" s="130"/>
      <c r="R209" s="133" t="str">
        <f>HYPERLINK("https://pubmed.ncbi.nlm.nih.gov/20658829/", "Mason (2010) - Takayasu Arteritis: Advances in Diagnosis and Management")</f>
        <v>Mason (2010) - Takayasu Arteritis: Advances in Diagnosis and Management</v>
      </c>
      <c r="S209" s="134" t="str">
        <f>HYPERLINK("https://pubmed.ncbi.nlm.nih.gov/1970334/", "Arend (1990) - The American College of Rheumatology 1990 Criteria for Takayasu Arteritis")</f>
        <v>Arend (1990) - The American College of Rheumatology 1990 Criteria for Takayasu Arteritis</v>
      </c>
      <c r="T209" s="135" t="s">
        <v>5105</v>
      </c>
      <c r="U209" s="115" t="s">
        <v>150</v>
      </c>
      <c r="V209" s="136" t="s">
        <v>5106</v>
      </c>
      <c r="W209" s="115" t="s">
        <v>150</v>
      </c>
      <c r="X209" s="137" t="s">
        <v>5107</v>
      </c>
      <c r="Y209" s="76">
        <v>6.4</v>
      </c>
      <c r="Z209" s="289"/>
      <c r="AA209" s="78">
        <v>40.0</v>
      </c>
      <c r="AB209" s="115" t="s">
        <v>153</v>
      </c>
      <c r="AC209" s="130"/>
      <c r="AD209" s="130"/>
      <c r="AE209" s="130"/>
      <c r="AF209" s="130"/>
      <c r="AG209" s="130"/>
      <c r="AH209" s="130"/>
      <c r="AI209" s="138" t="s">
        <v>5108</v>
      </c>
      <c r="AJ209" s="138" t="s">
        <v>5109</v>
      </c>
      <c r="AK209" s="140" t="s">
        <v>5110</v>
      </c>
      <c r="AL209" s="142" t="s">
        <v>5111</v>
      </c>
      <c r="AM209" s="145" t="s">
        <v>5112</v>
      </c>
    </row>
    <row r="210">
      <c r="A210" s="114" t="s">
        <v>1612</v>
      </c>
      <c r="B210" s="115" t="s">
        <v>5113</v>
      </c>
      <c r="C210" s="116" t="s">
        <v>59</v>
      </c>
      <c r="D210" s="115" t="s">
        <v>5114</v>
      </c>
      <c r="E210" s="118" t="s">
        <v>5115</v>
      </c>
      <c r="F210" s="120" t="s">
        <v>133</v>
      </c>
      <c r="G210" s="121" t="s">
        <v>170</v>
      </c>
      <c r="H210" s="115" t="s">
        <v>5116</v>
      </c>
      <c r="I210" s="125" t="s">
        <v>170</v>
      </c>
      <c r="J210" s="115" t="s">
        <v>5117</v>
      </c>
      <c r="K210" s="128" t="s">
        <v>5118</v>
      </c>
      <c r="L210" s="129" t="s">
        <v>941</v>
      </c>
      <c r="M210" s="130"/>
      <c r="N210" s="132"/>
      <c r="O210" s="130"/>
      <c r="P210" s="130"/>
      <c r="Q210" s="130"/>
      <c r="R210" s="133" t="str">
        <f>HYPERLINK("https://pubmed.ncbi.nlm.nih.gov/24988557/", "Weyand (2014) - Giant-Cell Arteritis and Polymyalgia Rheumatica")</f>
        <v>Weyand (2014) - Giant-Cell Arteritis and Polymyalgia Rheumatica</v>
      </c>
      <c r="S210" s="376" t="str">
        <f>HYPERLINK("https://pubmed.ncbi.nlm.nih.gov/2219224/", "Hunder (1990) - The American College of Rheumatology 1990 Criteria for Giant Cell Arteritis")</f>
        <v>Hunder (1990) - The American College of Rheumatology 1990 Criteria for Giant Cell Arteritis</v>
      </c>
      <c r="T210" s="135" t="s">
        <v>5119</v>
      </c>
      <c r="U210" s="787" t="s">
        <v>150</v>
      </c>
      <c r="V210" s="788" t="s">
        <v>5120</v>
      </c>
      <c r="W210" s="787" t="s">
        <v>150</v>
      </c>
      <c r="X210" s="137" t="s">
        <v>367</v>
      </c>
      <c r="Y210" s="76">
        <v>2.4</v>
      </c>
      <c r="Z210" s="78">
        <v>50.0</v>
      </c>
      <c r="AA210" s="78">
        <v>100.0</v>
      </c>
      <c r="AB210" s="115" t="s">
        <v>153</v>
      </c>
      <c r="AC210" s="130"/>
      <c r="AD210" s="130"/>
      <c r="AE210" s="130"/>
      <c r="AF210" s="130"/>
      <c r="AG210" s="130"/>
      <c r="AH210" s="130"/>
      <c r="AI210" s="138" t="s">
        <v>5121</v>
      </c>
      <c r="AJ210" s="138" t="s">
        <v>5122</v>
      </c>
      <c r="AK210" s="140" t="s">
        <v>5123</v>
      </c>
      <c r="AL210" s="789" t="s">
        <v>5124</v>
      </c>
      <c r="AM210" s="790" t="s">
        <v>5125</v>
      </c>
    </row>
    <row r="211">
      <c r="A211" s="201" t="s">
        <v>5126</v>
      </c>
      <c r="B211" s="203" t="s">
        <v>5127</v>
      </c>
      <c r="C211" s="204" t="s">
        <v>137</v>
      </c>
      <c r="D211" s="203" t="s">
        <v>5128</v>
      </c>
      <c r="E211" s="205" t="s">
        <v>5129</v>
      </c>
      <c r="F211" s="206" t="s">
        <v>234</v>
      </c>
      <c r="G211" s="208" t="s">
        <v>5130</v>
      </c>
      <c r="H211" s="203" t="s">
        <v>5131</v>
      </c>
      <c r="I211" s="209" t="s">
        <v>5132</v>
      </c>
      <c r="J211" s="203" t="s">
        <v>5133</v>
      </c>
      <c r="K211" s="210" t="s">
        <v>5134</v>
      </c>
      <c r="L211" s="212"/>
      <c r="M211" s="286"/>
      <c r="N211" s="213"/>
      <c r="O211" s="286"/>
      <c r="P211" s="286"/>
      <c r="Q211" s="286"/>
      <c r="R211" s="390" t="str">
        <f>HYPERLINK("https://pubmed.ncbi.nlm.nih.gov/22421320/", "Trallero-Araguas (2012) - Useful Markers in Adult Dermatomyositis for Predicting Malignancy")</f>
        <v>Trallero-Araguas (2012) - Useful Markers in Adult Dermatomyositis for Predicting Malignancy</v>
      </c>
      <c r="S211" s="217" t="str">
        <f>HYPERLINK("https://pubmed.ncbi.nlm.nih.gov/17585461/", "Kaji (2007) - Anti-TIF1-γ Autoantibodies in Cancer-Associated Dermatomyositis")</f>
        <v>Kaji (2007) - Anti-TIF1-γ Autoantibodies in Cancer-Associated Dermatomyositis</v>
      </c>
      <c r="T211" s="223" t="s">
        <v>5135</v>
      </c>
      <c r="U211" s="203" t="s">
        <v>150</v>
      </c>
      <c r="V211" s="224" t="s">
        <v>367</v>
      </c>
      <c r="W211" s="203" t="s">
        <v>150</v>
      </c>
      <c r="X211" s="225" t="s">
        <v>367</v>
      </c>
      <c r="Y211" s="241"/>
      <c r="Z211" s="242"/>
      <c r="AA211" s="242"/>
      <c r="AB211" s="203"/>
      <c r="AC211" s="286"/>
      <c r="AD211" s="286"/>
      <c r="AE211" s="286"/>
      <c r="AF211" s="286"/>
      <c r="AG211" s="286"/>
      <c r="AH211" s="286"/>
      <c r="AI211" s="227" t="s">
        <v>5136</v>
      </c>
      <c r="AJ211" s="227" t="s">
        <v>5137</v>
      </c>
      <c r="AK211" s="228" t="s">
        <v>5138</v>
      </c>
      <c r="AL211" s="391" t="s">
        <v>5139</v>
      </c>
      <c r="AM211" s="392" t="s">
        <v>5140</v>
      </c>
    </row>
    <row r="212">
      <c r="A212" s="88" t="s">
        <v>1618</v>
      </c>
      <c r="B212" s="89" t="s">
        <v>5141</v>
      </c>
      <c r="C212" s="90" t="s">
        <v>137</v>
      </c>
      <c r="D212" s="89" t="s">
        <v>5142</v>
      </c>
      <c r="E212" s="91" t="s">
        <v>5143</v>
      </c>
      <c r="F212" s="92" t="s">
        <v>101</v>
      </c>
      <c r="G212" s="93" t="s">
        <v>170</v>
      </c>
      <c r="H212" s="89" t="s">
        <v>5144</v>
      </c>
      <c r="I212" s="94" t="s">
        <v>170</v>
      </c>
      <c r="J212" s="89" t="s">
        <v>137</v>
      </c>
      <c r="K212" s="96" t="s">
        <v>5145</v>
      </c>
      <c r="L212" s="97" t="s">
        <v>137</v>
      </c>
      <c r="M212" s="316"/>
      <c r="N212" s="98"/>
      <c r="O212" s="316"/>
      <c r="P212" s="316"/>
      <c r="Q212" s="316"/>
      <c r="R212" s="594" t="str">
        <f>HYPERLINK("https://pubmed.ncbi.nlm.nih.gov/24737371/", "Zhang (2014) - Tolosa-Hunt Syndrome: Critical Review")</f>
        <v>Zhang (2014) - Tolosa-Hunt Syndrome: Critical Review</v>
      </c>
      <c r="S212" s="370" t="str">
        <f>HYPERLINK("https://pubmed.ncbi.nlm.nih.gov/13716892/", "Hunt (1961) - Painful Ophthalmoplegia and Its Response to Corticosteroid Therapy")</f>
        <v>Hunt (1961) - Painful Ophthalmoplegia and Its Response to Corticosteroid Therapy</v>
      </c>
      <c r="T212" s="318" t="s">
        <v>5146</v>
      </c>
      <c r="U212" s="646" t="s">
        <v>79</v>
      </c>
      <c r="V212" s="647" t="s">
        <v>1512</v>
      </c>
      <c r="W212" s="646" t="s">
        <v>150</v>
      </c>
      <c r="X212" s="104" t="s">
        <v>5147</v>
      </c>
      <c r="Y212" s="76">
        <v>0.0</v>
      </c>
      <c r="Z212" s="289"/>
      <c r="AA212" s="289"/>
      <c r="AB212" s="89" t="s">
        <v>137</v>
      </c>
      <c r="AC212" s="316"/>
      <c r="AD212" s="316"/>
      <c r="AE212" s="316"/>
      <c r="AF212" s="316"/>
      <c r="AG212" s="316"/>
      <c r="AH212" s="316"/>
      <c r="AI212" s="110" t="s">
        <v>5148</v>
      </c>
      <c r="AJ212" s="110" t="s">
        <v>5149</v>
      </c>
      <c r="AK212" s="111" t="s">
        <v>5150</v>
      </c>
      <c r="AL212" s="595" t="s">
        <v>5151</v>
      </c>
      <c r="AM212" s="596" t="s">
        <v>5152</v>
      </c>
    </row>
    <row r="213">
      <c r="A213" s="292" t="s">
        <v>1626</v>
      </c>
      <c r="B213" s="294" t="s">
        <v>5153</v>
      </c>
      <c r="C213" s="295" t="s">
        <v>59</v>
      </c>
      <c r="D213" s="294" t="s">
        <v>5154</v>
      </c>
      <c r="E213" s="296" t="s">
        <v>5155</v>
      </c>
      <c r="F213" s="298" t="s">
        <v>385</v>
      </c>
      <c r="G213" s="299" t="s">
        <v>5156</v>
      </c>
      <c r="H213" s="294" t="s">
        <v>5157</v>
      </c>
      <c r="I213" s="300" t="s">
        <v>5158</v>
      </c>
      <c r="J213" s="294" t="s">
        <v>5159</v>
      </c>
      <c r="K213" s="301" t="s">
        <v>5160</v>
      </c>
      <c r="L213" s="302" t="s">
        <v>71</v>
      </c>
      <c r="M213" s="303"/>
      <c r="N213" s="304"/>
      <c r="O213" s="303"/>
      <c r="P213" s="303"/>
      <c r="Q213" s="303"/>
      <c r="R213" s="305" t="str">
        <f>HYPERLINK("https://pubmed.ncbi.nlm.nih.gov/23045171/", "Beh (2013) - Transverse Myelitis")</f>
        <v>Beh (2013) - Transverse Myelitis</v>
      </c>
      <c r="S213" s="373" t="str">
        <f>HYPERLINK("https://pubmed.ncbi.nlm.nih.gov/12236201/", "TMCWG (2002) - Proposed Diagnostic Criteria and Nosology of Acute Transverse Myelitis")</f>
        <v>TMCWG (2002) - Proposed Diagnostic Criteria and Nosology of Acute Transverse Myelitis</v>
      </c>
      <c r="T213" s="307" t="s">
        <v>5161</v>
      </c>
      <c r="U213" s="294" t="s">
        <v>79</v>
      </c>
      <c r="V213" s="308" t="s">
        <v>3275</v>
      </c>
      <c r="W213" s="294" t="s">
        <v>150</v>
      </c>
      <c r="X213" s="309" t="s">
        <v>285</v>
      </c>
      <c r="Y213" s="76">
        <v>1.8</v>
      </c>
      <c r="Z213" s="78">
        <v>10.0</v>
      </c>
      <c r="AA213" s="78">
        <v>30.0</v>
      </c>
      <c r="AB213" s="294" t="s">
        <v>84</v>
      </c>
      <c r="AC213" s="303"/>
      <c r="AD213" s="303"/>
      <c r="AE213" s="303"/>
      <c r="AF213" s="303"/>
      <c r="AG213" s="303"/>
      <c r="AH213" s="303"/>
      <c r="AI213" s="311" t="s">
        <v>5162</v>
      </c>
      <c r="AJ213" s="311" t="s">
        <v>5163</v>
      </c>
      <c r="AK213" s="312" t="s">
        <v>5164</v>
      </c>
      <c r="AL213" s="313" t="s">
        <v>5165</v>
      </c>
      <c r="AM213" s="314" t="s">
        <v>5166</v>
      </c>
    </row>
    <row r="214">
      <c r="A214" s="807" t="s">
        <v>5167</v>
      </c>
      <c r="B214" s="808" t="s">
        <v>5168</v>
      </c>
      <c r="C214" s="809" t="s">
        <v>137</v>
      </c>
      <c r="D214" s="808" t="s">
        <v>5169</v>
      </c>
      <c r="E214" s="810" t="s">
        <v>5170</v>
      </c>
      <c r="F214" s="811" t="s">
        <v>1114</v>
      </c>
      <c r="G214" s="812" t="s">
        <v>5171</v>
      </c>
      <c r="H214" s="808" t="s">
        <v>5172</v>
      </c>
      <c r="I214" s="813" t="s">
        <v>5173</v>
      </c>
      <c r="J214" s="808" t="s">
        <v>5174</v>
      </c>
      <c r="K214" s="814" t="s">
        <v>5175</v>
      </c>
      <c r="L214" s="815"/>
      <c r="M214" s="816"/>
      <c r="N214" s="817"/>
      <c r="O214" s="816"/>
      <c r="P214" s="816"/>
      <c r="Q214" s="816"/>
      <c r="R214" s="818" t="str">
        <f>HYPERLINK("https://pubmed.ncbi.nlm.nih.gov/12470879/", "Arioglu (2002) - Clinical Course of Type B Insulin Resistance")</f>
        <v>Arioglu (2002) - Clinical Course of Type B Insulin Resistance</v>
      </c>
      <c r="S214" s="819" t="str">
        <f>HYPERLINK("https://pubmed.ncbi.nlm.nih.gov/176587/", "Kahn (1976) - Autoantibodies to Insulin Receptors in Type B Insulin Resistance")</f>
        <v>Kahn (1976) - Autoantibodies to Insulin Receptors in Type B Insulin Resistance</v>
      </c>
      <c r="T214" s="820" t="s">
        <v>5176</v>
      </c>
      <c r="U214" s="808" t="s">
        <v>150</v>
      </c>
      <c r="V214" s="821" t="s">
        <v>3020</v>
      </c>
      <c r="W214" s="808" t="s">
        <v>150</v>
      </c>
      <c r="X214" s="822" t="s">
        <v>285</v>
      </c>
      <c r="Y214" s="823"/>
      <c r="Z214" s="824"/>
      <c r="AA214" s="824"/>
      <c r="AB214" s="808"/>
      <c r="AC214" s="816"/>
      <c r="AD214" s="816"/>
      <c r="AE214" s="816"/>
      <c r="AF214" s="816"/>
      <c r="AG214" s="816"/>
      <c r="AH214" s="816"/>
      <c r="AI214" s="825" t="s">
        <v>5177</v>
      </c>
      <c r="AJ214" s="825" t="s">
        <v>5178</v>
      </c>
      <c r="AK214" s="826" t="s">
        <v>5179</v>
      </c>
      <c r="AL214" s="827" t="s">
        <v>5180</v>
      </c>
      <c r="AM214" s="828" t="s">
        <v>5181</v>
      </c>
    </row>
    <row r="215">
      <c r="A215" s="440" t="s">
        <v>767</v>
      </c>
      <c r="B215" s="441" t="s">
        <v>767</v>
      </c>
      <c r="C215" s="442" t="s">
        <v>59</v>
      </c>
      <c r="D215" s="441" t="s">
        <v>5182</v>
      </c>
      <c r="E215" s="443" t="s">
        <v>5183</v>
      </c>
      <c r="F215" s="444" t="s">
        <v>3355</v>
      </c>
      <c r="G215" s="445" t="s">
        <v>5184</v>
      </c>
      <c r="H215" s="441" t="s">
        <v>5185</v>
      </c>
      <c r="I215" s="449" t="s">
        <v>5186</v>
      </c>
      <c r="J215" s="441" t="s">
        <v>5187</v>
      </c>
      <c r="K215" s="447" t="s">
        <v>5188</v>
      </c>
      <c r="L215" s="448" t="s">
        <v>1185</v>
      </c>
      <c r="M215" s="460"/>
      <c r="N215" s="450"/>
      <c r="O215" s="460"/>
      <c r="P215" s="460"/>
      <c r="Q215" s="460"/>
      <c r="R215" s="461" t="str">
        <f>HYPERLINK("https://pubmed.ncbi.nlm.nih.gov/27989361/", "Ungaro (2017) - Ulcerative Colitis")</f>
        <v>Ungaro (2017) - Ulcerative Colitis</v>
      </c>
      <c r="S215" s="451" t="str">
        <f>HYPERLINK("[link removed]", "Truelove &amp; Witts (1955) - Cortisone in Ulcerative Colitis: Final Report on a Therapeutic Trial")</f>
        <v>Truelove &amp; Witts (1955) - Cortisone in Ulcerative Colitis: Final Report on a Therapeutic Trial</v>
      </c>
      <c r="T215" s="453" t="s">
        <v>5189</v>
      </c>
      <c r="U215" s="441" t="s">
        <v>150</v>
      </c>
      <c r="V215" s="454" t="s">
        <v>4220</v>
      </c>
      <c r="W215" s="441" t="s">
        <v>150</v>
      </c>
      <c r="X215" s="455" t="s">
        <v>5190</v>
      </c>
      <c r="Y215" s="76">
        <v>1.2</v>
      </c>
      <c r="Z215" s="78">
        <v>15.0</v>
      </c>
      <c r="AA215" s="78">
        <v>30.0</v>
      </c>
      <c r="AB215" s="441" t="s">
        <v>153</v>
      </c>
      <c r="AC215" s="460"/>
      <c r="AD215" s="460"/>
      <c r="AE215" s="460"/>
      <c r="AF215" s="460"/>
      <c r="AG215" s="460"/>
      <c r="AH215" s="460"/>
      <c r="AI215" s="456" t="s">
        <v>5191</v>
      </c>
      <c r="AJ215" s="456" t="s">
        <v>5192</v>
      </c>
      <c r="AK215" s="457" t="s">
        <v>5193</v>
      </c>
      <c r="AL215" s="458" t="s">
        <v>5194</v>
      </c>
      <c r="AM215" s="459" t="s">
        <v>5195</v>
      </c>
    </row>
    <row r="216">
      <c r="A216" s="201" t="s">
        <v>1628</v>
      </c>
      <c r="B216" s="203" t="s">
        <v>5196</v>
      </c>
      <c r="C216" s="204" t="s">
        <v>137</v>
      </c>
      <c r="D216" s="203" t="s">
        <v>5197</v>
      </c>
      <c r="E216" s="205" t="s">
        <v>5198</v>
      </c>
      <c r="F216" s="206" t="s">
        <v>234</v>
      </c>
      <c r="G216" s="208" t="s">
        <v>5199</v>
      </c>
      <c r="H216" s="203" t="s">
        <v>5200</v>
      </c>
      <c r="I216" s="209" t="s">
        <v>5201</v>
      </c>
      <c r="J216" s="203" t="s">
        <v>5202</v>
      </c>
      <c r="K216" s="210" t="s">
        <v>5203</v>
      </c>
      <c r="L216" s="212" t="s">
        <v>137</v>
      </c>
      <c r="M216" s="286"/>
      <c r="N216" s="213"/>
      <c r="O216" s="286"/>
      <c r="P216" s="286"/>
      <c r="Q216" s="286"/>
      <c r="R216" s="390" t="str">
        <f>HYPERLINK("[link removed]", "Mosca (2014) - Undifferentiated Connective Tissue Diseases")</f>
        <v>Mosca (2014) - Undifferentiated Connective Tissue Diseases</v>
      </c>
      <c r="S216" s="217" t="str">
        <f>HYPERLINK("[link removed]", "Mosca (1999) - Undifferentiated Connective Tissue Diseases (UCTD): A Review of the Literature")</f>
        <v>Mosca (1999) - Undifferentiated Connective Tissue Diseases (UCTD): A Review of the Literature</v>
      </c>
      <c r="T216" s="223" t="s">
        <v>5204</v>
      </c>
      <c r="U216" s="203" t="s">
        <v>150</v>
      </c>
      <c r="V216" s="224" t="s">
        <v>2818</v>
      </c>
      <c r="W216" s="203" t="s">
        <v>79</v>
      </c>
      <c r="X216" s="225" t="s">
        <v>4298</v>
      </c>
      <c r="Y216" s="76">
        <v>0.0</v>
      </c>
      <c r="Z216" s="78">
        <v>30.0</v>
      </c>
      <c r="AA216" s="78">
        <v>50.0</v>
      </c>
      <c r="AB216" s="203" t="s">
        <v>153</v>
      </c>
      <c r="AC216" s="286"/>
      <c r="AD216" s="286"/>
      <c r="AE216" s="286"/>
      <c r="AF216" s="286"/>
      <c r="AG216" s="286"/>
      <c r="AH216" s="286"/>
      <c r="AI216" s="227" t="s">
        <v>5205</v>
      </c>
      <c r="AJ216" s="227" t="s">
        <v>5206</v>
      </c>
      <c r="AK216" s="228" t="s">
        <v>5207</v>
      </c>
      <c r="AL216" s="391" t="s">
        <v>5208</v>
      </c>
      <c r="AM216" s="392" t="s">
        <v>5209</v>
      </c>
    </row>
    <row r="217">
      <c r="A217" s="114" t="s">
        <v>1631</v>
      </c>
      <c r="B217" s="115" t="s">
        <v>1631</v>
      </c>
      <c r="C217" s="116" t="s">
        <v>59</v>
      </c>
      <c r="D217" s="115" t="s">
        <v>5210</v>
      </c>
      <c r="E217" s="118" t="s">
        <v>5211</v>
      </c>
      <c r="F217" s="120" t="s">
        <v>133</v>
      </c>
      <c r="G217" s="121" t="s">
        <v>5212</v>
      </c>
      <c r="H217" s="115" t="s">
        <v>5213</v>
      </c>
      <c r="I217" s="125" t="s">
        <v>5214</v>
      </c>
      <c r="J217" s="115" t="s">
        <v>5215</v>
      </c>
      <c r="K217" s="128" t="s">
        <v>5216</v>
      </c>
      <c r="L217" s="129" t="s">
        <v>71</v>
      </c>
      <c r="M217" s="130"/>
      <c r="N217" s="132"/>
      <c r="O217" s="130"/>
      <c r="P217" s="130"/>
      <c r="Q217" s="130"/>
      <c r="R217" s="133" t="str">
        <f>HYPERLINK("https://pubmed.ncbi.nlm.nih.gov/28735882/", "Marzano (2017) - Urticarial Vasculitis: A Review")</f>
        <v>Marzano (2017) - Urticarial Vasculitis: A Review</v>
      </c>
      <c r="S217" s="376" t="str">
        <f>HYPERLINK("https://pubmed.ncbi.nlm.nih.gov/1539967/", "Mehregan (1992) - Urticarial Vasculitis: A Histopathologic and Clinical Review of 72 Cases")</f>
        <v>Mehregan (1992) - Urticarial Vasculitis: A Histopathologic and Clinical Review of 72 Cases</v>
      </c>
      <c r="T217" s="135" t="s">
        <v>5217</v>
      </c>
      <c r="U217" s="115" t="s">
        <v>150</v>
      </c>
      <c r="V217" s="136" t="s">
        <v>879</v>
      </c>
      <c r="W217" s="115" t="s">
        <v>150</v>
      </c>
      <c r="X217" s="560" t="s">
        <v>4298</v>
      </c>
      <c r="Y217" s="561"/>
      <c r="Z217" s="289"/>
      <c r="AA217" s="289"/>
      <c r="AB217" s="115" t="s">
        <v>153</v>
      </c>
      <c r="AC217" s="130"/>
      <c r="AD217" s="130"/>
      <c r="AE217" s="130"/>
      <c r="AF217" s="130"/>
      <c r="AG217" s="130"/>
      <c r="AH217" s="130"/>
      <c r="AI217" s="138" t="s">
        <v>5218</v>
      </c>
      <c r="AJ217" s="138" t="s">
        <v>5219</v>
      </c>
      <c r="AK217" s="140" t="s">
        <v>5220</v>
      </c>
      <c r="AL217" s="142" t="s">
        <v>5221</v>
      </c>
      <c r="AM217" s="145" t="s">
        <v>5222</v>
      </c>
    </row>
    <row r="218">
      <c r="A218" s="244" t="s">
        <v>1632</v>
      </c>
      <c r="B218" s="245" t="s">
        <v>5223</v>
      </c>
      <c r="C218" s="246" t="s">
        <v>59</v>
      </c>
      <c r="D218" s="245" t="s">
        <v>5224</v>
      </c>
      <c r="E218" s="247" t="s">
        <v>5225</v>
      </c>
      <c r="F218" s="248" t="s">
        <v>301</v>
      </c>
      <c r="G218" s="249" t="s">
        <v>5028</v>
      </c>
      <c r="H218" s="245" t="s">
        <v>5226</v>
      </c>
      <c r="I218" s="250" t="s">
        <v>5227</v>
      </c>
      <c r="J218" s="245" t="s">
        <v>5228</v>
      </c>
      <c r="K218" s="252" t="s">
        <v>5229</v>
      </c>
      <c r="L218" s="253" t="s">
        <v>941</v>
      </c>
      <c r="M218" s="254"/>
      <c r="N218" s="255"/>
      <c r="O218" s="254"/>
      <c r="P218" s="254"/>
      <c r="Q218" s="254"/>
      <c r="R218" s="258" t="str">
        <f>HYPERLINK("https://pubmed.ncbi.nlm.nih.gov/31332213/", "Rosenbaum (2019) - Uveitis")</f>
        <v>Rosenbaum (2019) - Uveitis</v>
      </c>
      <c r="S218" s="516" t="str">
        <f>HYPERLINK("https://pubmed.ncbi.nlm.nih.gov/16140686/", "Jabs (2005) - Standardization of Uveitis Nomenclature for Reporting Clinical Data (SUN)")</f>
        <v>Jabs (2005) - Standardization of Uveitis Nomenclature for Reporting Clinical Data (SUN)</v>
      </c>
      <c r="T218" s="265" t="s">
        <v>5230</v>
      </c>
      <c r="U218" s="245" t="s">
        <v>150</v>
      </c>
      <c r="V218" s="266" t="s">
        <v>5231</v>
      </c>
      <c r="W218" s="245" t="s">
        <v>150</v>
      </c>
      <c r="X218" s="267" t="s">
        <v>5232</v>
      </c>
      <c r="Y218" s="268"/>
      <c r="Z218" s="588"/>
      <c r="AA218" s="588"/>
      <c r="AB218" s="245" t="s">
        <v>153</v>
      </c>
      <c r="AC218" s="254"/>
      <c r="AD218" s="254"/>
      <c r="AE218" s="254"/>
      <c r="AF218" s="254"/>
      <c r="AG218" s="254"/>
      <c r="AH218" s="254"/>
      <c r="AI218" s="270" t="s">
        <v>5233</v>
      </c>
      <c r="AJ218" s="270" t="s">
        <v>5234</v>
      </c>
      <c r="AK218" s="271" t="s">
        <v>5235</v>
      </c>
      <c r="AL218" s="829" t="s">
        <v>5236</v>
      </c>
      <c r="AM218" s="830" t="s">
        <v>5237</v>
      </c>
    </row>
    <row r="219">
      <c r="A219" s="148" t="s">
        <v>1635</v>
      </c>
      <c r="B219" s="149" t="s">
        <v>5238</v>
      </c>
      <c r="C219" s="150" t="s">
        <v>59</v>
      </c>
      <c r="D219" s="149" t="s">
        <v>5239</v>
      </c>
      <c r="E219" s="152" t="s">
        <v>5240</v>
      </c>
      <c r="F219" s="153" t="s">
        <v>168</v>
      </c>
      <c r="G219" s="156" t="s">
        <v>5241</v>
      </c>
      <c r="H219" s="149" t="s">
        <v>5242</v>
      </c>
      <c r="I219" s="158" t="s">
        <v>5243</v>
      </c>
      <c r="J219" s="149" t="s">
        <v>5244</v>
      </c>
      <c r="K219" s="161" t="s">
        <v>5245</v>
      </c>
      <c r="L219" s="162" t="s">
        <v>71</v>
      </c>
      <c r="M219" s="163"/>
      <c r="N219" s="164"/>
      <c r="O219" s="163"/>
      <c r="P219" s="163"/>
      <c r="Q219" s="163"/>
      <c r="R219" s="165" t="str">
        <f>HYPERLINK("https://pubmed.ncbi.nlm.nih.gov/25596811/", "Ezzedine (2015) - Vitiligo")</f>
        <v>Ezzedine (2015) - Vitiligo</v>
      </c>
      <c r="S219" s="584" t="str">
        <f>HYPERLINK("https://pubmed.ncbi.nlm.nih.gov/17504441/", "Taïeb &amp; Picardo (2007) - The Definition and Assessment of Vitiligo: A Consensus Report")</f>
        <v>Taïeb &amp; Picardo (2007) - The Definition and Assessment of Vitiligo: A Consensus Report</v>
      </c>
      <c r="T219" s="167" t="s">
        <v>5246</v>
      </c>
      <c r="U219" s="149" t="s">
        <v>150</v>
      </c>
      <c r="V219" s="168" t="s">
        <v>5247</v>
      </c>
      <c r="W219" s="149" t="s">
        <v>150</v>
      </c>
      <c r="X219" s="169" t="s">
        <v>2101</v>
      </c>
      <c r="Y219" s="76">
        <v>1.3</v>
      </c>
      <c r="Z219" s="78">
        <v>20.0</v>
      </c>
      <c r="AA219" s="78">
        <v>20.0</v>
      </c>
      <c r="AB219" s="149" t="s">
        <v>153</v>
      </c>
      <c r="AC219" s="163"/>
      <c r="AD219" s="163"/>
      <c r="AE219" s="163"/>
      <c r="AF219" s="163"/>
      <c r="AG219" s="163"/>
      <c r="AH219" s="163"/>
      <c r="AI219" s="171" t="s">
        <v>5248</v>
      </c>
      <c r="AJ219" s="171" t="s">
        <v>5249</v>
      </c>
      <c r="AK219" s="172" t="s">
        <v>5250</v>
      </c>
      <c r="AL219" s="663" t="s">
        <v>5251</v>
      </c>
      <c r="AM219" s="664" t="s">
        <v>5252</v>
      </c>
    </row>
    <row r="220">
      <c r="A220" s="114" t="s">
        <v>1637</v>
      </c>
      <c r="B220" s="115" t="s">
        <v>1637</v>
      </c>
      <c r="C220" s="116" t="s">
        <v>59</v>
      </c>
      <c r="D220" s="115" t="s">
        <v>5253</v>
      </c>
      <c r="E220" s="118" t="s">
        <v>5254</v>
      </c>
      <c r="F220" s="120" t="s">
        <v>133</v>
      </c>
      <c r="G220" s="121" t="s">
        <v>5255</v>
      </c>
      <c r="H220" s="115" t="s">
        <v>5256</v>
      </c>
      <c r="I220" s="125" t="s">
        <v>5257</v>
      </c>
      <c r="J220" s="115" t="s">
        <v>5258</v>
      </c>
      <c r="K220" s="128" t="s">
        <v>5259</v>
      </c>
      <c r="L220" s="129" t="s">
        <v>71</v>
      </c>
      <c r="M220" s="130"/>
      <c r="N220" s="132"/>
      <c r="O220" s="130"/>
      <c r="P220" s="130"/>
      <c r="Q220" s="130"/>
      <c r="R220" s="133" t="str">
        <f>HYPERLINK("https://pubmed.ncbi.nlm.nih.gov/27048663/", "Du (2016) - Vogt-Koyanagi-Harada Disease: Novel Insights into Pathogenesis and Treatment")</f>
        <v>Du (2016) - Vogt-Koyanagi-Harada Disease: Novel Insights into Pathogenesis and Treatment</v>
      </c>
      <c r="S220" s="376" t="str">
        <f>HYPERLINK("https://pubmed.ncbi.nlm.nih.gov/11384563/", "Read (2001) - Revised Diagnostic Criteria for Vogt-Koyanagi-Harada Disease")</f>
        <v>Read (2001) - Revised Diagnostic Criteria for Vogt-Koyanagi-Harada Disease</v>
      </c>
      <c r="T220" s="135" t="s">
        <v>5260</v>
      </c>
      <c r="U220" s="115" t="s">
        <v>79</v>
      </c>
      <c r="V220" s="136" t="s">
        <v>5261</v>
      </c>
      <c r="W220" s="115" t="s">
        <v>79</v>
      </c>
      <c r="X220" s="137" t="s">
        <v>5262</v>
      </c>
      <c r="Y220" s="76">
        <v>2.8</v>
      </c>
      <c r="Z220" s="78">
        <v>30.0</v>
      </c>
      <c r="AA220" s="78">
        <v>40.0</v>
      </c>
      <c r="AB220" s="115" t="s">
        <v>153</v>
      </c>
      <c r="AC220" s="130"/>
      <c r="AD220" s="130"/>
      <c r="AE220" s="130"/>
      <c r="AF220" s="130"/>
      <c r="AG220" s="130"/>
      <c r="AH220" s="130"/>
      <c r="AI220" s="138" t="s">
        <v>5263</v>
      </c>
      <c r="AJ220" s="138" t="s">
        <v>5264</v>
      </c>
      <c r="AK220" s="140" t="s">
        <v>5265</v>
      </c>
      <c r="AL220" s="142" t="s">
        <v>5266</v>
      </c>
      <c r="AM220" s="145" t="s">
        <v>5267</v>
      </c>
    </row>
    <row r="221">
      <c r="A221" s="47" t="s">
        <v>1638</v>
      </c>
      <c r="B221" s="48" t="s">
        <v>5268</v>
      </c>
      <c r="C221" s="49" t="s">
        <v>59</v>
      </c>
      <c r="D221" s="48" t="s">
        <v>5269</v>
      </c>
      <c r="E221" s="51" t="s">
        <v>5270</v>
      </c>
      <c r="F221" s="53" t="s">
        <v>62</v>
      </c>
      <c r="G221" s="56" t="s">
        <v>5271</v>
      </c>
      <c r="H221" s="48" t="s">
        <v>3312</v>
      </c>
      <c r="I221" s="58" t="s">
        <v>5272</v>
      </c>
      <c r="J221" s="48" t="s">
        <v>5273</v>
      </c>
      <c r="K221" s="60" t="s">
        <v>5274</v>
      </c>
      <c r="L221" s="63" t="s">
        <v>71</v>
      </c>
      <c r="M221" s="394"/>
      <c r="N221" s="65"/>
      <c r="O221" s="394"/>
      <c r="P221" s="394"/>
      <c r="Q221" s="394"/>
      <c r="R221" s="395" t="str">
        <f>HYPERLINK("[link removed]", "Barcellini (2014) - Diagnosis and Treatment of Warm Autoimmune Hemolytic Anemia")</f>
        <v>Barcellini (2014) - Diagnosis and Treatment of Warm Autoimmune Hemolytic Anemia</v>
      </c>
      <c r="S221" s="70" t="str">
        <f>HYPERLINK("https://pubmed.ncbi.nlm.nih.gov/1469080/", "Sokol (1992) - Autoimmune Haemolytic Anaemia: Clinical Presentation and Laboratory Findings")</f>
        <v>Sokol (1992) - Autoimmune Haemolytic Anaemia: Clinical Presentation and Laboratory Findings</v>
      </c>
      <c r="T221" s="377" t="s">
        <v>5275</v>
      </c>
      <c r="U221" s="48" t="s">
        <v>150</v>
      </c>
      <c r="V221" s="73" t="s">
        <v>879</v>
      </c>
      <c r="W221" s="48" t="s">
        <v>150</v>
      </c>
      <c r="X221" s="75" t="s">
        <v>5276</v>
      </c>
      <c r="Y221" s="76">
        <v>1.4</v>
      </c>
      <c r="Z221" s="78">
        <v>30.0</v>
      </c>
      <c r="AA221" s="78">
        <v>60.0</v>
      </c>
      <c r="AB221" s="48" t="s">
        <v>153</v>
      </c>
      <c r="AC221" s="394"/>
      <c r="AD221" s="394"/>
      <c r="AE221" s="394"/>
      <c r="AF221" s="394"/>
      <c r="AG221" s="394"/>
      <c r="AH221" s="394"/>
      <c r="AI221" s="84" t="s">
        <v>5277</v>
      </c>
      <c r="AJ221" s="84" t="s">
        <v>5278</v>
      </c>
      <c r="AK221" s="85" t="s">
        <v>5279</v>
      </c>
      <c r="AL221" s="379" t="s">
        <v>5280</v>
      </c>
      <c r="AM221" s="380" t="s">
        <v>5281</v>
      </c>
    </row>
  </sheetData>
  <autoFilter ref="$A$1:$AM$221">
    <sortState ref="A1:AM221">
      <sortCondition ref="A1:A221"/>
    </sortState>
  </autoFilter>
  <dataValidations>
    <dataValidation type="list" allowBlank="1" showErrorMessage="1" sqref="W2:W221">
      <formula1>"incidence,prevalence"</formula1>
    </dataValidation>
    <dataValidation type="list" allowBlank="1" showErrorMessage="1" sqref="C2:C221">
      <formula1>"Autoimmune,Autoinflammatory,Unconfirmed,None"</formula1>
    </dataValidation>
    <dataValidation type="list" allowBlank="1" showErrorMessage="1" sqref="L2:L221">
      <formula1>"Antibody,Unconfirmed,TCD4+,Antibody Suspected,Immune-mediated,TCELL + Antibody,TCD8+,TCD4+/8+"</formula1>
    </dataValidation>
    <dataValidation type="list" allowBlank="1" sqref="U2:U221">
      <formula1>"incidence,prevalence"</formula1>
    </dataValidation>
  </dataValidations>
  <hyperlinks>
    <hyperlink r:id="rId2" ref="E74"/>
    <hyperlink r:id="rId3" ref="I160"/>
    <hyperlink r:id="rId4" ref="I187"/>
  </hyperlinks>
  <printOptions/>
  <pageMargins bottom="0.75" footer="0.0" header="0.0" left="0.7" right="0.7" top="0.75"/>
  <pageSetup orientation="portrait"/>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9.86"/>
    <col customWidth="1" min="2" max="5" width="35.71"/>
    <col customWidth="1" min="6" max="6" width="108.14"/>
    <col customWidth="1" min="7" max="7" width="20.86"/>
    <col customWidth="1" min="8" max="8" width="11.14"/>
    <col customWidth="1" min="9" max="9" width="6.43"/>
    <col customWidth="1" min="10" max="10" width="21.86"/>
    <col customWidth="1" min="11" max="11" width="7.86"/>
    <col customWidth="1" min="12" max="13" width="6.14"/>
  </cols>
  <sheetData>
    <row r="1" ht="258.75" customHeight="1">
      <c r="A1" s="1" t="s">
        <v>1</v>
      </c>
      <c r="B1" s="3" t="s">
        <v>2</v>
      </c>
      <c r="C1" s="4" t="s">
        <v>4</v>
      </c>
      <c r="D1" s="6" t="s">
        <v>5</v>
      </c>
      <c r="E1" s="8" t="s">
        <v>7</v>
      </c>
      <c r="F1" s="10" t="s">
        <v>9</v>
      </c>
      <c r="G1" s="11" t="s">
        <v>10</v>
      </c>
      <c r="H1" s="13" t="s">
        <v>12</v>
      </c>
      <c r="I1" s="15" t="s">
        <v>14</v>
      </c>
      <c r="J1" s="17" t="s">
        <v>16</v>
      </c>
      <c r="K1" s="18"/>
      <c r="L1" s="20"/>
      <c r="M1" s="20"/>
    </row>
    <row r="2" ht="201.0" customHeight="1">
      <c r="A2" s="22" t="s">
        <v>19</v>
      </c>
      <c r="B2" s="24" t="s">
        <v>21</v>
      </c>
      <c r="C2" s="25" t="s">
        <v>22</v>
      </c>
      <c r="D2" s="22" t="str">
        <f t="shared" ref="D2:D707" si="1">+IF(AND(A2=B2,OR(E2="N",E2="Z")),"L","O")</f>
        <v>O</v>
      </c>
      <c r="E2" s="22" t="s">
        <v>34</v>
      </c>
      <c r="F2" s="34">
        <v>2772003.0</v>
      </c>
      <c r="G2" s="35">
        <v>2772003.0</v>
      </c>
      <c r="H2" s="37">
        <v>4100661.0</v>
      </c>
      <c r="I2" s="37">
        <v>1.0</v>
      </c>
      <c r="J2" s="41" t="str">
        <f t="shared" ref="J2:J707" si="2">+CONCAT("select """,A2,""" disease, """,F2,""" snomed,",H2," conceptid,""",#REF!,""" autoimmune union all")</f>
        <v>#N/A</v>
      </c>
      <c r="K2" s="44">
        <f>+IF(E2="A","J2",IF(F2=F1,+NUMBERVALUE(G1)+0.1,F2))</f>
        <v>2772003</v>
      </c>
      <c r="L2" s="45"/>
      <c r="M2" s="45"/>
    </row>
    <row r="3">
      <c r="A3" s="22" t="s">
        <v>19</v>
      </c>
      <c r="B3" s="22" t="s">
        <v>51</v>
      </c>
      <c r="C3" s="22"/>
      <c r="D3" s="22" t="str">
        <f t="shared" si="1"/>
        <v>O</v>
      </c>
      <c r="E3" s="22" t="s">
        <v>54</v>
      </c>
      <c r="F3" s="34">
        <v>2772003.0</v>
      </c>
      <c r="G3" s="35">
        <v>2772003.0</v>
      </c>
      <c r="H3" s="37"/>
      <c r="I3" s="37">
        <f t="shared" ref="I3:I112" si="3">+I2+1</f>
        <v>2</v>
      </c>
      <c r="J3" s="41" t="str">
        <f t="shared" si="2"/>
        <v>#N/A</v>
      </c>
      <c r="K3" s="41"/>
      <c r="L3" s="45"/>
      <c r="M3" s="45"/>
    </row>
    <row r="4">
      <c r="A4" s="22" t="s">
        <v>19</v>
      </c>
      <c r="B4" s="22" t="s">
        <v>56</v>
      </c>
      <c r="C4" s="22"/>
      <c r="D4" s="22" t="str">
        <f t="shared" si="1"/>
        <v>O</v>
      </c>
      <c r="E4" s="22" t="s">
        <v>57</v>
      </c>
      <c r="F4" s="34">
        <v>2772003.0</v>
      </c>
      <c r="G4" s="35">
        <v>2772003.1</v>
      </c>
      <c r="H4" s="37"/>
      <c r="I4" s="37">
        <f t="shared" si="3"/>
        <v>3</v>
      </c>
      <c r="J4" s="41" t="str">
        <f t="shared" si="2"/>
        <v>#N/A</v>
      </c>
      <c r="K4" s="41"/>
      <c r="L4" s="45"/>
      <c r="M4" s="45"/>
    </row>
    <row r="5">
      <c r="A5" s="22" t="s">
        <v>19</v>
      </c>
      <c r="B5" s="22" t="s">
        <v>58</v>
      </c>
      <c r="C5" s="22"/>
      <c r="D5" s="22" t="str">
        <f t="shared" si="1"/>
        <v>O</v>
      </c>
      <c r="E5" s="22" t="s">
        <v>57</v>
      </c>
      <c r="F5" s="34">
        <v>2772003.0</v>
      </c>
      <c r="G5" s="35">
        <v>2772003.2</v>
      </c>
      <c r="H5" s="37"/>
      <c r="I5" s="37">
        <f t="shared" si="3"/>
        <v>4</v>
      </c>
      <c r="J5" s="41" t="str">
        <f t="shared" si="2"/>
        <v>#N/A</v>
      </c>
      <c r="K5" s="41"/>
      <c r="L5" s="45"/>
      <c r="M5" s="45"/>
    </row>
    <row r="6">
      <c r="A6" s="50" t="s">
        <v>53</v>
      </c>
      <c r="B6" s="50" t="s">
        <v>53</v>
      </c>
      <c r="C6" s="50" t="s">
        <v>22</v>
      </c>
      <c r="D6" s="50" t="str">
        <f t="shared" si="1"/>
        <v>L</v>
      </c>
      <c r="E6" s="50" t="s">
        <v>34</v>
      </c>
      <c r="F6" s="52">
        <v>7.85308008E8</v>
      </c>
      <c r="G6" s="54">
        <v>7.85308008E8</v>
      </c>
      <c r="H6" s="55">
        <v>3.7203917E7</v>
      </c>
      <c r="I6" s="55">
        <f t="shared" si="3"/>
        <v>5</v>
      </c>
      <c r="J6" s="57" t="str">
        <f t="shared" si="2"/>
        <v>#N/A</v>
      </c>
      <c r="K6" s="57"/>
      <c r="L6" s="59"/>
      <c r="M6" s="59"/>
    </row>
    <row r="7">
      <c r="A7" s="50" t="s">
        <v>53</v>
      </c>
      <c r="B7" s="50" t="s">
        <v>67</v>
      </c>
      <c r="C7" s="50"/>
      <c r="D7" s="50" t="str">
        <f t="shared" si="1"/>
        <v>O</v>
      </c>
      <c r="E7" s="50" t="s">
        <v>57</v>
      </c>
      <c r="F7" s="52">
        <v>7.85308008E8</v>
      </c>
      <c r="G7" s="54">
        <v>7.853080081E8</v>
      </c>
      <c r="H7" s="55"/>
      <c r="I7" s="55">
        <f t="shared" si="3"/>
        <v>6</v>
      </c>
      <c r="J7" s="57" t="str">
        <f t="shared" si="2"/>
        <v>#N/A</v>
      </c>
      <c r="K7" s="57"/>
      <c r="L7" s="59"/>
      <c r="M7" s="59"/>
    </row>
    <row r="8">
      <c r="A8" s="61" t="s">
        <v>69</v>
      </c>
      <c r="B8" s="61" t="s">
        <v>70</v>
      </c>
      <c r="C8" s="61" t="s">
        <v>22</v>
      </c>
      <c r="D8" s="61" t="str">
        <f t="shared" si="1"/>
        <v>O</v>
      </c>
      <c r="E8" s="62" t="s">
        <v>72</v>
      </c>
      <c r="F8" s="64">
        <v>7.2986009E7</v>
      </c>
      <c r="G8" s="66">
        <v>7.2986009E7</v>
      </c>
      <c r="H8" s="67">
        <v>4249574.0</v>
      </c>
      <c r="I8" s="67">
        <f t="shared" si="3"/>
        <v>7</v>
      </c>
      <c r="J8" s="68" t="str">
        <f t="shared" si="2"/>
        <v>#N/A</v>
      </c>
      <c r="K8" s="68"/>
      <c r="L8" s="69"/>
      <c r="M8" s="69"/>
    </row>
    <row r="9">
      <c r="A9" s="61" t="s">
        <v>69</v>
      </c>
      <c r="B9" s="61" t="s">
        <v>73</v>
      </c>
      <c r="C9" s="61" t="s">
        <v>22</v>
      </c>
      <c r="D9" s="61" t="str">
        <f t="shared" si="1"/>
        <v>O</v>
      </c>
      <c r="E9" s="61" t="s">
        <v>57</v>
      </c>
      <c r="F9" s="64">
        <v>7.2986009E7</v>
      </c>
      <c r="G9" s="66" t="s">
        <v>74</v>
      </c>
      <c r="H9" s="67">
        <v>4249574.0</v>
      </c>
      <c r="I9" s="67">
        <f t="shared" si="3"/>
        <v>8</v>
      </c>
      <c r="J9" s="68" t="str">
        <f t="shared" si="2"/>
        <v>#N/A</v>
      </c>
      <c r="K9" s="68"/>
      <c r="L9" s="69"/>
      <c r="M9" s="69"/>
    </row>
    <row r="10">
      <c r="A10" s="61" t="s">
        <v>69</v>
      </c>
      <c r="B10" s="61" t="s">
        <v>75</v>
      </c>
      <c r="C10" s="61" t="s">
        <v>22</v>
      </c>
      <c r="D10" s="61" t="str">
        <f t="shared" si="1"/>
        <v>O</v>
      </c>
      <c r="E10" s="61" t="s">
        <v>57</v>
      </c>
      <c r="F10" s="64">
        <v>7.2986009E7</v>
      </c>
      <c r="G10" s="66" t="s">
        <v>76</v>
      </c>
      <c r="H10" s="67">
        <v>4249574.0</v>
      </c>
      <c r="I10" s="67">
        <f t="shared" si="3"/>
        <v>9</v>
      </c>
      <c r="J10" s="68" t="str">
        <f t="shared" si="2"/>
        <v>#N/A</v>
      </c>
      <c r="K10" s="68"/>
      <c r="L10" s="69"/>
      <c r="M10" s="69"/>
    </row>
    <row r="11">
      <c r="A11" s="61" t="s">
        <v>69</v>
      </c>
      <c r="B11" s="61" t="s">
        <v>69</v>
      </c>
      <c r="C11" s="61" t="s">
        <v>22</v>
      </c>
      <c r="D11" s="61" t="str">
        <f t="shared" si="1"/>
        <v>L</v>
      </c>
      <c r="E11" s="61" t="s">
        <v>34</v>
      </c>
      <c r="F11" s="64">
        <v>8.3942E7</v>
      </c>
      <c r="G11" s="66">
        <v>8.3942E7</v>
      </c>
      <c r="H11" s="67">
        <v>374021.0</v>
      </c>
      <c r="I11" s="67">
        <f t="shared" si="3"/>
        <v>10</v>
      </c>
      <c r="J11" s="68" t="str">
        <f t="shared" si="2"/>
        <v>#N/A</v>
      </c>
      <c r="K11" s="68"/>
      <c r="L11" s="69"/>
      <c r="M11" s="69"/>
    </row>
    <row r="12">
      <c r="A12" s="61" t="s">
        <v>69</v>
      </c>
      <c r="B12" s="61" t="s">
        <v>78</v>
      </c>
      <c r="C12" s="61"/>
      <c r="D12" s="61" t="str">
        <f t="shared" si="1"/>
        <v>O</v>
      </c>
      <c r="E12" s="62" t="s">
        <v>54</v>
      </c>
      <c r="F12" s="64">
        <v>8.3942E7</v>
      </c>
      <c r="G12" s="66">
        <v>8.3942E7</v>
      </c>
      <c r="H12" s="67"/>
      <c r="I12" s="67">
        <f t="shared" si="3"/>
        <v>11</v>
      </c>
      <c r="J12" s="68" t="str">
        <f t="shared" si="2"/>
        <v>#N/A</v>
      </c>
      <c r="K12" s="68"/>
      <c r="L12" s="69"/>
      <c r="M12" s="69"/>
    </row>
    <row r="13">
      <c r="A13" s="61" t="s">
        <v>69</v>
      </c>
      <c r="B13" s="61" t="s">
        <v>81</v>
      </c>
      <c r="C13" s="61"/>
      <c r="D13" s="61" t="str">
        <f t="shared" si="1"/>
        <v>O</v>
      </c>
      <c r="E13" s="61" t="s">
        <v>57</v>
      </c>
      <c r="F13" s="64">
        <v>8.3942E7</v>
      </c>
      <c r="G13" s="66">
        <v>8.39420001E7</v>
      </c>
      <c r="H13" s="67">
        <v>374021.0</v>
      </c>
      <c r="I13" s="67">
        <f t="shared" si="3"/>
        <v>12</v>
      </c>
      <c r="J13" s="68" t="str">
        <f t="shared" si="2"/>
        <v>#N/A</v>
      </c>
      <c r="K13" s="68"/>
      <c r="L13" s="69"/>
      <c r="M13" s="69"/>
    </row>
    <row r="14">
      <c r="A14" s="74" t="s">
        <v>82</v>
      </c>
      <c r="B14" s="74" t="s">
        <v>82</v>
      </c>
      <c r="C14" s="77" t="s">
        <v>83</v>
      </c>
      <c r="D14" s="74" t="str">
        <f t="shared" si="1"/>
        <v>L</v>
      </c>
      <c r="E14" s="74" t="s">
        <v>34</v>
      </c>
      <c r="F14" s="79">
        <v>7.5053002E7</v>
      </c>
      <c r="G14" s="80" t="s">
        <v>85</v>
      </c>
      <c r="H14" s="81">
        <v>314381.0</v>
      </c>
      <c r="I14" s="81">
        <f t="shared" si="3"/>
        <v>13</v>
      </c>
      <c r="J14" s="82" t="str">
        <f t="shared" si="2"/>
        <v>#N/A</v>
      </c>
      <c r="K14" s="82"/>
      <c r="L14" s="83"/>
      <c r="M14" s="83"/>
    </row>
    <row r="15">
      <c r="A15" s="74" t="s">
        <v>82</v>
      </c>
      <c r="B15" s="74" t="s">
        <v>88</v>
      </c>
      <c r="C15" s="74"/>
      <c r="D15" s="74" t="str">
        <f t="shared" si="1"/>
        <v>O</v>
      </c>
      <c r="E15" s="74" t="s">
        <v>57</v>
      </c>
      <c r="F15" s="79">
        <v>7.5053002E7</v>
      </c>
      <c r="G15" s="80" t="s">
        <v>90</v>
      </c>
      <c r="H15" s="81"/>
      <c r="I15" s="81">
        <f t="shared" si="3"/>
        <v>14</v>
      </c>
      <c r="J15" s="82" t="str">
        <f t="shared" si="2"/>
        <v>#N/A</v>
      </c>
      <c r="K15" s="82"/>
      <c r="L15" s="83"/>
      <c r="M15" s="83"/>
    </row>
    <row r="16">
      <c r="A16" s="74" t="s">
        <v>82</v>
      </c>
      <c r="B16" s="74" t="s">
        <v>93</v>
      </c>
      <c r="C16" s="77" t="s">
        <v>83</v>
      </c>
      <c r="D16" s="74" t="str">
        <f t="shared" si="1"/>
        <v>O</v>
      </c>
      <c r="E16" s="74" t="s">
        <v>57</v>
      </c>
      <c r="F16" s="79">
        <v>7.5053002E7</v>
      </c>
      <c r="G16" s="80" t="s">
        <v>94</v>
      </c>
      <c r="H16" s="81">
        <v>314381.0</v>
      </c>
      <c r="I16" s="81">
        <f t="shared" si="3"/>
        <v>15</v>
      </c>
      <c r="J16" s="82" t="str">
        <f t="shared" si="2"/>
        <v>#N/A</v>
      </c>
      <c r="K16" s="82"/>
      <c r="L16" s="83"/>
      <c r="M16" s="83"/>
    </row>
    <row r="17">
      <c r="A17" s="74" t="s">
        <v>82</v>
      </c>
      <c r="B17" s="74" t="s">
        <v>96</v>
      </c>
      <c r="C17" s="74"/>
      <c r="D17" s="74" t="str">
        <f t="shared" si="1"/>
        <v>O</v>
      </c>
      <c r="E17" s="74" t="s">
        <v>57</v>
      </c>
      <c r="F17" s="79">
        <v>7.5053002E7</v>
      </c>
      <c r="G17" s="80" t="s">
        <v>97</v>
      </c>
      <c r="H17" s="81"/>
      <c r="I17" s="81">
        <f t="shared" si="3"/>
        <v>16</v>
      </c>
      <c r="J17" s="82" t="str">
        <f t="shared" si="2"/>
        <v>#N/A</v>
      </c>
      <c r="K17" s="82"/>
      <c r="L17" s="83"/>
      <c r="M17" s="83"/>
    </row>
    <row r="18">
      <c r="A18" s="74" t="s">
        <v>82</v>
      </c>
      <c r="B18" s="74" t="s">
        <v>100</v>
      </c>
      <c r="C18" s="74"/>
      <c r="D18" s="74" t="str">
        <f t="shared" si="1"/>
        <v>O</v>
      </c>
      <c r="E18" s="74" t="s">
        <v>57</v>
      </c>
      <c r="F18" s="79">
        <v>7.5053002E7</v>
      </c>
      <c r="G18" s="80" t="s">
        <v>102</v>
      </c>
      <c r="H18" s="81"/>
      <c r="I18" s="81">
        <f t="shared" si="3"/>
        <v>17</v>
      </c>
      <c r="J18" s="82" t="str">
        <f t="shared" si="2"/>
        <v>#N/A</v>
      </c>
      <c r="K18" s="82"/>
      <c r="L18" s="83"/>
      <c r="M18" s="83"/>
    </row>
    <row r="19">
      <c r="A19" s="22" t="s">
        <v>106</v>
      </c>
      <c r="B19" s="22" t="s">
        <v>106</v>
      </c>
      <c r="C19" s="95" t="s">
        <v>83</v>
      </c>
      <c r="D19" s="22" t="str">
        <f t="shared" si="1"/>
        <v>L</v>
      </c>
      <c r="E19" s="22" t="s">
        <v>34</v>
      </c>
      <c r="F19" s="34">
        <v>8.6487001E7</v>
      </c>
      <c r="G19" s="35">
        <v>8.6487001E7</v>
      </c>
      <c r="H19" s="37">
        <v>4314705.0</v>
      </c>
      <c r="I19" s="37">
        <f t="shared" si="3"/>
        <v>18</v>
      </c>
      <c r="J19" s="41" t="str">
        <f t="shared" si="2"/>
        <v>#N/A</v>
      </c>
      <c r="K19" s="41"/>
      <c r="L19" s="45"/>
      <c r="M19" s="45"/>
    </row>
    <row r="20">
      <c r="A20" s="22" t="s">
        <v>106</v>
      </c>
      <c r="B20" s="22" t="s">
        <v>109</v>
      </c>
      <c r="C20" s="22"/>
      <c r="D20" s="22" t="str">
        <f t="shared" si="1"/>
        <v>O</v>
      </c>
      <c r="E20" s="22" t="s">
        <v>54</v>
      </c>
      <c r="F20" s="34">
        <v>8.6487001E7</v>
      </c>
      <c r="G20" s="35">
        <v>8.6487001E7</v>
      </c>
      <c r="H20" s="37"/>
      <c r="I20" s="37">
        <f t="shared" si="3"/>
        <v>19</v>
      </c>
      <c r="J20" s="41" t="str">
        <f t="shared" si="2"/>
        <v>#N/A</v>
      </c>
      <c r="K20" s="41"/>
      <c r="L20" s="45"/>
      <c r="M20" s="45"/>
    </row>
    <row r="21">
      <c r="A21" s="22" t="s">
        <v>106</v>
      </c>
      <c r="B21" s="22" t="s">
        <v>110</v>
      </c>
      <c r="C21" s="22"/>
      <c r="D21" s="22" t="str">
        <f t="shared" si="1"/>
        <v>O</v>
      </c>
      <c r="E21" s="22" t="s">
        <v>57</v>
      </c>
      <c r="F21" s="34">
        <v>8.6487001E7</v>
      </c>
      <c r="G21" s="35">
        <v>8.64870011E7</v>
      </c>
      <c r="H21" s="37"/>
      <c r="I21" s="37">
        <f t="shared" si="3"/>
        <v>20</v>
      </c>
      <c r="J21" s="41" t="str">
        <f t="shared" si="2"/>
        <v>#N/A</v>
      </c>
      <c r="K21" s="41"/>
      <c r="L21" s="45"/>
      <c r="M21" s="45"/>
    </row>
    <row r="22">
      <c r="A22" s="22" t="s">
        <v>106</v>
      </c>
      <c r="B22" s="22" t="s">
        <v>111</v>
      </c>
      <c r="C22" s="95" t="s">
        <v>83</v>
      </c>
      <c r="D22" s="22" t="str">
        <f t="shared" si="1"/>
        <v>O</v>
      </c>
      <c r="E22" s="22" t="s">
        <v>57</v>
      </c>
      <c r="F22" s="34">
        <v>8.6487001E7</v>
      </c>
      <c r="G22" s="35">
        <v>8.648700119999999E7</v>
      </c>
      <c r="H22" s="37">
        <v>4314705.0</v>
      </c>
      <c r="I22" s="37">
        <f t="shared" si="3"/>
        <v>21</v>
      </c>
      <c r="J22" s="41" t="str">
        <f t="shared" si="2"/>
        <v>#N/A</v>
      </c>
      <c r="K22" s="41"/>
      <c r="L22" s="45"/>
      <c r="M22" s="45"/>
    </row>
    <row r="23">
      <c r="A23" s="22" t="s">
        <v>106</v>
      </c>
      <c r="B23" s="22" t="s">
        <v>112</v>
      </c>
      <c r="C23" s="95" t="s">
        <v>83</v>
      </c>
      <c r="D23" s="22" t="str">
        <f t="shared" si="1"/>
        <v>O</v>
      </c>
      <c r="E23" s="22" t="s">
        <v>57</v>
      </c>
      <c r="F23" s="34">
        <v>8.6487001E7</v>
      </c>
      <c r="G23" s="35">
        <v>8.64870013E7</v>
      </c>
      <c r="H23" s="37">
        <v>4314705.0</v>
      </c>
      <c r="I23" s="37">
        <f t="shared" si="3"/>
        <v>22</v>
      </c>
      <c r="J23" s="41" t="str">
        <f t="shared" si="2"/>
        <v>#N/A</v>
      </c>
      <c r="K23" s="41"/>
      <c r="L23" s="45"/>
      <c r="M23" s="45"/>
    </row>
    <row r="24">
      <c r="A24" s="103" t="s">
        <v>115</v>
      </c>
      <c r="B24" s="103" t="s">
        <v>115</v>
      </c>
      <c r="C24" s="103" t="s">
        <v>83</v>
      </c>
      <c r="D24" s="103" t="str">
        <f t="shared" si="1"/>
        <v>L</v>
      </c>
      <c r="E24" s="103" t="s">
        <v>34</v>
      </c>
      <c r="F24" s="105">
        <v>3.63732003E8</v>
      </c>
      <c r="G24" s="106">
        <v>3.63732003E8</v>
      </c>
      <c r="H24" s="107">
        <v>443394.0</v>
      </c>
      <c r="I24" s="107">
        <f t="shared" si="3"/>
        <v>23</v>
      </c>
      <c r="J24" s="108" t="str">
        <f t="shared" si="2"/>
        <v>#N/A</v>
      </c>
      <c r="K24" s="108"/>
      <c r="L24" s="109"/>
      <c r="M24" s="109"/>
    </row>
    <row r="25">
      <c r="A25" s="103" t="s">
        <v>115</v>
      </c>
      <c r="B25" s="103" t="s">
        <v>120</v>
      </c>
      <c r="C25" s="103"/>
      <c r="D25" s="103" t="str">
        <f t="shared" si="1"/>
        <v>O</v>
      </c>
      <c r="E25" s="103" t="s">
        <v>57</v>
      </c>
      <c r="F25" s="105">
        <v>3.63732003E8</v>
      </c>
      <c r="G25" s="106">
        <v>3.637320031E8</v>
      </c>
      <c r="H25" s="107"/>
      <c r="I25" s="107">
        <f t="shared" si="3"/>
        <v>24</v>
      </c>
      <c r="J25" s="108" t="str">
        <f t="shared" si="2"/>
        <v>#N/A</v>
      </c>
      <c r="K25" s="108"/>
      <c r="L25" s="109"/>
      <c r="M25" s="109"/>
    </row>
    <row r="26">
      <c r="A26" s="103" t="s">
        <v>115</v>
      </c>
      <c r="B26" s="103" t="s">
        <v>124</v>
      </c>
      <c r="C26" s="103" t="s">
        <v>83</v>
      </c>
      <c r="D26" s="103" t="str">
        <f t="shared" si="1"/>
        <v>O</v>
      </c>
      <c r="E26" s="103" t="s">
        <v>125</v>
      </c>
      <c r="F26" s="105">
        <v>3.86584007E8</v>
      </c>
      <c r="G26" s="106">
        <v>3.86584007E8</v>
      </c>
      <c r="H26" s="107">
        <v>435508.0</v>
      </c>
      <c r="I26" s="107">
        <f t="shared" si="3"/>
        <v>25</v>
      </c>
      <c r="J26" s="108" t="str">
        <f t="shared" si="2"/>
        <v>#N/A</v>
      </c>
      <c r="K26" s="108"/>
      <c r="L26" s="109"/>
      <c r="M26" s="109"/>
    </row>
    <row r="27">
      <c r="A27" s="103" t="s">
        <v>115</v>
      </c>
      <c r="B27" s="103" t="s">
        <v>127</v>
      </c>
      <c r="C27" s="103"/>
      <c r="D27" s="103" t="str">
        <f t="shared" si="1"/>
        <v>O</v>
      </c>
      <c r="E27" s="103" t="s">
        <v>57</v>
      </c>
      <c r="F27" s="105">
        <v>3.86584007E8</v>
      </c>
      <c r="G27" s="106">
        <v>3.865840071E8</v>
      </c>
      <c r="H27" s="107"/>
      <c r="I27" s="107">
        <f t="shared" si="3"/>
        <v>26</v>
      </c>
      <c r="J27" s="108" t="str">
        <f t="shared" si="2"/>
        <v>#N/A</v>
      </c>
      <c r="K27" s="108"/>
      <c r="L27" s="109"/>
      <c r="M27" s="109"/>
    </row>
    <row r="28">
      <c r="A28" s="103" t="s">
        <v>115</v>
      </c>
      <c r="B28" s="103" t="s">
        <v>129</v>
      </c>
      <c r="C28" s="103" t="s">
        <v>83</v>
      </c>
      <c r="D28" s="103" t="str">
        <f t="shared" si="1"/>
        <v>O</v>
      </c>
      <c r="E28" s="103" t="s">
        <v>57</v>
      </c>
      <c r="F28" s="105">
        <v>3.86584007E8</v>
      </c>
      <c r="G28" s="106">
        <v>3.8658400720000005E8</v>
      </c>
      <c r="H28" s="107"/>
      <c r="I28" s="107">
        <f t="shared" si="3"/>
        <v>27</v>
      </c>
      <c r="J28" s="108" t="str">
        <f t="shared" si="2"/>
        <v>#N/A</v>
      </c>
      <c r="K28" s="108"/>
      <c r="L28" s="109"/>
      <c r="M28" s="109"/>
    </row>
    <row r="29">
      <c r="A29" s="117" t="s">
        <v>131</v>
      </c>
      <c r="B29" s="117" t="s">
        <v>131</v>
      </c>
      <c r="C29" s="119" t="s">
        <v>83</v>
      </c>
      <c r="D29" s="117" t="str">
        <f t="shared" si="1"/>
        <v>L</v>
      </c>
      <c r="E29" s="117" t="s">
        <v>34</v>
      </c>
      <c r="F29" s="122">
        <v>2.39920006E8</v>
      </c>
      <c r="G29" s="123">
        <v>2.39920006E8</v>
      </c>
      <c r="H29" s="124">
        <v>4344166.0</v>
      </c>
      <c r="I29" s="124">
        <f t="shared" si="3"/>
        <v>28</v>
      </c>
      <c r="J29" s="126" t="str">
        <f t="shared" si="2"/>
        <v>#N/A</v>
      </c>
      <c r="K29" s="126"/>
      <c r="L29" s="127"/>
      <c r="M29" s="127"/>
    </row>
    <row r="30">
      <c r="A30" s="117" t="s">
        <v>131</v>
      </c>
      <c r="B30" s="117" t="s">
        <v>139</v>
      </c>
      <c r="C30" s="117"/>
      <c r="D30" s="117" t="str">
        <f t="shared" si="1"/>
        <v>O</v>
      </c>
      <c r="E30" s="117" t="s">
        <v>57</v>
      </c>
      <c r="F30" s="122">
        <v>2.39920006E8</v>
      </c>
      <c r="G30" s="123" t="s">
        <v>140</v>
      </c>
      <c r="H30" s="124"/>
      <c r="I30" s="124">
        <f t="shared" si="3"/>
        <v>29</v>
      </c>
      <c r="J30" s="126" t="str">
        <f t="shared" si="2"/>
        <v>#N/A</v>
      </c>
      <c r="K30" s="126"/>
      <c r="L30" s="127"/>
      <c r="M30" s="127"/>
    </row>
    <row r="31">
      <c r="A31" s="61" t="s">
        <v>141</v>
      </c>
      <c r="B31" s="61" t="s">
        <v>141</v>
      </c>
      <c r="C31" s="131" t="s">
        <v>83</v>
      </c>
      <c r="D31" s="61" t="str">
        <f t="shared" si="1"/>
        <v>L</v>
      </c>
      <c r="E31" s="61" t="s">
        <v>142</v>
      </c>
      <c r="F31" s="64">
        <v>2.67718E8</v>
      </c>
      <c r="G31" s="66">
        <v>2.67718E8</v>
      </c>
      <c r="H31" s="67">
        <v>374028.0</v>
      </c>
      <c r="I31" s="67">
        <f t="shared" si="3"/>
        <v>30</v>
      </c>
      <c r="J31" s="68" t="str">
        <f t="shared" si="2"/>
        <v>#N/A</v>
      </c>
      <c r="K31" s="68"/>
      <c r="L31" s="69"/>
      <c r="M31" s="69"/>
    </row>
    <row r="32">
      <c r="A32" s="22" t="s">
        <v>143</v>
      </c>
      <c r="B32" s="22" t="s">
        <v>144</v>
      </c>
      <c r="C32" s="22"/>
      <c r="D32" s="22" t="str">
        <f t="shared" si="1"/>
        <v>O</v>
      </c>
      <c r="E32" s="22" t="s">
        <v>72</v>
      </c>
      <c r="F32" s="34">
        <v>1.9754005E7</v>
      </c>
      <c r="G32" s="35">
        <v>1.9754005E7</v>
      </c>
      <c r="H32" s="37">
        <v>4056343.0</v>
      </c>
      <c r="I32" s="37">
        <f t="shared" si="3"/>
        <v>31</v>
      </c>
      <c r="J32" s="41" t="str">
        <f t="shared" si="2"/>
        <v>#N/A</v>
      </c>
      <c r="K32" s="41"/>
      <c r="L32" s="45"/>
      <c r="M32" s="45"/>
    </row>
    <row r="33">
      <c r="A33" s="22" t="s">
        <v>143</v>
      </c>
      <c r="B33" s="22" t="s">
        <v>143</v>
      </c>
      <c r="C33" s="22" t="s">
        <v>83</v>
      </c>
      <c r="D33" s="22" t="str">
        <f t="shared" si="1"/>
        <v>L</v>
      </c>
      <c r="E33" s="22" t="s">
        <v>34</v>
      </c>
      <c r="F33" s="34">
        <v>6.8225006E7</v>
      </c>
      <c r="G33" s="35">
        <v>6.8225006E7</v>
      </c>
      <c r="H33" s="37">
        <v>141933.0</v>
      </c>
      <c r="I33" s="37">
        <f t="shared" si="3"/>
        <v>32</v>
      </c>
      <c r="J33" s="41" t="str">
        <f t="shared" si="2"/>
        <v>#N/A</v>
      </c>
      <c r="K33" s="41"/>
      <c r="L33" s="45"/>
      <c r="M33" s="45"/>
    </row>
    <row r="34">
      <c r="A34" s="22" t="s">
        <v>143</v>
      </c>
      <c r="B34" s="22" t="s">
        <v>145</v>
      </c>
      <c r="C34" s="22"/>
      <c r="D34" s="22" t="str">
        <f t="shared" si="1"/>
        <v>O</v>
      </c>
      <c r="E34" s="22" t="s">
        <v>72</v>
      </c>
      <c r="F34" s="34">
        <v>8.6166E7</v>
      </c>
      <c r="G34" s="35">
        <v>8.6166E7</v>
      </c>
      <c r="H34" s="37">
        <v>4312756.0</v>
      </c>
      <c r="I34" s="37">
        <f t="shared" si="3"/>
        <v>33</v>
      </c>
      <c r="J34" s="41" t="str">
        <f t="shared" si="2"/>
        <v>#N/A</v>
      </c>
      <c r="K34" s="41"/>
      <c r="L34" s="45"/>
      <c r="M34" s="45"/>
    </row>
    <row r="35">
      <c r="A35" s="117" t="s">
        <v>146</v>
      </c>
      <c r="B35" s="117" t="s">
        <v>146</v>
      </c>
      <c r="C35" s="119" t="s">
        <v>83</v>
      </c>
      <c r="D35" s="117" t="str">
        <f t="shared" si="1"/>
        <v>L</v>
      </c>
      <c r="E35" s="117" t="s">
        <v>34</v>
      </c>
      <c r="F35" s="122">
        <v>2.07036003E8</v>
      </c>
      <c r="G35" s="123">
        <v>2.07036003E8</v>
      </c>
      <c r="H35" s="124">
        <v>4118225.0</v>
      </c>
      <c r="I35" s="124">
        <f t="shared" si="3"/>
        <v>34</v>
      </c>
      <c r="J35" s="126" t="str">
        <f t="shared" si="2"/>
        <v>#N/A</v>
      </c>
      <c r="K35" s="126"/>
      <c r="L35" s="127"/>
      <c r="M35" s="127"/>
    </row>
    <row r="36">
      <c r="A36" s="117" t="s">
        <v>146</v>
      </c>
      <c r="B36" s="117" t="s">
        <v>149</v>
      </c>
      <c r="C36" s="117"/>
      <c r="D36" s="117" t="str">
        <f t="shared" si="1"/>
        <v>O</v>
      </c>
      <c r="E36" s="117" t="s">
        <v>57</v>
      </c>
      <c r="F36" s="122">
        <v>2.07036003E8</v>
      </c>
      <c r="G36" s="123">
        <v>2.070360031E8</v>
      </c>
      <c r="H36" s="124"/>
      <c r="I36" s="124">
        <f t="shared" si="3"/>
        <v>35</v>
      </c>
      <c r="J36" s="126" t="str">
        <f t="shared" si="2"/>
        <v>#N/A</v>
      </c>
      <c r="K36" s="126"/>
      <c r="L36" s="127"/>
      <c r="M36" s="127"/>
    </row>
    <row r="37">
      <c r="A37" s="117" t="s">
        <v>146</v>
      </c>
      <c r="B37" s="117" t="s">
        <v>152</v>
      </c>
      <c r="C37" s="119" t="s">
        <v>83</v>
      </c>
      <c r="D37" s="117" t="str">
        <f t="shared" si="1"/>
        <v>O</v>
      </c>
      <c r="E37" s="117" t="s">
        <v>57</v>
      </c>
      <c r="F37" s="122">
        <v>2.07036003E8</v>
      </c>
      <c r="G37" s="123" t="s">
        <v>154</v>
      </c>
      <c r="H37" s="124">
        <v>4118225.0</v>
      </c>
      <c r="I37" s="124">
        <f t="shared" si="3"/>
        <v>36</v>
      </c>
      <c r="J37" s="126" t="str">
        <f t="shared" si="2"/>
        <v>#N/A</v>
      </c>
      <c r="K37" s="126"/>
      <c r="L37" s="127"/>
      <c r="M37" s="127"/>
    </row>
    <row r="38">
      <c r="A38" s="139" t="s">
        <v>155</v>
      </c>
      <c r="B38" s="139" t="s">
        <v>155</v>
      </c>
      <c r="C38" s="139" t="s">
        <v>83</v>
      </c>
      <c r="D38" s="139" t="str">
        <f t="shared" si="1"/>
        <v>L</v>
      </c>
      <c r="E38" s="139" t="s">
        <v>34</v>
      </c>
      <c r="F38" s="141">
        <v>9631008.0</v>
      </c>
      <c r="G38" s="143">
        <v>9631008.0</v>
      </c>
      <c r="H38" s="144">
        <v>437082.0</v>
      </c>
      <c r="I38" s="144">
        <f t="shared" si="3"/>
        <v>37</v>
      </c>
      <c r="J38" s="146" t="str">
        <f t="shared" si="2"/>
        <v>#N/A</v>
      </c>
      <c r="K38" s="146"/>
      <c r="L38" s="147"/>
      <c r="M38" s="147"/>
    </row>
    <row r="39">
      <c r="A39" s="139" t="s">
        <v>155</v>
      </c>
      <c r="B39" s="139" t="s">
        <v>161</v>
      </c>
      <c r="C39" s="139"/>
      <c r="D39" s="139" t="str">
        <f t="shared" si="1"/>
        <v>O</v>
      </c>
      <c r="E39" s="139" t="s">
        <v>57</v>
      </c>
      <c r="F39" s="141">
        <v>9631008.0</v>
      </c>
      <c r="G39" s="143">
        <v>9631008.1</v>
      </c>
      <c r="H39" s="144"/>
      <c r="I39" s="144">
        <f t="shared" si="3"/>
        <v>38</v>
      </c>
      <c r="J39" s="146" t="str">
        <f t="shared" si="2"/>
        <v>#N/A</v>
      </c>
      <c r="K39" s="146"/>
      <c r="L39" s="147"/>
      <c r="M39" s="147"/>
    </row>
    <row r="40">
      <c r="A40" s="139" t="s">
        <v>155</v>
      </c>
      <c r="B40" s="139" t="s">
        <v>162</v>
      </c>
      <c r="C40" s="139"/>
      <c r="D40" s="139" t="str">
        <f t="shared" si="1"/>
        <v>O</v>
      </c>
      <c r="E40" s="139" t="s">
        <v>57</v>
      </c>
      <c r="F40" s="141">
        <v>9631008.0</v>
      </c>
      <c r="G40" s="143">
        <v>9631008.2</v>
      </c>
      <c r="H40" s="144"/>
      <c r="I40" s="144">
        <f t="shared" si="3"/>
        <v>39</v>
      </c>
      <c r="J40" s="146" t="str">
        <f t="shared" si="2"/>
        <v>#N/A</v>
      </c>
      <c r="K40" s="146"/>
      <c r="L40" s="147"/>
      <c r="M40" s="147"/>
    </row>
    <row r="41">
      <c r="A41" s="151" t="s">
        <v>164</v>
      </c>
      <c r="B41" s="151" t="s">
        <v>166</v>
      </c>
      <c r="C41" s="151"/>
      <c r="D41" s="151" t="str">
        <f t="shared" si="1"/>
        <v>O</v>
      </c>
      <c r="E41" s="151" t="s">
        <v>72</v>
      </c>
      <c r="F41" s="154">
        <v>5.0581E7</v>
      </c>
      <c r="G41" s="155" t="s">
        <v>169</v>
      </c>
      <c r="H41" s="157">
        <v>195289.0</v>
      </c>
      <c r="I41" s="157">
        <f t="shared" si="3"/>
        <v>40</v>
      </c>
      <c r="J41" s="159" t="str">
        <f t="shared" si="2"/>
        <v>#N/A</v>
      </c>
      <c r="K41" s="159"/>
      <c r="L41" s="160"/>
      <c r="M41" s="160"/>
    </row>
    <row r="42">
      <c r="A42" s="151" t="s">
        <v>164</v>
      </c>
      <c r="B42" s="151" t="s">
        <v>173</v>
      </c>
      <c r="C42" s="151"/>
      <c r="D42" s="151" t="str">
        <f t="shared" si="1"/>
        <v>O</v>
      </c>
      <c r="E42" s="151" t="s">
        <v>57</v>
      </c>
      <c r="F42" s="154">
        <v>5.0581E7</v>
      </c>
      <c r="G42" s="155" t="s">
        <v>174</v>
      </c>
      <c r="H42" s="157">
        <v>4126115.0</v>
      </c>
      <c r="I42" s="157">
        <f t="shared" si="3"/>
        <v>41</v>
      </c>
      <c r="J42" s="159" t="str">
        <f t="shared" si="2"/>
        <v>#N/A</v>
      </c>
      <c r="K42" s="159"/>
      <c r="L42" s="160"/>
      <c r="M42" s="160"/>
    </row>
    <row r="43">
      <c r="A43" s="151" t="s">
        <v>164</v>
      </c>
      <c r="B43" s="151" t="s">
        <v>175</v>
      </c>
      <c r="C43" s="151"/>
      <c r="D43" s="151" t="str">
        <f t="shared" si="1"/>
        <v>O</v>
      </c>
      <c r="E43" s="151" t="s">
        <v>57</v>
      </c>
      <c r="F43" s="154">
        <v>6.2853008E7</v>
      </c>
      <c r="G43" s="155">
        <v>6.2853008E7</v>
      </c>
      <c r="H43" s="157">
        <v>4267717.0</v>
      </c>
      <c r="I43" s="157">
        <f t="shared" si="3"/>
        <v>42</v>
      </c>
      <c r="J43" s="159" t="str">
        <f t="shared" si="2"/>
        <v>#N/A</v>
      </c>
      <c r="K43" s="159"/>
      <c r="L43" s="160"/>
      <c r="M43" s="160"/>
    </row>
    <row r="44">
      <c r="A44" s="151" t="s">
        <v>164</v>
      </c>
      <c r="B44" s="151" t="s">
        <v>176</v>
      </c>
      <c r="C44" s="151"/>
      <c r="D44" s="151" t="str">
        <f t="shared" si="1"/>
        <v>O</v>
      </c>
      <c r="E44" s="151" t="s">
        <v>57</v>
      </c>
      <c r="F44" s="154">
        <v>6.2853008E7</v>
      </c>
      <c r="G44" s="155">
        <v>6.28530081E7</v>
      </c>
      <c r="H44" s="157">
        <v>4267717.0</v>
      </c>
      <c r="I44" s="157">
        <f t="shared" si="3"/>
        <v>43</v>
      </c>
      <c r="J44" s="159" t="str">
        <f t="shared" si="2"/>
        <v>#N/A</v>
      </c>
      <c r="K44" s="159"/>
      <c r="L44" s="160"/>
      <c r="M44" s="160"/>
    </row>
    <row r="45">
      <c r="A45" s="151" t="s">
        <v>164</v>
      </c>
      <c r="B45" s="151" t="s">
        <v>164</v>
      </c>
      <c r="C45" s="151" t="s">
        <v>22</v>
      </c>
      <c r="D45" s="151" t="str">
        <f t="shared" si="1"/>
        <v>O</v>
      </c>
      <c r="E45" s="151" t="s">
        <v>177</v>
      </c>
      <c r="F45" s="154">
        <v>2.36506009E8</v>
      </c>
      <c r="G45" s="155">
        <v>2.36506009E8</v>
      </c>
      <c r="H45" s="157">
        <v>4126115.0</v>
      </c>
      <c r="I45" s="157">
        <f t="shared" si="3"/>
        <v>44</v>
      </c>
      <c r="J45" s="159" t="str">
        <f t="shared" si="2"/>
        <v>#N/A</v>
      </c>
      <c r="K45" s="159"/>
      <c r="L45" s="160"/>
      <c r="M45" s="160"/>
    </row>
    <row r="46">
      <c r="A46" s="151" t="s">
        <v>164</v>
      </c>
      <c r="B46" s="151" t="s">
        <v>164</v>
      </c>
      <c r="C46" s="151" t="s">
        <v>22</v>
      </c>
      <c r="D46" s="151" t="str">
        <f t="shared" si="1"/>
        <v>L</v>
      </c>
      <c r="E46" s="151" t="s">
        <v>34</v>
      </c>
      <c r="F46" s="154">
        <v>7.88613004E8</v>
      </c>
      <c r="G46" s="155">
        <v>7.88613004E8</v>
      </c>
      <c r="H46" s="157">
        <v>3.7312293E7</v>
      </c>
      <c r="I46" s="157">
        <f t="shared" si="3"/>
        <v>45</v>
      </c>
      <c r="J46" s="159" t="str">
        <f t="shared" si="2"/>
        <v>#N/A</v>
      </c>
      <c r="K46" s="159"/>
      <c r="L46" s="160"/>
      <c r="M46" s="160"/>
    </row>
    <row r="47">
      <c r="A47" s="151" t="s">
        <v>164</v>
      </c>
      <c r="B47" s="151" t="s">
        <v>178</v>
      </c>
      <c r="C47" s="151"/>
      <c r="D47" s="151" t="str">
        <f t="shared" si="1"/>
        <v>O</v>
      </c>
      <c r="E47" s="151" t="s">
        <v>57</v>
      </c>
      <c r="F47" s="154">
        <v>7.88613004E8</v>
      </c>
      <c r="G47" s="155">
        <v>7.886130041E8</v>
      </c>
      <c r="H47" s="157"/>
      <c r="I47" s="157">
        <f t="shared" si="3"/>
        <v>46</v>
      </c>
      <c r="J47" s="159" t="str">
        <f t="shared" si="2"/>
        <v>#N/A</v>
      </c>
      <c r="K47" s="159"/>
      <c r="L47" s="160"/>
      <c r="M47" s="160"/>
    </row>
    <row r="48">
      <c r="A48" s="151" t="s">
        <v>164</v>
      </c>
      <c r="B48" s="151" t="s">
        <v>179</v>
      </c>
      <c r="C48" s="151"/>
      <c r="D48" s="151" t="str">
        <f t="shared" si="1"/>
        <v>O</v>
      </c>
      <c r="E48" s="151" t="s">
        <v>57</v>
      </c>
      <c r="F48" s="154">
        <v>5.0581E7</v>
      </c>
      <c r="G48" s="155" t="s">
        <v>182</v>
      </c>
      <c r="H48" s="157"/>
      <c r="I48" s="157">
        <f t="shared" si="3"/>
        <v>47</v>
      </c>
      <c r="J48" s="159" t="str">
        <f t="shared" si="2"/>
        <v>#N/A</v>
      </c>
      <c r="K48" s="159"/>
      <c r="L48" s="160"/>
      <c r="M48" s="160"/>
    </row>
    <row r="49">
      <c r="A49" s="151" t="s">
        <v>164</v>
      </c>
      <c r="B49" s="151" t="s">
        <v>183</v>
      </c>
      <c r="C49" s="151"/>
      <c r="D49" s="151" t="str">
        <f t="shared" si="1"/>
        <v>O</v>
      </c>
      <c r="E49" s="151" t="s">
        <v>57</v>
      </c>
      <c r="F49" s="154">
        <v>5.0581E7</v>
      </c>
      <c r="G49" s="155" t="s">
        <v>185</v>
      </c>
      <c r="H49" s="157"/>
      <c r="I49" s="157">
        <f t="shared" si="3"/>
        <v>48</v>
      </c>
      <c r="J49" s="159" t="str">
        <f t="shared" si="2"/>
        <v>#N/A</v>
      </c>
      <c r="K49" s="159"/>
      <c r="L49" s="160"/>
      <c r="M49" s="160"/>
    </row>
    <row r="50">
      <c r="A50" s="74" t="s">
        <v>186</v>
      </c>
      <c r="B50" s="74" t="s">
        <v>187</v>
      </c>
      <c r="C50" s="74"/>
      <c r="D50" s="74" t="str">
        <f t="shared" si="1"/>
        <v>O</v>
      </c>
      <c r="E50" s="170" t="s">
        <v>72</v>
      </c>
      <c r="F50" s="79">
        <v>8.2275008E7</v>
      </c>
      <c r="G50" s="80">
        <v>8.2275008E7</v>
      </c>
      <c r="H50" s="81">
        <v>4305666.0</v>
      </c>
      <c r="I50" s="81">
        <f t="shared" si="3"/>
        <v>49</v>
      </c>
      <c r="J50" s="82" t="str">
        <f t="shared" si="2"/>
        <v>#N/A</v>
      </c>
      <c r="K50" s="82"/>
      <c r="L50" s="83"/>
      <c r="M50" s="83"/>
    </row>
    <row r="51">
      <c r="A51" s="74" t="s">
        <v>186</v>
      </c>
      <c r="B51" s="74" t="s">
        <v>190</v>
      </c>
      <c r="C51" s="74" t="s">
        <v>83</v>
      </c>
      <c r="D51" s="74" t="str">
        <f t="shared" si="1"/>
        <v>O</v>
      </c>
      <c r="E51" s="170" t="s">
        <v>72</v>
      </c>
      <c r="F51" s="79">
        <v>1.95353004E8</v>
      </c>
      <c r="G51" s="80">
        <v>1.95353004E8</v>
      </c>
      <c r="H51" s="81">
        <v>313223.0</v>
      </c>
      <c r="I51" s="81">
        <f t="shared" si="3"/>
        <v>50</v>
      </c>
      <c r="J51" s="82" t="str">
        <f t="shared" si="2"/>
        <v>#N/A</v>
      </c>
      <c r="K51" s="82"/>
      <c r="L51" s="83"/>
      <c r="M51" s="83"/>
    </row>
    <row r="52">
      <c r="A52" s="74" t="s">
        <v>186</v>
      </c>
      <c r="B52" s="74" t="s">
        <v>193</v>
      </c>
      <c r="C52" s="74"/>
      <c r="D52" s="74" t="str">
        <f t="shared" si="1"/>
        <v>O</v>
      </c>
      <c r="E52" s="74" t="s">
        <v>57</v>
      </c>
      <c r="F52" s="79">
        <v>1.95353004E8</v>
      </c>
      <c r="G52" s="80" t="s">
        <v>194</v>
      </c>
      <c r="H52" s="81"/>
      <c r="I52" s="81">
        <f t="shared" si="3"/>
        <v>51</v>
      </c>
      <c r="J52" s="82" t="str">
        <f t="shared" si="2"/>
        <v>#N/A</v>
      </c>
      <c r="K52" s="82"/>
      <c r="L52" s="83"/>
      <c r="M52" s="83"/>
    </row>
    <row r="53">
      <c r="A53" s="74" t="s">
        <v>186</v>
      </c>
      <c r="B53" s="74" t="s">
        <v>186</v>
      </c>
      <c r="C53" s="77" t="s">
        <v>83</v>
      </c>
      <c r="D53" s="74" t="str">
        <f t="shared" si="1"/>
        <v>L</v>
      </c>
      <c r="E53" s="74" t="s">
        <v>34</v>
      </c>
      <c r="F53" s="79" t="s">
        <v>196</v>
      </c>
      <c r="G53" s="80">
        <v>7.22191003E8</v>
      </c>
      <c r="H53" s="81">
        <v>4.2535714E7</v>
      </c>
      <c r="I53" s="81">
        <f t="shared" si="3"/>
        <v>52</v>
      </c>
      <c r="J53" s="82" t="str">
        <f t="shared" si="2"/>
        <v>#N/A</v>
      </c>
      <c r="K53" s="82"/>
      <c r="L53" s="83"/>
      <c r="M53" s="83"/>
    </row>
    <row r="54">
      <c r="A54" s="74" t="s">
        <v>186</v>
      </c>
      <c r="B54" s="74" t="s">
        <v>198</v>
      </c>
      <c r="C54" s="77" t="s">
        <v>83</v>
      </c>
      <c r="D54" s="74" t="str">
        <f t="shared" si="1"/>
        <v>O</v>
      </c>
      <c r="E54" s="74" t="s">
        <v>57</v>
      </c>
      <c r="F54" s="79" t="s">
        <v>196</v>
      </c>
      <c r="G54" s="80">
        <v>7.221910031E8</v>
      </c>
      <c r="H54" s="81">
        <v>4.2535714E7</v>
      </c>
      <c r="I54" s="81">
        <f t="shared" si="3"/>
        <v>53</v>
      </c>
      <c r="J54" s="82" t="str">
        <f t="shared" si="2"/>
        <v>#N/A</v>
      </c>
      <c r="K54" s="82"/>
      <c r="L54" s="83"/>
      <c r="M54" s="83"/>
    </row>
    <row r="55">
      <c r="A55" s="74" t="s">
        <v>186</v>
      </c>
      <c r="B55" s="74" t="s">
        <v>200</v>
      </c>
      <c r="C55" s="74"/>
      <c r="D55" s="74" t="str">
        <f t="shared" si="1"/>
        <v>O</v>
      </c>
      <c r="E55" s="170" t="s">
        <v>72</v>
      </c>
      <c r="F55" s="79" t="s">
        <v>196</v>
      </c>
      <c r="G55" s="80" t="s">
        <v>202</v>
      </c>
      <c r="H55" s="81">
        <v>4305666.0</v>
      </c>
      <c r="I55" s="81">
        <f t="shared" si="3"/>
        <v>54</v>
      </c>
      <c r="J55" s="82" t="str">
        <f t="shared" si="2"/>
        <v>#N/A</v>
      </c>
      <c r="K55" s="82"/>
      <c r="L55" s="83"/>
      <c r="M55" s="83"/>
    </row>
    <row r="56">
      <c r="A56" s="74" t="s">
        <v>186</v>
      </c>
      <c r="B56" s="74" t="s">
        <v>204</v>
      </c>
      <c r="C56" s="74"/>
      <c r="D56" s="74" t="str">
        <f t="shared" si="1"/>
        <v>O</v>
      </c>
      <c r="E56" s="74" t="s">
        <v>57</v>
      </c>
      <c r="F56" s="79" t="s">
        <v>196</v>
      </c>
      <c r="G56" s="80" t="s">
        <v>206</v>
      </c>
      <c r="H56" s="81"/>
      <c r="I56" s="81">
        <f t="shared" si="3"/>
        <v>55</v>
      </c>
      <c r="J56" s="82" t="str">
        <f t="shared" si="2"/>
        <v>#N/A</v>
      </c>
      <c r="K56" s="82"/>
      <c r="L56" s="83"/>
      <c r="M56" s="83"/>
    </row>
    <row r="57">
      <c r="A57" s="74" t="s">
        <v>186</v>
      </c>
      <c r="B57" s="74" t="s">
        <v>209</v>
      </c>
      <c r="C57" s="74"/>
      <c r="D57" s="74" t="str">
        <f t="shared" si="1"/>
        <v>O</v>
      </c>
      <c r="E57" s="74" t="s">
        <v>57</v>
      </c>
      <c r="F57" s="79" t="s">
        <v>196</v>
      </c>
      <c r="G57" s="80" t="s">
        <v>211</v>
      </c>
      <c r="H57" s="81"/>
      <c r="I57" s="81">
        <f t="shared" si="3"/>
        <v>56</v>
      </c>
      <c r="J57" s="82" t="str">
        <f t="shared" si="2"/>
        <v>#N/A</v>
      </c>
      <c r="K57" s="82"/>
      <c r="L57" s="83"/>
      <c r="M57" s="83"/>
    </row>
    <row r="58">
      <c r="A58" s="74" t="s">
        <v>186</v>
      </c>
      <c r="B58" s="74" t="s">
        <v>213</v>
      </c>
      <c r="C58" s="74"/>
      <c r="D58" s="74" t="str">
        <f t="shared" si="1"/>
        <v>O</v>
      </c>
      <c r="E58" s="74" t="s">
        <v>57</v>
      </c>
      <c r="F58" s="79">
        <v>8.2275008E7</v>
      </c>
      <c r="G58" s="80" t="s">
        <v>214</v>
      </c>
      <c r="H58" s="81"/>
      <c r="I58" s="81">
        <f t="shared" si="3"/>
        <v>57</v>
      </c>
      <c r="J58" s="82" t="str">
        <f t="shared" si="2"/>
        <v>#N/A</v>
      </c>
      <c r="K58" s="82"/>
      <c r="L58" s="83"/>
      <c r="M58" s="83"/>
    </row>
    <row r="59">
      <c r="A59" s="50" t="s">
        <v>215</v>
      </c>
      <c r="B59" s="50" t="s">
        <v>215</v>
      </c>
      <c r="C59" s="185" t="s">
        <v>83</v>
      </c>
      <c r="D59" s="50" t="str">
        <f t="shared" si="1"/>
        <v>L</v>
      </c>
      <c r="E59" s="50" t="s">
        <v>34</v>
      </c>
      <c r="F59" s="52">
        <v>2.6843008E7</v>
      </c>
      <c r="G59" s="54">
        <v>2.6843008E7</v>
      </c>
      <c r="H59" s="55">
        <v>4098292.0</v>
      </c>
      <c r="I59" s="55">
        <f t="shared" si="3"/>
        <v>58</v>
      </c>
      <c r="J59" s="57" t="str">
        <f t="shared" si="2"/>
        <v>#N/A</v>
      </c>
      <c r="K59" s="57"/>
      <c r="L59" s="59"/>
      <c r="M59" s="59"/>
    </row>
    <row r="60">
      <c r="A60" s="50" t="s">
        <v>215</v>
      </c>
      <c r="B60" s="50" t="s">
        <v>216</v>
      </c>
      <c r="C60" s="50"/>
      <c r="D60" s="50" t="str">
        <f t="shared" si="1"/>
        <v>O</v>
      </c>
      <c r="E60" s="50" t="s">
        <v>57</v>
      </c>
      <c r="F60" s="52">
        <v>2.6843008E7</v>
      </c>
      <c r="G60" s="54">
        <v>2.68430081E7</v>
      </c>
      <c r="H60" s="55"/>
      <c r="I60" s="55">
        <f t="shared" si="3"/>
        <v>59</v>
      </c>
      <c r="J60" s="57" t="str">
        <f t="shared" si="2"/>
        <v>#N/A</v>
      </c>
      <c r="K60" s="57"/>
      <c r="L60" s="59"/>
      <c r="M60" s="59"/>
    </row>
    <row r="61">
      <c r="A61" s="50" t="s">
        <v>215</v>
      </c>
      <c r="B61" s="50" t="s">
        <v>217</v>
      </c>
      <c r="C61" s="50"/>
      <c r="D61" s="50" t="str">
        <f t="shared" si="1"/>
        <v>O</v>
      </c>
      <c r="E61" s="50" t="s">
        <v>57</v>
      </c>
      <c r="F61" s="52">
        <v>2.6843008E7</v>
      </c>
      <c r="G61" s="54">
        <v>2.6843008200000003E7</v>
      </c>
      <c r="H61" s="55"/>
      <c r="I61" s="55">
        <f t="shared" si="3"/>
        <v>60</v>
      </c>
      <c r="J61" s="57" t="str">
        <f t="shared" si="2"/>
        <v>#N/A</v>
      </c>
      <c r="K61" s="57"/>
      <c r="L61" s="59"/>
      <c r="M61" s="59"/>
    </row>
    <row r="62">
      <c r="A62" s="50" t="s">
        <v>215</v>
      </c>
      <c r="B62" s="50" t="s">
        <v>219</v>
      </c>
      <c r="C62" s="185" t="s">
        <v>83</v>
      </c>
      <c r="D62" s="50" t="str">
        <f t="shared" si="1"/>
        <v>O</v>
      </c>
      <c r="E62" s="50" t="s">
        <v>57</v>
      </c>
      <c r="F62" s="52">
        <v>2.6843008E7</v>
      </c>
      <c r="G62" s="54">
        <v>2.68430083E7</v>
      </c>
      <c r="H62" s="55"/>
      <c r="I62" s="55">
        <f t="shared" si="3"/>
        <v>61</v>
      </c>
      <c r="J62" s="57" t="str">
        <f t="shared" si="2"/>
        <v>#N/A</v>
      </c>
      <c r="K62" s="57"/>
      <c r="L62" s="59"/>
      <c r="M62" s="59"/>
    </row>
    <row r="63">
      <c r="A63" s="50" t="s">
        <v>215</v>
      </c>
      <c r="B63" s="50" t="s">
        <v>221</v>
      </c>
      <c r="C63" s="50"/>
      <c r="D63" s="50" t="str">
        <f t="shared" si="1"/>
        <v>O</v>
      </c>
      <c r="E63" s="50" t="s">
        <v>57</v>
      </c>
      <c r="F63" s="52">
        <v>2.6843008E7</v>
      </c>
      <c r="G63" s="54">
        <v>2.6843008400000002E7</v>
      </c>
      <c r="H63" s="55"/>
      <c r="I63" s="55">
        <f t="shared" si="3"/>
        <v>62</v>
      </c>
      <c r="J63" s="57" t="str">
        <f t="shared" si="2"/>
        <v>#N/A</v>
      </c>
      <c r="K63" s="57"/>
      <c r="L63" s="59"/>
      <c r="M63" s="59"/>
    </row>
    <row r="64">
      <c r="A64" s="191" t="s">
        <v>223</v>
      </c>
      <c r="B64" s="191" t="s">
        <v>223</v>
      </c>
      <c r="C64" s="193" t="s">
        <v>83</v>
      </c>
      <c r="D64" s="191" t="str">
        <f t="shared" si="1"/>
        <v>L</v>
      </c>
      <c r="E64" s="191" t="s">
        <v>34</v>
      </c>
      <c r="F64" s="195">
        <v>4.45187004E8</v>
      </c>
      <c r="G64" s="197">
        <v>4.45187004E8</v>
      </c>
      <c r="H64" s="198">
        <v>4.0482477E7</v>
      </c>
      <c r="I64" s="198">
        <f t="shared" si="3"/>
        <v>63</v>
      </c>
      <c r="J64" s="200" t="str">
        <f t="shared" si="2"/>
        <v>#N/A</v>
      </c>
      <c r="K64" s="200"/>
      <c r="L64" s="202"/>
      <c r="M64" s="202"/>
    </row>
    <row r="65">
      <c r="A65" s="191" t="s">
        <v>223</v>
      </c>
      <c r="B65" s="191" t="s">
        <v>230</v>
      </c>
      <c r="C65" s="191"/>
      <c r="D65" s="191" t="str">
        <f t="shared" si="1"/>
        <v>O</v>
      </c>
      <c r="E65" s="191" t="s">
        <v>57</v>
      </c>
      <c r="F65" s="195">
        <v>4.45187004E8</v>
      </c>
      <c r="G65" s="197">
        <v>4.451870041E8</v>
      </c>
      <c r="H65" s="198"/>
      <c r="I65" s="198">
        <f t="shared" si="3"/>
        <v>64</v>
      </c>
      <c r="J65" s="200" t="str">
        <f t="shared" si="2"/>
        <v>#N/A</v>
      </c>
      <c r="K65" s="200"/>
      <c r="L65" s="202"/>
      <c r="M65" s="202"/>
    </row>
    <row r="66">
      <c r="A66" s="50" t="s">
        <v>231</v>
      </c>
      <c r="B66" s="50" t="s">
        <v>231</v>
      </c>
      <c r="C66" s="50" t="s">
        <v>83</v>
      </c>
      <c r="D66" s="50" t="str">
        <f t="shared" si="1"/>
        <v>L</v>
      </c>
      <c r="E66" s="50" t="s">
        <v>34</v>
      </c>
      <c r="F66" s="52">
        <v>3.06058006E8</v>
      </c>
      <c r="G66" s="54">
        <v>3.06058006E8</v>
      </c>
      <c r="H66" s="55">
        <v>137829.0</v>
      </c>
      <c r="I66" s="55">
        <f t="shared" si="3"/>
        <v>65</v>
      </c>
      <c r="J66" s="57" t="str">
        <f t="shared" si="2"/>
        <v>#N/A</v>
      </c>
      <c r="K66" s="57"/>
      <c r="L66" s="59"/>
      <c r="M66" s="59"/>
    </row>
    <row r="67">
      <c r="A67" s="74" t="s">
        <v>235</v>
      </c>
      <c r="B67" s="74" t="s">
        <v>235</v>
      </c>
      <c r="C67" s="207" t="s">
        <v>83</v>
      </c>
      <c r="D67" s="74" t="str">
        <f t="shared" si="1"/>
        <v>L</v>
      </c>
      <c r="E67" s="74" t="s">
        <v>34</v>
      </c>
      <c r="F67" s="79">
        <v>4.02401003E8</v>
      </c>
      <c r="G67" s="80">
        <v>4.02401003E8</v>
      </c>
      <c r="H67" s="81">
        <v>4224624.0</v>
      </c>
      <c r="I67" s="81">
        <f t="shared" si="3"/>
        <v>66</v>
      </c>
      <c r="J67" s="82" t="str">
        <f t="shared" si="2"/>
        <v>#N/A</v>
      </c>
      <c r="K67" s="82"/>
      <c r="L67" s="83"/>
      <c r="M67" s="83"/>
    </row>
    <row r="68">
      <c r="A68" s="74" t="s">
        <v>235</v>
      </c>
      <c r="B68" s="74" t="s">
        <v>238</v>
      </c>
      <c r="C68" s="74"/>
      <c r="D68" s="74" t="str">
        <f t="shared" si="1"/>
        <v>O</v>
      </c>
      <c r="E68" s="74" t="s">
        <v>57</v>
      </c>
      <c r="F68" s="79">
        <v>4.02401003E8</v>
      </c>
      <c r="G68" s="80">
        <v>4.024010031E8</v>
      </c>
      <c r="H68" s="81"/>
      <c r="I68" s="81">
        <f t="shared" si="3"/>
        <v>67</v>
      </c>
      <c r="J68" s="82" t="str">
        <f t="shared" si="2"/>
        <v>#N/A</v>
      </c>
      <c r="K68" s="82"/>
      <c r="L68" s="83"/>
      <c r="M68" s="83"/>
    </row>
    <row r="69">
      <c r="A69" s="191" t="s">
        <v>240</v>
      </c>
      <c r="B69" s="191" t="s">
        <v>240</v>
      </c>
      <c r="C69" s="211"/>
      <c r="D69" s="191" t="str">
        <f t="shared" si="1"/>
        <v>O</v>
      </c>
      <c r="E69" s="191" t="s">
        <v>241</v>
      </c>
      <c r="F69" s="195" t="s">
        <v>242</v>
      </c>
      <c r="G69" s="197" t="s">
        <v>242</v>
      </c>
      <c r="H69" s="198">
        <v>434621.0</v>
      </c>
      <c r="I69" s="198">
        <f t="shared" si="3"/>
        <v>68</v>
      </c>
      <c r="J69" s="200" t="str">
        <f t="shared" si="2"/>
        <v>#N/A</v>
      </c>
      <c r="K69" s="200"/>
      <c r="L69" s="202"/>
      <c r="M69" s="202"/>
    </row>
    <row r="70">
      <c r="A70" s="214" t="s">
        <v>243</v>
      </c>
      <c r="B70" s="214" t="s">
        <v>244</v>
      </c>
      <c r="C70" s="214"/>
      <c r="D70" s="214" t="str">
        <f t="shared" si="1"/>
        <v>O</v>
      </c>
      <c r="E70" s="214" t="s">
        <v>125</v>
      </c>
      <c r="F70" s="215">
        <v>1.3445001E7</v>
      </c>
      <c r="G70" s="216">
        <v>1.3445001E7</v>
      </c>
      <c r="H70" s="218">
        <v>79833.0</v>
      </c>
      <c r="I70" s="218">
        <f t="shared" si="3"/>
        <v>69</v>
      </c>
      <c r="J70" s="219" t="str">
        <f t="shared" si="2"/>
        <v>#N/A</v>
      </c>
      <c r="K70" s="219"/>
      <c r="L70" s="220"/>
      <c r="M70" s="220"/>
    </row>
    <row r="71">
      <c r="A71" s="214" t="s">
        <v>243</v>
      </c>
      <c r="B71" s="214" t="s">
        <v>243</v>
      </c>
      <c r="C71" s="222" t="s">
        <v>83</v>
      </c>
      <c r="D71" s="214" t="str">
        <f t="shared" si="1"/>
        <v>L</v>
      </c>
      <c r="E71" s="214" t="s">
        <v>34</v>
      </c>
      <c r="F71" s="215">
        <v>2.32308006E8</v>
      </c>
      <c r="G71" s="216">
        <v>2.32308006E8</v>
      </c>
      <c r="H71" s="218">
        <v>4337463.0</v>
      </c>
      <c r="I71" s="218">
        <f t="shared" si="3"/>
        <v>70</v>
      </c>
      <c r="J71" s="219" t="str">
        <f t="shared" si="2"/>
        <v>#N/A</v>
      </c>
      <c r="K71" s="219"/>
      <c r="L71" s="220"/>
      <c r="M71" s="220"/>
    </row>
    <row r="72">
      <c r="A72" s="214" t="s">
        <v>247</v>
      </c>
      <c r="B72" s="214" t="s">
        <v>247</v>
      </c>
      <c r="C72" s="222" t="s">
        <v>83</v>
      </c>
      <c r="D72" s="214" t="str">
        <f t="shared" si="1"/>
        <v>L</v>
      </c>
      <c r="E72" s="214" t="s">
        <v>34</v>
      </c>
      <c r="F72" s="215">
        <v>9.5643007E7</v>
      </c>
      <c r="G72" s="216">
        <v>9.5643007E7</v>
      </c>
      <c r="H72" s="218">
        <v>4318558.0</v>
      </c>
      <c r="I72" s="218">
        <f t="shared" si="3"/>
        <v>71</v>
      </c>
      <c r="J72" s="219" t="str">
        <f t="shared" si="2"/>
        <v>#N/A</v>
      </c>
      <c r="K72" s="219"/>
      <c r="L72" s="220"/>
      <c r="M72" s="220"/>
    </row>
    <row r="73">
      <c r="A73" s="214" t="s">
        <v>247</v>
      </c>
      <c r="B73" s="214" t="s">
        <v>249</v>
      </c>
      <c r="C73" s="214" t="s">
        <v>83</v>
      </c>
      <c r="D73" s="214" t="str">
        <f t="shared" si="1"/>
        <v>O</v>
      </c>
      <c r="E73" s="226" t="s">
        <v>72</v>
      </c>
      <c r="F73" s="215" t="s">
        <v>250</v>
      </c>
      <c r="G73" s="216">
        <v>4.27086003E8</v>
      </c>
      <c r="H73" s="218">
        <v>4141686.0</v>
      </c>
      <c r="I73" s="218">
        <f t="shared" si="3"/>
        <v>72</v>
      </c>
      <c r="J73" s="219" t="str">
        <f t="shared" si="2"/>
        <v>#N/A</v>
      </c>
      <c r="K73" s="219"/>
      <c r="L73" s="220"/>
      <c r="M73" s="220"/>
    </row>
    <row r="74">
      <c r="A74" s="214" t="s">
        <v>247</v>
      </c>
      <c r="B74" s="214" t="s">
        <v>252</v>
      </c>
      <c r="C74" s="214"/>
      <c r="D74" s="214" t="str">
        <f t="shared" si="1"/>
        <v>O</v>
      </c>
      <c r="E74" s="214" t="s">
        <v>57</v>
      </c>
      <c r="F74" s="215" t="s">
        <v>250</v>
      </c>
      <c r="G74" s="216" t="s">
        <v>255</v>
      </c>
      <c r="H74" s="218"/>
      <c r="I74" s="218">
        <f t="shared" si="3"/>
        <v>73</v>
      </c>
      <c r="J74" s="219" t="str">
        <f t="shared" si="2"/>
        <v>#N/A</v>
      </c>
      <c r="K74" s="219"/>
      <c r="L74" s="220"/>
      <c r="M74" s="220"/>
    </row>
    <row r="75">
      <c r="A75" s="214" t="s">
        <v>247</v>
      </c>
      <c r="B75" s="214" t="s">
        <v>257</v>
      </c>
      <c r="C75" s="214" t="s">
        <v>83</v>
      </c>
      <c r="D75" s="214" t="str">
        <f t="shared" si="1"/>
        <v>O</v>
      </c>
      <c r="E75" s="214" t="s">
        <v>57</v>
      </c>
      <c r="F75" s="215" t="s">
        <v>250</v>
      </c>
      <c r="G75" s="216" t="s">
        <v>258</v>
      </c>
      <c r="H75" s="218">
        <v>4141686.0</v>
      </c>
      <c r="I75" s="218">
        <f t="shared" si="3"/>
        <v>74</v>
      </c>
      <c r="J75" s="219" t="str">
        <f t="shared" si="2"/>
        <v>#N/A</v>
      </c>
      <c r="K75" s="219"/>
      <c r="L75" s="220"/>
      <c r="M75" s="220"/>
    </row>
    <row r="76">
      <c r="A76" s="214" t="s">
        <v>260</v>
      </c>
      <c r="B76" s="214" t="s">
        <v>262</v>
      </c>
      <c r="C76" s="222" t="s">
        <v>22</v>
      </c>
      <c r="D76" s="214" t="str">
        <f t="shared" si="1"/>
        <v>O</v>
      </c>
      <c r="E76" s="214" t="s">
        <v>57</v>
      </c>
      <c r="F76" s="215">
        <v>7.16684004E8</v>
      </c>
      <c r="G76" s="216">
        <v>7.16684004E8</v>
      </c>
      <c r="H76" s="218">
        <v>3.7399546E7</v>
      </c>
      <c r="I76" s="218">
        <f t="shared" si="3"/>
        <v>75</v>
      </c>
      <c r="J76" s="219" t="str">
        <f t="shared" si="2"/>
        <v>#N/A</v>
      </c>
      <c r="K76" s="219"/>
      <c r="L76" s="220"/>
      <c r="M76" s="220"/>
    </row>
    <row r="77">
      <c r="A77" s="214" t="s">
        <v>260</v>
      </c>
      <c r="B77" s="214" t="s">
        <v>264</v>
      </c>
      <c r="C77" s="214"/>
      <c r="D77" s="214" t="str">
        <f t="shared" si="1"/>
        <v>O</v>
      </c>
      <c r="E77" s="214" t="s">
        <v>57</v>
      </c>
      <c r="F77" s="215" t="s">
        <v>267</v>
      </c>
      <c r="G77" s="216" t="s">
        <v>268</v>
      </c>
      <c r="H77" s="218"/>
      <c r="I77" s="218">
        <f t="shared" si="3"/>
        <v>76</v>
      </c>
      <c r="J77" s="219" t="str">
        <f t="shared" si="2"/>
        <v>#N/A</v>
      </c>
      <c r="K77" s="219"/>
      <c r="L77" s="220"/>
      <c r="M77" s="220"/>
    </row>
    <row r="78">
      <c r="A78" s="214" t="s">
        <v>260</v>
      </c>
      <c r="B78" s="214" t="s">
        <v>270</v>
      </c>
      <c r="C78" s="214"/>
      <c r="D78" s="214" t="str">
        <f t="shared" si="1"/>
        <v>O</v>
      </c>
      <c r="E78" s="214" t="s">
        <v>57</v>
      </c>
      <c r="F78" s="215" t="s">
        <v>267</v>
      </c>
      <c r="G78" s="216" t="s">
        <v>273</v>
      </c>
      <c r="H78" s="218"/>
      <c r="I78" s="218">
        <f t="shared" si="3"/>
        <v>77</v>
      </c>
      <c r="J78" s="219" t="str">
        <f t="shared" si="2"/>
        <v>#N/A</v>
      </c>
      <c r="K78" s="219"/>
      <c r="L78" s="220"/>
      <c r="M78" s="220"/>
    </row>
    <row r="79">
      <c r="A79" s="214" t="s">
        <v>260</v>
      </c>
      <c r="B79" s="214" t="s">
        <v>260</v>
      </c>
      <c r="C79" s="222" t="s">
        <v>22</v>
      </c>
      <c r="D79" s="214" t="str">
        <f t="shared" si="1"/>
        <v>L</v>
      </c>
      <c r="E79" s="214" t="s">
        <v>34</v>
      </c>
      <c r="F79" s="215" t="s">
        <v>267</v>
      </c>
      <c r="G79" s="216" t="s">
        <v>267</v>
      </c>
      <c r="H79" s="218">
        <v>764228.0</v>
      </c>
      <c r="I79" s="218">
        <f t="shared" si="3"/>
        <v>78</v>
      </c>
      <c r="J79" s="219" t="str">
        <f t="shared" si="2"/>
        <v>#N/A</v>
      </c>
      <c r="K79" s="219"/>
      <c r="L79" s="220"/>
      <c r="M79" s="220"/>
    </row>
    <row r="80">
      <c r="A80" s="214" t="s">
        <v>260</v>
      </c>
      <c r="B80" s="214" t="s">
        <v>276</v>
      </c>
      <c r="C80" s="222" t="s">
        <v>22</v>
      </c>
      <c r="D80" s="214" t="str">
        <f t="shared" si="1"/>
        <v>O</v>
      </c>
      <c r="E80" s="214" t="s">
        <v>57</v>
      </c>
      <c r="F80" s="215" t="s">
        <v>267</v>
      </c>
      <c r="G80" s="216" t="s">
        <v>277</v>
      </c>
      <c r="H80" s="218"/>
      <c r="I80" s="218">
        <f t="shared" si="3"/>
        <v>79</v>
      </c>
      <c r="J80" s="219" t="str">
        <f t="shared" si="2"/>
        <v>#N/A</v>
      </c>
      <c r="K80" s="219"/>
      <c r="L80" s="220"/>
      <c r="M80" s="220"/>
    </row>
    <row r="81">
      <c r="A81" s="232" t="s">
        <v>278</v>
      </c>
      <c r="B81" s="232" t="s">
        <v>279</v>
      </c>
      <c r="C81" s="232"/>
      <c r="D81" s="232" t="str">
        <f t="shared" si="1"/>
        <v>O</v>
      </c>
      <c r="E81" s="232" t="s">
        <v>57</v>
      </c>
      <c r="F81" s="233" t="s">
        <v>280</v>
      </c>
      <c r="G81" s="234">
        <v>8.4027009E7</v>
      </c>
      <c r="H81" s="235"/>
      <c r="I81" s="235">
        <f t="shared" si="3"/>
        <v>80</v>
      </c>
      <c r="J81" s="236" t="str">
        <f t="shared" si="2"/>
        <v>#N/A</v>
      </c>
      <c r="K81" s="236"/>
      <c r="L81" s="237"/>
      <c r="M81" s="237"/>
    </row>
    <row r="82">
      <c r="A82" s="232" t="s">
        <v>278</v>
      </c>
      <c r="B82" s="232" t="s">
        <v>281</v>
      </c>
      <c r="C82" s="232"/>
      <c r="D82" s="232" t="str">
        <f t="shared" si="1"/>
        <v>O</v>
      </c>
      <c r="E82" s="232" t="s">
        <v>57</v>
      </c>
      <c r="F82" s="233" t="s">
        <v>280</v>
      </c>
      <c r="G82" s="234">
        <v>8.40270091E7</v>
      </c>
      <c r="H82" s="235"/>
      <c r="I82" s="235">
        <f t="shared" si="3"/>
        <v>81</v>
      </c>
      <c r="J82" s="236" t="str">
        <f t="shared" si="2"/>
        <v>#N/A</v>
      </c>
      <c r="K82" s="236"/>
      <c r="L82" s="237"/>
      <c r="M82" s="237"/>
    </row>
    <row r="83">
      <c r="A83" s="232" t="s">
        <v>278</v>
      </c>
      <c r="B83" s="232" t="s">
        <v>283</v>
      </c>
      <c r="C83" s="239" t="s">
        <v>83</v>
      </c>
      <c r="D83" s="232" t="str">
        <f t="shared" si="1"/>
        <v>O</v>
      </c>
      <c r="E83" s="240" t="s">
        <v>72</v>
      </c>
      <c r="F83" s="233" t="s">
        <v>280</v>
      </c>
      <c r="G83" s="234">
        <v>8.402700919999999E7</v>
      </c>
      <c r="H83" s="235">
        <v>432295.0</v>
      </c>
      <c r="I83" s="235">
        <f t="shared" si="3"/>
        <v>82</v>
      </c>
      <c r="J83" s="236" t="str">
        <f t="shared" si="2"/>
        <v>#N/A</v>
      </c>
      <c r="K83" s="236"/>
      <c r="L83" s="237"/>
      <c r="M83" s="237"/>
    </row>
    <row r="84">
      <c r="A84" s="232" t="s">
        <v>278</v>
      </c>
      <c r="B84" s="232" t="s">
        <v>278</v>
      </c>
      <c r="C84" s="232" t="s">
        <v>83</v>
      </c>
      <c r="D84" s="232" t="str">
        <f t="shared" si="1"/>
        <v>L</v>
      </c>
      <c r="E84" s="232" t="s">
        <v>34</v>
      </c>
      <c r="F84" s="233" t="s">
        <v>286</v>
      </c>
      <c r="G84" s="243" t="s">
        <v>286</v>
      </c>
      <c r="H84" s="235">
        <v>4341626.0</v>
      </c>
      <c r="I84" s="235">
        <f t="shared" si="3"/>
        <v>83</v>
      </c>
      <c r="J84" s="236" t="str">
        <f t="shared" si="2"/>
        <v>#N/A</v>
      </c>
      <c r="K84" s="236"/>
      <c r="L84" s="237"/>
      <c r="M84" s="237"/>
    </row>
    <row r="85">
      <c r="A85" s="232" t="s">
        <v>278</v>
      </c>
      <c r="B85" s="232" t="s">
        <v>287</v>
      </c>
      <c r="C85" s="232"/>
      <c r="D85" s="232" t="str">
        <f t="shared" si="1"/>
        <v>O</v>
      </c>
      <c r="E85" s="232" t="s">
        <v>57</v>
      </c>
      <c r="F85" s="233" t="s">
        <v>286</v>
      </c>
      <c r="G85" s="243" t="s">
        <v>290</v>
      </c>
      <c r="H85" s="235">
        <v>192667.0</v>
      </c>
      <c r="I85" s="235">
        <f t="shared" si="3"/>
        <v>84</v>
      </c>
      <c r="J85" s="236" t="str">
        <f t="shared" si="2"/>
        <v>#N/A</v>
      </c>
      <c r="K85" s="236"/>
      <c r="L85" s="237"/>
      <c r="M85" s="237"/>
    </row>
    <row r="86">
      <c r="A86" s="232" t="s">
        <v>278</v>
      </c>
      <c r="B86" s="232" t="s">
        <v>294</v>
      </c>
      <c r="C86" s="232"/>
      <c r="D86" s="232" t="str">
        <f t="shared" si="1"/>
        <v>O</v>
      </c>
      <c r="E86" s="232" t="s">
        <v>57</v>
      </c>
      <c r="F86" s="233" t="s">
        <v>286</v>
      </c>
      <c r="G86" s="243" t="s">
        <v>295</v>
      </c>
      <c r="H86" s="235"/>
      <c r="I86" s="235">
        <f t="shared" si="3"/>
        <v>85</v>
      </c>
      <c r="J86" s="236" t="str">
        <f t="shared" si="2"/>
        <v>#N/A</v>
      </c>
      <c r="K86" s="236"/>
      <c r="L86" s="237"/>
      <c r="M86" s="237"/>
    </row>
    <row r="87">
      <c r="A87" s="232" t="s">
        <v>278</v>
      </c>
      <c r="B87" s="232" t="s">
        <v>296</v>
      </c>
      <c r="C87" s="232"/>
      <c r="D87" s="232" t="str">
        <f t="shared" si="1"/>
        <v>O</v>
      </c>
      <c r="E87" s="232" t="s">
        <v>57</v>
      </c>
      <c r="F87" s="233" t="s">
        <v>286</v>
      </c>
      <c r="G87" s="243" t="s">
        <v>297</v>
      </c>
      <c r="H87" s="235"/>
      <c r="I87" s="235">
        <f t="shared" si="3"/>
        <v>86</v>
      </c>
      <c r="J87" s="236" t="str">
        <f t="shared" si="2"/>
        <v>#N/A</v>
      </c>
      <c r="K87" s="236"/>
      <c r="L87" s="237"/>
      <c r="M87" s="237"/>
    </row>
    <row r="88">
      <c r="A88" s="232" t="s">
        <v>278</v>
      </c>
      <c r="B88" s="232" t="s">
        <v>300</v>
      </c>
      <c r="C88" s="232" t="s">
        <v>83</v>
      </c>
      <c r="D88" s="232" t="str">
        <f t="shared" si="1"/>
        <v>O</v>
      </c>
      <c r="E88" s="232" t="s">
        <v>57</v>
      </c>
      <c r="F88" s="233">
        <v>2.35728001E8</v>
      </c>
      <c r="G88" s="234">
        <v>2.35728001E8</v>
      </c>
      <c r="H88" s="235">
        <v>4341626.0</v>
      </c>
      <c r="I88" s="235">
        <f t="shared" si="3"/>
        <v>87</v>
      </c>
      <c r="J88" s="236" t="str">
        <f t="shared" si="2"/>
        <v>#N/A</v>
      </c>
      <c r="K88" s="236"/>
      <c r="L88" s="237"/>
      <c r="M88" s="237"/>
    </row>
    <row r="89">
      <c r="A89" s="50" t="s">
        <v>302</v>
      </c>
      <c r="B89" s="50" t="s">
        <v>302</v>
      </c>
      <c r="C89" s="50" t="s">
        <v>83</v>
      </c>
      <c r="D89" s="50" t="str">
        <f t="shared" si="1"/>
        <v>L</v>
      </c>
      <c r="E89" s="50" t="s">
        <v>34</v>
      </c>
      <c r="F89" s="52">
        <v>4.13603009E8</v>
      </c>
      <c r="G89" s="54">
        <v>4.13603009E8</v>
      </c>
      <c r="H89" s="251">
        <v>441269.0</v>
      </c>
      <c r="I89" s="55">
        <f t="shared" si="3"/>
        <v>88</v>
      </c>
      <c r="J89" s="57" t="str">
        <f t="shared" si="2"/>
        <v>#N/A</v>
      </c>
      <c r="K89" s="57"/>
      <c r="L89" s="59"/>
      <c r="M89" s="59"/>
    </row>
    <row r="90">
      <c r="A90" s="50" t="s">
        <v>302</v>
      </c>
      <c r="B90" s="59" t="s">
        <v>305</v>
      </c>
      <c r="C90" s="50"/>
      <c r="D90" s="50" t="str">
        <f t="shared" si="1"/>
        <v>O</v>
      </c>
      <c r="E90" s="50" t="s">
        <v>72</v>
      </c>
      <c r="F90" s="52" t="s">
        <v>306</v>
      </c>
      <c r="G90" s="54" t="s">
        <v>306</v>
      </c>
      <c r="H90" s="55">
        <v>3.6713763E7</v>
      </c>
      <c r="I90" s="55">
        <f t="shared" si="3"/>
        <v>89</v>
      </c>
      <c r="J90" s="57" t="str">
        <f t="shared" si="2"/>
        <v>#N/A</v>
      </c>
      <c r="K90" s="256"/>
      <c r="L90" s="256"/>
      <c r="M90" s="256"/>
    </row>
    <row r="91">
      <c r="A91" s="257" t="s">
        <v>307</v>
      </c>
      <c r="B91" s="257" t="s">
        <v>307</v>
      </c>
      <c r="C91" s="257" t="s">
        <v>83</v>
      </c>
      <c r="D91" s="257" t="str">
        <f t="shared" si="1"/>
        <v>L</v>
      </c>
      <c r="E91" s="257" t="s">
        <v>34</v>
      </c>
      <c r="F91" s="259" t="s">
        <v>308</v>
      </c>
      <c r="G91" s="260" t="s">
        <v>308</v>
      </c>
      <c r="H91" s="261">
        <v>200762.0</v>
      </c>
      <c r="I91" s="261">
        <f t="shared" si="3"/>
        <v>90</v>
      </c>
      <c r="J91" s="263" t="str">
        <f t="shared" si="2"/>
        <v>#N/A</v>
      </c>
      <c r="K91" s="263"/>
      <c r="L91" s="264"/>
      <c r="M91" s="264"/>
    </row>
    <row r="92">
      <c r="A92" s="257" t="s">
        <v>307</v>
      </c>
      <c r="B92" s="257" t="s">
        <v>310</v>
      </c>
      <c r="C92" s="257" t="s">
        <v>83</v>
      </c>
      <c r="D92" s="257" t="str">
        <f t="shared" si="1"/>
        <v>O</v>
      </c>
      <c r="E92" s="257" t="s">
        <v>72</v>
      </c>
      <c r="F92" s="259" t="s">
        <v>312</v>
      </c>
      <c r="G92" s="260" t="s">
        <v>312</v>
      </c>
      <c r="H92" s="261">
        <v>3.6715923E7</v>
      </c>
      <c r="I92" s="261">
        <f t="shared" si="3"/>
        <v>91</v>
      </c>
      <c r="J92" s="263" t="str">
        <f t="shared" si="2"/>
        <v>#N/A</v>
      </c>
      <c r="K92" s="263"/>
      <c r="L92" s="264"/>
      <c r="M92" s="264"/>
    </row>
    <row r="93">
      <c r="A93" s="257" t="s">
        <v>307</v>
      </c>
      <c r="B93" s="257" t="s">
        <v>314</v>
      </c>
      <c r="C93" s="257" t="s">
        <v>83</v>
      </c>
      <c r="D93" s="257" t="str">
        <f t="shared" si="1"/>
        <v>O</v>
      </c>
      <c r="E93" s="257" t="s">
        <v>72</v>
      </c>
      <c r="F93" s="259" t="s">
        <v>315</v>
      </c>
      <c r="G93" s="260" t="s">
        <v>315</v>
      </c>
      <c r="H93" s="261">
        <v>3.6717496E7</v>
      </c>
      <c r="I93" s="261">
        <f t="shared" si="3"/>
        <v>92</v>
      </c>
      <c r="J93" s="263" t="str">
        <f t="shared" si="2"/>
        <v>#N/A</v>
      </c>
      <c r="K93" s="263"/>
      <c r="L93" s="264"/>
      <c r="M93" s="264"/>
    </row>
    <row r="94">
      <c r="A94" s="257" t="s">
        <v>307</v>
      </c>
      <c r="B94" s="257" t="s">
        <v>316</v>
      </c>
      <c r="C94" s="257" t="s">
        <v>83</v>
      </c>
      <c r="D94" s="257" t="str">
        <f t="shared" si="1"/>
        <v>O</v>
      </c>
      <c r="E94" s="257" t="s">
        <v>72</v>
      </c>
      <c r="F94" s="259" t="s">
        <v>317</v>
      </c>
      <c r="G94" s="260" t="s">
        <v>317</v>
      </c>
      <c r="H94" s="261">
        <v>3.6715924E7</v>
      </c>
      <c r="I94" s="261">
        <f t="shared" si="3"/>
        <v>93</v>
      </c>
      <c r="J94" s="263" t="str">
        <f t="shared" si="2"/>
        <v>#N/A</v>
      </c>
      <c r="K94" s="263"/>
      <c r="L94" s="264"/>
      <c r="M94" s="264"/>
    </row>
    <row r="95">
      <c r="A95" s="257" t="s">
        <v>307</v>
      </c>
      <c r="B95" s="257" t="s">
        <v>320</v>
      </c>
      <c r="C95" s="257" t="s">
        <v>83</v>
      </c>
      <c r="D95" s="257" t="str">
        <f t="shared" si="1"/>
        <v>O</v>
      </c>
      <c r="E95" s="257" t="s">
        <v>72</v>
      </c>
      <c r="F95" s="259" t="s">
        <v>323</v>
      </c>
      <c r="G95" s="260" t="s">
        <v>323</v>
      </c>
      <c r="H95" s="261">
        <v>3.66872E7</v>
      </c>
      <c r="I95" s="261">
        <f t="shared" si="3"/>
        <v>94</v>
      </c>
      <c r="J95" s="263" t="str">
        <f t="shared" si="2"/>
        <v>#N/A</v>
      </c>
      <c r="K95" s="263"/>
      <c r="L95" s="264"/>
      <c r="M95" s="264"/>
    </row>
    <row r="96">
      <c r="A96" s="50" t="s">
        <v>325</v>
      </c>
      <c r="B96" s="50" t="s">
        <v>325</v>
      </c>
      <c r="C96" s="50" t="s">
        <v>83</v>
      </c>
      <c r="D96" s="50" t="str">
        <f t="shared" si="1"/>
        <v>L</v>
      </c>
      <c r="E96" s="50" t="s">
        <v>34</v>
      </c>
      <c r="F96" s="52">
        <v>7.02444009E8</v>
      </c>
      <c r="G96" s="54">
        <v>7.02444009E8</v>
      </c>
      <c r="H96" s="55">
        <v>4.5765493E7</v>
      </c>
      <c r="I96" s="55">
        <f t="shared" si="3"/>
        <v>95</v>
      </c>
      <c r="J96" s="57" t="str">
        <f t="shared" si="2"/>
        <v>#N/A</v>
      </c>
      <c r="K96" s="57"/>
      <c r="L96" s="59"/>
      <c r="M96" s="59"/>
    </row>
    <row r="97">
      <c r="A97" s="50" t="s">
        <v>325</v>
      </c>
      <c r="B97" s="50" t="s">
        <v>327</v>
      </c>
      <c r="C97" s="50"/>
      <c r="D97" s="50" t="str">
        <f t="shared" si="1"/>
        <v>O</v>
      </c>
      <c r="E97" s="50" t="s">
        <v>57</v>
      </c>
      <c r="F97" s="52">
        <v>7.02444009E8</v>
      </c>
      <c r="G97" s="54">
        <v>7.024440091E8</v>
      </c>
      <c r="H97" s="55"/>
      <c r="I97" s="55">
        <f t="shared" si="3"/>
        <v>96</v>
      </c>
      <c r="J97" s="57" t="str">
        <f t="shared" si="2"/>
        <v>#N/A</v>
      </c>
      <c r="K97" s="57"/>
      <c r="L97" s="59"/>
      <c r="M97" s="59"/>
    </row>
    <row r="98">
      <c r="A98" s="50" t="s">
        <v>331</v>
      </c>
      <c r="B98" s="50" t="s">
        <v>331</v>
      </c>
      <c r="C98" s="50" t="s">
        <v>83</v>
      </c>
      <c r="D98" s="50" t="str">
        <f t="shared" si="1"/>
        <v>L</v>
      </c>
      <c r="E98" s="50" t="s">
        <v>34</v>
      </c>
      <c r="F98" s="52">
        <v>2.34425008E8</v>
      </c>
      <c r="G98" s="54">
        <v>2.34425008E8</v>
      </c>
      <c r="H98" s="55">
        <v>4125635.0</v>
      </c>
      <c r="I98" s="55">
        <f t="shared" si="3"/>
        <v>97</v>
      </c>
      <c r="J98" s="57" t="str">
        <f t="shared" si="2"/>
        <v>#N/A</v>
      </c>
      <c r="K98" s="57"/>
      <c r="L98" s="59"/>
      <c r="M98" s="59"/>
    </row>
    <row r="99">
      <c r="A99" s="50" t="s">
        <v>331</v>
      </c>
      <c r="B99" s="50" t="s">
        <v>335</v>
      </c>
      <c r="C99" s="50"/>
      <c r="D99" s="50" t="str">
        <f t="shared" si="1"/>
        <v>O</v>
      </c>
      <c r="E99" s="50" t="s">
        <v>57</v>
      </c>
      <c r="F99" s="52">
        <v>2.34425008E8</v>
      </c>
      <c r="G99" s="54">
        <v>2.344250082E8</v>
      </c>
      <c r="H99" s="55"/>
      <c r="I99" s="55">
        <f t="shared" si="3"/>
        <v>98</v>
      </c>
      <c r="J99" s="57" t="str">
        <f t="shared" si="2"/>
        <v>#N/A</v>
      </c>
      <c r="K99" s="57"/>
      <c r="L99" s="59"/>
      <c r="M99" s="59"/>
    </row>
    <row r="100">
      <c r="A100" s="50" t="s">
        <v>331</v>
      </c>
      <c r="B100" s="50" t="s">
        <v>337</v>
      </c>
      <c r="C100" s="50"/>
      <c r="D100" s="50" t="str">
        <f t="shared" si="1"/>
        <v>O</v>
      </c>
      <c r="E100" s="50" t="s">
        <v>57</v>
      </c>
      <c r="F100" s="52">
        <v>2.34425008E8</v>
      </c>
      <c r="G100" s="54" t="s">
        <v>338</v>
      </c>
      <c r="H100" s="55"/>
      <c r="I100" s="55">
        <f t="shared" si="3"/>
        <v>99</v>
      </c>
      <c r="J100" s="57" t="str">
        <f t="shared" si="2"/>
        <v>#N/A</v>
      </c>
      <c r="K100" s="57"/>
      <c r="L100" s="59"/>
      <c r="M100" s="59"/>
    </row>
    <row r="101">
      <c r="A101" s="103" t="s">
        <v>339</v>
      </c>
      <c r="B101" s="103" t="s">
        <v>339</v>
      </c>
      <c r="C101" s="103" t="s">
        <v>83</v>
      </c>
      <c r="D101" s="103" t="str">
        <f t="shared" si="1"/>
        <v>L</v>
      </c>
      <c r="E101" s="274" t="s">
        <v>34</v>
      </c>
      <c r="F101" s="105">
        <v>7.21198006E8</v>
      </c>
      <c r="G101" s="106">
        <v>7.21198006E8</v>
      </c>
      <c r="H101" s="107">
        <v>3.6717453E7</v>
      </c>
      <c r="I101" s="107">
        <f t="shared" si="3"/>
        <v>100</v>
      </c>
      <c r="J101" s="108" t="str">
        <f t="shared" si="2"/>
        <v>#N/A</v>
      </c>
      <c r="K101" s="108"/>
      <c r="L101" s="109"/>
      <c r="M101" s="109"/>
    </row>
    <row r="102">
      <c r="A102" s="103" t="s">
        <v>339</v>
      </c>
      <c r="B102" s="103" t="s">
        <v>340</v>
      </c>
      <c r="C102" s="103"/>
      <c r="D102" s="103" t="str">
        <f t="shared" si="1"/>
        <v>O</v>
      </c>
      <c r="E102" s="274" t="s">
        <v>57</v>
      </c>
      <c r="F102" s="105">
        <v>7.21198006E8</v>
      </c>
      <c r="G102" s="106">
        <v>7.211980061E8</v>
      </c>
      <c r="H102" s="107"/>
      <c r="I102" s="107">
        <f t="shared" si="3"/>
        <v>101</v>
      </c>
      <c r="J102" s="108" t="str">
        <f t="shared" si="2"/>
        <v>#N/A</v>
      </c>
      <c r="K102" s="108"/>
      <c r="L102" s="109"/>
      <c r="M102" s="109"/>
    </row>
    <row r="103">
      <c r="A103" s="276" t="s">
        <v>341</v>
      </c>
      <c r="B103" s="276" t="s">
        <v>341</v>
      </c>
      <c r="C103" s="277" t="s">
        <v>83</v>
      </c>
      <c r="D103" s="276" t="str">
        <f t="shared" si="1"/>
        <v>L</v>
      </c>
      <c r="E103" s="276" t="s">
        <v>34</v>
      </c>
      <c r="F103" s="279" t="s">
        <v>343</v>
      </c>
      <c r="G103" s="280">
        <v>4.48542008E8</v>
      </c>
      <c r="H103" s="281">
        <v>4.0490446E7</v>
      </c>
      <c r="I103" s="281">
        <f t="shared" si="3"/>
        <v>102</v>
      </c>
      <c r="J103" s="282" t="str">
        <f t="shared" si="2"/>
        <v>#N/A</v>
      </c>
      <c r="K103" s="282"/>
      <c r="L103" s="283"/>
      <c r="M103" s="283"/>
    </row>
    <row r="104">
      <c r="A104" s="276" t="s">
        <v>341</v>
      </c>
      <c r="B104" s="276" t="s">
        <v>346</v>
      </c>
      <c r="C104" s="276"/>
      <c r="D104" s="276" t="str">
        <f t="shared" si="1"/>
        <v>O</v>
      </c>
      <c r="E104" s="276" t="s">
        <v>57</v>
      </c>
      <c r="F104" s="279" t="s">
        <v>343</v>
      </c>
      <c r="G104" s="280">
        <v>4.485420081E8</v>
      </c>
      <c r="H104" s="281"/>
      <c r="I104" s="281">
        <f t="shared" si="3"/>
        <v>103</v>
      </c>
      <c r="J104" s="282" t="str">
        <f t="shared" si="2"/>
        <v>#N/A</v>
      </c>
      <c r="K104" s="282"/>
      <c r="L104" s="283"/>
      <c r="M104" s="283"/>
    </row>
    <row r="105">
      <c r="A105" s="276" t="s">
        <v>341</v>
      </c>
      <c r="B105" s="276" t="s">
        <v>348</v>
      </c>
      <c r="C105" s="276"/>
      <c r="D105" s="276" t="str">
        <f t="shared" si="1"/>
        <v>O</v>
      </c>
      <c r="E105" s="276" t="s">
        <v>57</v>
      </c>
      <c r="F105" s="279" t="s">
        <v>343</v>
      </c>
      <c r="G105" s="280">
        <v>4.4854200820000005E8</v>
      </c>
      <c r="H105" s="281"/>
      <c r="I105" s="281">
        <f t="shared" si="3"/>
        <v>104</v>
      </c>
      <c r="J105" s="282" t="str">
        <f t="shared" si="2"/>
        <v>#N/A</v>
      </c>
      <c r="K105" s="282"/>
      <c r="L105" s="283"/>
      <c r="M105" s="283"/>
    </row>
    <row r="106">
      <c r="A106" s="276" t="s">
        <v>341</v>
      </c>
      <c r="B106" s="276" t="s">
        <v>352</v>
      </c>
      <c r="C106" s="276"/>
      <c r="D106" s="276" t="str">
        <f t="shared" si="1"/>
        <v>O</v>
      </c>
      <c r="E106" s="276" t="s">
        <v>57</v>
      </c>
      <c r="F106" s="279" t="s">
        <v>343</v>
      </c>
      <c r="G106" s="280">
        <v>4.485420083E8</v>
      </c>
      <c r="H106" s="281"/>
      <c r="I106" s="281">
        <f t="shared" si="3"/>
        <v>105</v>
      </c>
      <c r="J106" s="282" t="str">
        <f t="shared" si="2"/>
        <v>#N/A</v>
      </c>
      <c r="K106" s="282"/>
      <c r="L106" s="283"/>
      <c r="M106" s="283"/>
    </row>
    <row r="107">
      <c r="A107" s="276" t="s">
        <v>341</v>
      </c>
      <c r="B107" s="276" t="s">
        <v>355</v>
      </c>
      <c r="C107" s="277" t="s">
        <v>83</v>
      </c>
      <c r="D107" s="276" t="str">
        <f t="shared" si="1"/>
        <v>O</v>
      </c>
      <c r="E107" s="276" t="s">
        <v>72</v>
      </c>
      <c r="F107" s="279">
        <v>7.22872E8</v>
      </c>
      <c r="G107" s="280">
        <v>7.22872E8</v>
      </c>
      <c r="H107" s="281">
        <v>3.6716715E7</v>
      </c>
      <c r="I107" s="281">
        <f t="shared" si="3"/>
        <v>106</v>
      </c>
      <c r="J107" s="282" t="str">
        <f t="shared" si="2"/>
        <v>#N/A</v>
      </c>
      <c r="K107" s="282"/>
      <c r="L107" s="283"/>
      <c r="M107" s="283"/>
    </row>
    <row r="108">
      <c r="A108" s="276" t="s">
        <v>341</v>
      </c>
      <c r="B108" s="276" t="s">
        <v>358</v>
      </c>
      <c r="C108" s="276"/>
      <c r="D108" s="276" t="str">
        <f t="shared" si="1"/>
        <v>O</v>
      </c>
      <c r="E108" s="276" t="s">
        <v>72</v>
      </c>
      <c r="F108" s="279">
        <v>1.197740007E9</v>
      </c>
      <c r="G108" s="280">
        <v>1.197740007E9</v>
      </c>
      <c r="H108" s="281">
        <v>3.7162896E7</v>
      </c>
      <c r="I108" s="281">
        <f t="shared" si="3"/>
        <v>107</v>
      </c>
      <c r="J108" s="282" t="str">
        <f t="shared" si="2"/>
        <v>#N/A</v>
      </c>
      <c r="K108" s="282"/>
      <c r="L108" s="283"/>
      <c r="M108" s="283"/>
    </row>
    <row r="109">
      <c r="A109" s="22" t="s">
        <v>361</v>
      </c>
      <c r="B109" s="22" t="s">
        <v>362</v>
      </c>
      <c r="C109" s="22"/>
      <c r="D109" s="22" t="str">
        <f t="shared" si="1"/>
        <v>O</v>
      </c>
      <c r="E109" s="22" t="s">
        <v>54</v>
      </c>
      <c r="F109" s="34">
        <v>8.38551007E8</v>
      </c>
      <c r="G109" s="35">
        <v>8.38551007E8</v>
      </c>
      <c r="H109" s="37"/>
      <c r="I109" s="37">
        <f t="shared" si="3"/>
        <v>108</v>
      </c>
      <c r="J109" s="41" t="str">
        <f t="shared" si="2"/>
        <v>#N/A</v>
      </c>
      <c r="K109" s="41"/>
      <c r="L109" s="45"/>
      <c r="M109" s="45"/>
    </row>
    <row r="110">
      <c r="A110" s="22" t="s">
        <v>361</v>
      </c>
      <c r="B110" s="22" t="s">
        <v>361</v>
      </c>
      <c r="C110" s="22" t="s">
        <v>83</v>
      </c>
      <c r="D110" s="22" t="str">
        <f t="shared" si="1"/>
        <v>L</v>
      </c>
      <c r="E110" s="22" t="s">
        <v>34</v>
      </c>
      <c r="F110" s="34">
        <v>8.38551007E8</v>
      </c>
      <c r="G110" s="35">
        <v>8.38551007E8</v>
      </c>
      <c r="H110" s="37">
        <v>3661498.0</v>
      </c>
      <c r="I110" s="37">
        <f t="shared" si="3"/>
        <v>109</v>
      </c>
      <c r="J110" s="41" t="str">
        <f t="shared" si="2"/>
        <v>#N/A</v>
      </c>
      <c r="K110" s="41"/>
      <c r="L110" s="45"/>
      <c r="M110" s="45"/>
    </row>
    <row r="111">
      <c r="A111" s="214" t="s">
        <v>363</v>
      </c>
      <c r="B111" s="214" t="s">
        <v>363</v>
      </c>
      <c r="C111" s="214" t="s">
        <v>83</v>
      </c>
      <c r="D111" s="214" t="str">
        <f t="shared" si="1"/>
        <v>L</v>
      </c>
      <c r="E111" s="214" t="s">
        <v>34</v>
      </c>
      <c r="F111" s="215">
        <v>7.24809006E8</v>
      </c>
      <c r="G111" s="216">
        <v>7.24809006E8</v>
      </c>
      <c r="H111" s="216">
        <v>3.711054E7</v>
      </c>
      <c r="I111" s="218">
        <f t="shared" si="3"/>
        <v>110</v>
      </c>
      <c r="J111" s="219" t="str">
        <f t="shared" si="2"/>
        <v>#N/A</v>
      </c>
      <c r="K111" s="219"/>
      <c r="L111" s="220"/>
      <c r="M111" s="220"/>
    </row>
    <row r="112">
      <c r="A112" s="220" t="s">
        <v>364</v>
      </c>
      <c r="B112" s="220" t="s">
        <v>364</v>
      </c>
      <c r="C112" s="214"/>
      <c r="D112" s="214" t="str">
        <f t="shared" si="1"/>
        <v>L</v>
      </c>
      <c r="E112" s="214" t="s">
        <v>34</v>
      </c>
      <c r="F112" s="215">
        <v>2.31981005E8</v>
      </c>
      <c r="G112" s="216">
        <v>2.31981005E8</v>
      </c>
      <c r="H112" s="216">
        <v>4334133.0</v>
      </c>
      <c r="I112" s="218">
        <f t="shared" si="3"/>
        <v>111</v>
      </c>
      <c r="J112" s="219" t="str">
        <f t="shared" si="2"/>
        <v>#N/A</v>
      </c>
      <c r="K112" s="219"/>
      <c r="L112" s="220"/>
      <c r="M112" s="220"/>
    </row>
    <row r="113">
      <c r="A113" s="220" t="s">
        <v>364</v>
      </c>
      <c r="B113" s="214" t="s">
        <v>366</v>
      </c>
      <c r="C113" s="214"/>
      <c r="D113" s="214" t="str">
        <f t="shared" si="1"/>
        <v>O</v>
      </c>
      <c r="E113" s="214" t="s">
        <v>57</v>
      </c>
      <c r="F113" s="215">
        <v>2.31981005E8</v>
      </c>
      <c r="G113" s="216" t="s">
        <v>368</v>
      </c>
      <c r="H113" s="216">
        <v>4334133.0</v>
      </c>
      <c r="I113" s="218">
        <f t="shared" ref="I113:I114" si="4">+I111+1</f>
        <v>111</v>
      </c>
      <c r="J113" s="219" t="str">
        <f t="shared" si="2"/>
        <v>#N/A</v>
      </c>
      <c r="K113" s="219"/>
      <c r="L113" s="220"/>
      <c r="M113" s="220"/>
    </row>
    <row r="114">
      <c r="A114" s="220" t="s">
        <v>364</v>
      </c>
      <c r="B114" s="214" t="s">
        <v>370</v>
      </c>
      <c r="C114" s="214"/>
      <c r="D114" s="214" t="str">
        <f t="shared" si="1"/>
        <v>O</v>
      </c>
      <c r="E114" s="214" t="s">
        <v>57</v>
      </c>
      <c r="F114" s="215">
        <v>2.31981005E8</v>
      </c>
      <c r="G114" s="216" t="s">
        <v>373</v>
      </c>
      <c r="H114" s="216">
        <v>4334133.0</v>
      </c>
      <c r="I114" s="218">
        <f t="shared" si="4"/>
        <v>112</v>
      </c>
      <c r="J114" s="219" t="str">
        <f t="shared" si="2"/>
        <v>#N/A</v>
      </c>
      <c r="K114" s="219"/>
      <c r="L114" s="220"/>
      <c r="M114" s="220"/>
    </row>
    <row r="115">
      <c r="A115" s="103" t="s">
        <v>375</v>
      </c>
      <c r="B115" s="274" t="s">
        <v>377</v>
      </c>
      <c r="C115" s="103"/>
      <c r="D115" s="103" t="str">
        <f t="shared" si="1"/>
        <v>O</v>
      </c>
      <c r="E115" s="103" t="s">
        <v>57</v>
      </c>
      <c r="F115" s="105">
        <v>2.1983002E7</v>
      </c>
      <c r="G115" s="106">
        <v>2.1983002E7</v>
      </c>
      <c r="H115" s="106">
        <v>135215.0</v>
      </c>
      <c r="I115" s="107">
        <f t="shared" ref="I115:I707" si="5">+I114+1</f>
        <v>113</v>
      </c>
      <c r="J115" s="108" t="str">
        <f t="shared" si="2"/>
        <v>#N/A</v>
      </c>
      <c r="K115" s="293"/>
      <c r="L115" s="293"/>
      <c r="M115" s="293"/>
    </row>
    <row r="116">
      <c r="A116" s="103" t="s">
        <v>375</v>
      </c>
      <c r="B116" s="103" t="s">
        <v>380</v>
      </c>
      <c r="C116" s="103"/>
      <c r="D116" s="103" t="str">
        <f t="shared" si="1"/>
        <v>O</v>
      </c>
      <c r="E116" s="103" t="s">
        <v>57</v>
      </c>
      <c r="F116" s="105">
        <v>2.1983002E7</v>
      </c>
      <c r="G116" s="106">
        <v>2.19830021E7</v>
      </c>
      <c r="H116" s="107"/>
      <c r="I116" s="107">
        <f t="shared" si="5"/>
        <v>114</v>
      </c>
      <c r="J116" s="108" t="str">
        <f t="shared" si="2"/>
        <v>#N/A</v>
      </c>
      <c r="K116" s="108"/>
      <c r="L116" s="109"/>
      <c r="M116" s="109"/>
    </row>
    <row r="117">
      <c r="A117" s="103" t="s">
        <v>375</v>
      </c>
      <c r="B117" s="274" t="s">
        <v>381</v>
      </c>
      <c r="C117" s="103"/>
      <c r="D117" s="103" t="str">
        <f t="shared" si="1"/>
        <v>O</v>
      </c>
      <c r="E117" s="103" t="s">
        <v>72</v>
      </c>
      <c r="F117" s="105">
        <v>2.1983002E7</v>
      </c>
      <c r="G117" s="106" t="s">
        <v>383</v>
      </c>
      <c r="H117" s="107">
        <v>135215.0</v>
      </c>
      <c r="I117" s="107">
        <f t="shared" si="5"/>
        <v>115</v>
      </c>
      <c r="J117" s="108" t="str">
        <f t="shared" si="2"/>
        <v>#N/A</v>
      </c>
      <c r="K117" s="108"/>
      <c r="L117" s="109"/>
      <c r="M117" s="109"/>
    </row>
    <row r="118">
      <c r="A118" s="103" t="s">
        <v>375</v>
      </c>
      <c r="B118" s="103" t="s">
        <v>375</v>
      </c>
      <c r="C118" s="297" t="s">
        <v>83</v>
      </c>
      <c r="D118" s="103" t="str">
        <f t="shared" si="1"/>
        <v>L</v>
      </c>
      <c r="E118" s="103" t="s">
        <v>34</v>
      </c>
      <c r="F118" s="105" t="s">
        <v>386</v>
      </c>
      <c r="G118" s="106">
        <v>6.6944004E7</v>
      </c>
      <c r="H118" s="107">
        <v>4281109.0</v>
      </c>
      <c r="I118" s="107">
        <f t="shared" si="5"/>
        <v>116</v>
      </c>
      <c r="J118" s="108" t="str">
        <f t="shared" si="2"/>
        <v>#N/A</v>
      </c>
      <c r="K118" s="108"/>
      <c r="L118" s="109"/>
      <c r="M118" s="109"/>
    </row>
    <row r="119">
      <c r="A119" s="103" t="s">
        <v>375</v>
      </c>
      <c r="B119" s="103" t="s">
        <v>375</v>
      </c>
      <c r="C119" s="297"/>
      <c r="D119" s="103" t="str">
        <f t="shared" si="1"/>
        <v>O</v>
      </c>
      <c r="E119" s="103" t="s">
        <v>388</v>
      </c>
      <c r="F119" s="105" t="s">
        <v>386</v>
      </c>
      <c r="G119" s="106">
        <v>6.69440041E7</v>
      </c>
      <c r="H119" s="107">
        <v>4034815.0</v>
      </c>
      <c r="I119" s="107">
        <f t="shared" si="5"/>
        <v>117</v>
      </c>
      <c r="J119" s="108" t="str">
        <f t="shared" si="2"/>
        <v>#N/A</v>
      </c>
      <c r="K119" s="108"/>
      <c r="L119" s="109"/>
      <c r="M119" s="109"/>
    </row>
    <row r="120">
      <c r="A120" s="103" t="s">
        <v>375</v>
      </c>
      <c r="B120" s="103" t="s">
        <v>375</v>
      </c>
      <c r="C120" s="297" t="s">
        <v>83</v>
      </c>
      <c r="D120" s="103" t="str">
        <f t="shared" si="1"/>
        <v>O</v>
      </c>
      <c r="E120" s="103" t="s">
        <v>388</v>
      </c>
      <c r="F120" s="105" t="s">
        <v>386</v>
      </c>
      <c r="G120" s="106">
        <v>6.69440042E7</v>
      </c>
      <c r="H120" s="107">
        <v>4130018.0</v>
      </c>
      <c r="I120" s="107">
        <f t="shared" si="5"/>
        <v>118</v>
      </c>
      <c r="J120" s="108" t="str">
        <f t="shared" si="2"/>
        <v>#N/A</v>
      </c>
      <c r="K120" s="108"/>
      <c r="L120" s="109"/>
      <c r="M120" s="109"/>
    </row>
    <row r="121">
      <c r="A121" s="103" t="s">
        <v>375</v>
      </c>
      <c r="B121" s="103" t="s">
        <v>391</v>
      </c>
      <c r="C121" s="103"/>
      <c r="D121" s="103" t="str">
        <f t="shared" si="1"/>
        <v>O</v>
      </c>
      <c r="E121" s="103" t="s">
        <v>57</v>
      </c>
      <c r="F121" s="105" t="s">
        <v>386</v>
      </c>
      <c r="G121" s="106">
        <v>6.6944004300000004E7</v>
      </c>
      <c r="H121" s="107"/>
      <c r="I121" s="107">
        <f t="shared" si="5"/>
        <v>119</v>
      </c>
      <c r="J121" s="108" t="str">
        <f t="shared" si="2"/>
        <v>#N/A</v>
      </c>
      <c r="K121" s="108"/>
      <c r="L121" s="109"/>
      <c r="M121" s="109"/>
    </row>
    <row r="122">
      <c r="A122" s="103" t="s">
        <v>375</v>
      </c>
      <c r="B122" s="103" t="s">
        <v>392</v>
      </c>
      <c r="C122" s="103"/>
      <c r="D122" s="103" t="str">
        <f t="shared" si="1"/>
        <v>O</v>
      </c>
      <c r="E122" s="103" t="s">
        <v>57</v>
      </c>
      <c r="F122" s="105">
        <v>2.1983002E7</v>
      </c>
      <c r="G122" s="106" t="s">
        <v>393</v>
      </c>
      <c r="H122" s="107"/>
      <c r="I122" s="107">
        <f t="shared" si="5"/>
        <v>120</v>
      </c>
      <c r="J122" s="108" t="str">
        <f t="shared" si="2"/>
        <v>#N/A</v>
      </c>
      <c r="K122" s="108"/>
      <c r="L122" s="109"/>
      <c r="M122" s="109"/>
    </row>
    <row r="123">
      <c r="A123" s="22" t="s">
        <v>394</v>
      </c>
      <c r="B123" s="22" t="s">
        <v>394</v>
      </c>
      <c r="C123" s="95" t="s">
        <v>83</v>
      </c>
      <c r="D123" s="22" t="str">
        <f t="shared" si="1"/>
        <v>L</v>
      </c>
      <c r="E123" s="22" t="s">
        <v>34</v>
      </c>
      <c r="F123" s="34">
        <v>4.02397006E8</v>
      </c>
      <c r="G123" s="35">
        <v>4.02397006E8</v>
      </c>
      <c r="H123" s="37">
        <v>4224623.0</v>
      </c>
      <c r="I123" s="37">
        <f t="shared" si="5"/>
        <v>121</v>
      </c>
      <c r="J123" s="41" t="str">
        <f t="shared" si="2"/>
        <v>#N/A</v>
      </c>
      <c r="K123" s="41"/>
      <c r="L123" s="45"/>
      <c r="M123" s="45"/>
    </row>
    <row r="124">
      <c r="A124" s="22" t="s">
        <v>394</v>
      </c>
      <c r="B124" s="22" t="s">
        <v>395</v>
      </c>
      <c r="C124" s="22"/>
      <c r="D124" s="22" t="str">
        <f t="shared" si="1"/>
        <v>O</v>
      </c>
      <c r="E124" s="22" t="s">
        <v>57</v>
      </c>
      <c r="F124" s="34">
        <v>4.02397006E8</v>
      </c>
      <c r="G124" s="35">
        <v>4.023970061E8</v>
      </c>
      <c r="H124" s="37"/>
      <c r="I124" s="37">
        <f t="shared" si="5"/>
        <v>122</v>
      </c>
      <c r="J124" s="41" t="str">
        <f t="shared" si="2"/>
        <v>#N/A</v>
      </c>
      <c r="K124" s="41"/>
      <c r="L124" s="45"/>
      <c r="M124" s="45"/>
    </row>
    <row r="125">
      <c r="A125" s="22" t="s">
        <v>394</v>
      </c>
      <c r="B125" s="22" t="s">
        <v>396</v>
      </c>
      <c r="C125" s="22"/>
      <c r="D125" s="22" t="str">
        <f t="shared" si="1"/>
        <v>O</v>
      </c>
      <c r="E125" s="22" t="s">
        <v>57</v>
      </c>
      <c r="F125" s="34">
        <v>4.02397006E8</v>
      </c>
      <c r="G125" s="35">
        <v>4.0239700620000005E8</v>
      </c>
      <c r="H125" s="37"/>
      <c r="I125" s="37">
        <f t="shared" si="5"/>
        <v>123</v>
      </c>
      <c r="J125" s="41" t="str">
        <f t="shared" si="2"/>
        <v>#N/A</v>
      </c>
      <c r="K125" s="41"/>
      <c r="L125" s="45"/>
      <c r="M125" s="45"/>
    </row>
    <row r="126">
      <c r="A126" s="22" t="s">
        <v>394</v>
      </c>
      <c r="B126" s="22" t="s">
        <v>397</v>
      </c>
      <c r="C126" s="22"/>
      <c r="D126" s="22" t="str">
        <f t="shared" si="1"/>
        <v>O</v>
      </c>
      <c r="E126" s="22" t="s">
        <v>57</v>
      </c>
      <c r="F126" s="34">
        <v>4.02397006E8</v>
      </c>
      <c r="G126" s="35">
        <v>4.023970063E8</v>
      </c>
      <c r="H126" s="37"/>
      <c r="I126" s="37">
        <f t="shared" si="5"/>
        <v>124</v>
      </c>
      <c r="J126" s="41" t="str">
        <f t="shared" si="2"/>
        <v>#N/A</v>
      </c>
      <c r="K126" s="41"/>
      <c r="L126" s="45"/>
      <c r="M126" s="45"/>
    </row>
    <row r="127">
      <c r="A127" s="22" t="s">
        <v>398</v>
      </c>
      <c r="B127" s="22" t="s">
        <v>398</v>
      </c>
      <c r="C127" s="95" t="s">
        <v>83</v>
      </c>
      <c r="D127" s="22" t="str">
        <f t="shared" si="1"/>
        <v>L</v>
      </c>
      <c r="E127" s="22" t="s">
        <v>34</v>
      </c>
      <c r="F127" s="34">
        <v>4.02402005E8</v>
      </c>
      <c r="G127" s="35">
        <v>4.02402005E8</v>
      </c>
      <c r="H127" s="37">
        <v>4221673.0</v>
      </c>
      <c r="I127" s="37">
        <f t="shared" si="5"/>
        <v>125</v>
      </c>
      <c r="J127" s="41" t="str">
        <f t="shared" si="2"/>
        <v>#N/A</v>
      </c>
      <c r="K127" s="41"/>
      <c r="L127" s="45"/>
      <c r="M127" s="45"/>
    </row>
    <row r="128">
      <c r="A128" s="74" t="s">
        <v>401</v>
      </c>
      <c r="B128" s="74" t="s">
        <v>401</v>
      </c>
      <c r="C128" s="74"/>
      <c r="D128" s="74" t="str">
        <f t="shared" si="1"/>
        <v>L</v>
      </c>
      <c r="E128" s="74" t="s">
        <v>34</v>
      </c>
      <c r="F128" s="79">
        <v>4.27213005E8</v>
      </c>
      <c r="G128" s="80">
        <v>4.27213005E8</v>
      </c>
      <c r="H128" s="81">
        <v>4146124.0</v>
      </c>
      <c r="I128" s="81">
        <f t="shared" si="5"/>
        <v>126</v>
      </c>
      <c r="J128" s="82" t="str">
        <f t="shared" si="2"/>
        <v>#N/A</v>
      </c>
      <c r="K128" s="82"/>
      <c r="L128" s="83"/>
      <c r="M128" s="83"/>
    </row>
    <row r="129">
      <c r="A129" s="310" t="s">
        <v>403</v>
      </c>
      <c r="B129" s="310" t="s">
        <v>403</v>
      </c>
      <c r="C129" s="222" t="s">
        <v>83</v>
      </c>
      <c r="D129" s="310" t="str">
        <f t="shared" si="1"/>
        <v>L</v>
      </c>
      <c r="E129" s="310" t="s">
        <v>34</v>
      </c>
      <c r="F129" s="215">
        <v>2.30380005E8</v>
      </c>
      <c r="G129" s="216">
        <v>2.30380005E8</v>
      </c>
      <c r="H129" s="218">
        <v>4046110.0</v>
      </c>
      <c r="I129" s="218">
        <f t="shared" si="5"/>
        <v>127</v>
      </c>
      <c r="J129" s="219" t="str">
        <f t="shared" si="2"/>
        <v>#N/A</v>
      </c>
      <c r="K129" s="219"/>
      <c r="L129" s="220"/>
      <c r="M129" s="220"/>
    </row>
    <row r="130">
      <c r="A130" s="310" t="s">
        <v>403</v>
      </c>
      <c r="B130" s="310" t="s">
        <v>405</v>
      </c>
      <c r="C130" s="214"/>
      <c r="D130" s="310" t="str">
        <f t="shared" si="1"/>
        <v>O</v>
      </c>
      <c r="E130" s="310" t="s">
        <v>57</v>
      </c>
      <c r="F130" s="215">
        <v>2.30380005E8</v>
      </c>
      <c r="G130" s="216">
        <v>2.303800051E8</v>
      </c>
      <c r="H130" s="218"/>
      <c r="I130" s="218">
        <f t="shared" si="5"/>
        <v>128</v>
      </c>
      <c r="J130" s="219" t="str">
        <f t="shared" si="2"/>
        <v>#N/A</v>
      </c>
      <c r="K130" s="219"/>
      <c r="L130" s="220"/>
      <c r="M130" s="220"/>
    </row>
    <row r="131">
      <c r="A131" s="310" t="s">
        <v>403</v>
      </c>
      <c r="B131" s="310" t="s">
        <v>408</v>
      </c>
      <c r="C131" s="214"/>
      <c r="D131" s="310" t="str">
        <f t="shared" si="1"/>
        <v>O</v>
      </c>
      <c r="E131" s="310" t="s">
        <v>57</v>
      </c>
      <c r="F131" s="215">
        <v>2.30380005E8</v>
      </c>
      <c r="G131" s="216">
        <v>2.303800052E8</v>
      </c>
      <c r="H131" s="218"/>
      <c r="I131" s="218">
        <f t="shared" si="5"/>
        <v>129</v>
      </c>
      <c r="J131" s="219" t="str">
        <f t="shared" si="2"/>
        <v>#N/A</v>
      </c>
      <c r="K131" s="219"/>
      <c r="L131" s="220"/>
      <c r="M131" s="220"/>
    </row>
    <row r="132">
      <c r="A132" s="310" t="s">
        <v>403</v>
      </c>
      <c r="B132" s="310" t="s">
        <v>411</v>
      </c>
      <c r="C132" s="214"/>
      <c r="D132" s="310" t="str">
        <f t="shared" si="1"/>
        <v>O</v>
      </c>
      <c r="E132" s="310" t="s">
        <v>57</v>
      </c>
      <c r="F132" s="215">
        <v>2.30380005E8</v>
      </c>
      <c r="G132" s="216">
        <v>2.3038000529999998E8</v>
      </c>
      <c r="H132" s="218"/>
      <c r="I132" s="218">
        <f t="shared" si="5"/>
        <v>130</v>
      </c>
      <c r="J132" s="219" t="str">
        <f t="shared" si="2"/>
        <v>#N/A</v>
      </c>
      <c r="K132" s="219"/>
      <c r="L132" s="220"/>
      <c r="M132" s="220"/>
    </row>
    <row r="133">
      <c r="A133" s="310" t="s">
        <v>403</v>
      </c>
      <c r="B133" s="310" t="s">
        <v>413</v>
      </c>
      <c r="C133" s="214"/>
      <c r="D133" s="310" t="str">
        <f t="shared" si="1"/>
        <v>O</v>
      </c>
      <c r="E133" s="310" t="s">
        <v>57</v>
      </c>
      <c r="F133" s="215">
        <v>2.30380005E8</v>
      </c>
      <c r="G133" s="216">
        <v>2.303800054E8</v>
      </c>
      <c r="H133" s="315"/>
      <c r="I133" s="218">
        <f t="shared" si="5"/>
        <v>131</v>
      </c>
      <c r="J133" s="219" t="str">
        <f t="shared" si="2"/>
        <v>#N/A</v>
      </c>
      <c r="K133" s="219"/>
      <c r="L133" s="220"/>
      <c r="M133" s="220"/>
    </row>
    <row r="134">
      <c r="A134" s="74" t="s">
        <v>415</v>
      </c>
      <c r="B134" s="74" t="s">
        <v>415</v>
      </c>
      <c r="C134" s="207" t="s">
        <v>83</v>
      </c>
      <c r="D134" s="74" t="str">
        <f t="shared" si="1"/>
        <v>L</v>
      </c>
      <c r="E134" s="74" t="s">
        <v>34</v>
      </c>
      <c r="F134" s="79">
        <v>3.10701003E8</v>
      </c>
      <c r="G134" s="80">
        <v>3.10701003E8</v>
      </c>
      <c r="H134" s="81">
        <v>436642.0</v>
      </c>
      <c r="I134" s="81">
        <f t="shared" si="5"/>
        <v>132</v>
      </c>
      <c r="J134" s="82" t="str">
        <f t="shared" si="2"/>
        <v>#N/A</v>
      </c>
      <c r="K134" s="82"/>
      <c r="L134" s="83"/>
      <c r="M134" s="83"/>
    </row>
    <row r="135">
      <c r="A135" s="74" t="s">
        <v>415</v>
      </c>
      <c r="B135" s="74" t="s">
        <v>418</v>
      </c>
      <c r="C135" s="207" t="s">
        <v>83</v>
      </c>
      <c r="D135" s="74" t="str">
        <f t="shared" si="1"/>
        <v>O</v>
      </c>
      <c r="E135" s="74" t="s">
        <v>419</v>
      </c>
      <c r="F135" s="79">
        <v>3.10701003E8</v>
      </c>
      <c r="G135" s="80">
        <v>3.107010031E8</v>
      </c>
      <c r="H135" s="81">
        <v>436642.0</v>
      </c>
      <c r="I135" s="81">
        <f t="shared" si="5"/>
        <v>133</v>
      </c>
      <c r="J135" s="82" t="str">
        <f t="shared" si="2"/>
        <v>#N/A</v>
      </c>
      <c r="K135" s="82"/>
      <c r="L135" s="83"/>
      <c r="M135" s="83"/>
    </row>
    <row r="136">
      <c r="A136" s="74" t="s">
        <v>415</v>
      </c>
      <c r="B136" s="74" t="s">
        <v>423</v>
      </c>
      <c r="C136" s="74"/>
      <c r="D136" s="74" t="str">
        <f t="shared" si="1"/>
        <v>O</v>
      </c>
      <c r="E136" s="74" t="s">
        <v>57</v>
      </c>
      <c r="F136" s="79">
        <v>3.10701003E8</v>
      </c>
      <c r="G136" s="80">
        <v>3.1070100320000005E8</v>
      </c>
      <c r="H136" s="81"/>
      <c r="I136" s="81">
        <f t="shared" si="5"/>
        <v>134</v>
      </c>
      <c r="J136" s="82" t="str">
        <f t="shared" si="2"/>
        <v>#N/A</v>
      </c>
      <c r="K136" s="82"/>
      <c r="L136" s="83"/>
      <c r="M136" s="83"/>
    </row>
    <row r="137">
      <c r="A137" s="74" t="s">
        <v>415</v>
      </c>
      <c r="B137" s="74" t="s">
        <v>426</v>
      </c>
      <c r="C137" s="74"/>
      <c r="D137" s="74" t="str">
        <f t="shared" si="1"/>
        <v>O</v>
      </c>
      <c r="E137" s="74" t="s">
        <v>57</v>
      </c>
      <c r="F137" s="79">
        <v>3.10701003E8</v>
      </c>
      <c r="G137" s="80">
        <v>3.107010033E8</v>
      </c>
      <c r="H137" s="81"/>
      <c r="I137" s="81">
        <f t="shared" si="5"/>
        <v>135</v>
      </c>
      <c r="J137" s="82" t="str">
        <f t="shared" si="2"/>
        <v>#N/A</v>
      </c>
      <c r="K137" s="82"/>
      <c r="L137" s="83"/>
      <c r="M137" s="83"/>
    </row>
    <row r="138">
      <c r="A138" s="74" t="s">
        <v>415</v>
      </c>
      <c r="B138" s="74" t="s">
        <v>427</v>
      </c>
      <c r="C138" s="74"/>
      <c r="D138" s="74" t="str">
        <f t="shared" si="1"/>
        <v>O</v>
      </c>
      <c r="E138" s="74" t="s">
        <v>57</v>
      </c>
      <c r="F138" s="79">
        <v>7.21226005E8</v>
      </c>
      <c r="G138" s="80">
        <v>7.21226005E8</v>
      </c>
      <c r="H138" s="81">
        <v>3.6715522E7</v>
      </c>
      <c r="I138" s="81">
        <f t="shared" si="5"/>
        <v>136</v>
      </c>
      <c r="J138" s="82" t="str">
        <f t="shared" si="2"/>
        <v>#N/A</v>
      </c>
      <c r="K138" s="82"/>
      <c r="L138" s="83"/>
      <c r="M138" s="83"/>
    </row>
    <row r="139">
      <c r="A139" s="74" t="s">
        <v>415</v>
      </c>
      <c r="B139" s="74" t="s">
        <v>428</v>
      </c>
      <c r="C139" s="74"/>
      <c r="D139" s="74" t="str">
        <f t="shared" si="1"/>
        <v>O</v>
      </c>
      <c r="E139" s="74" t="s">
        <v>57</v>
      </c>
      <c r="F139" s="79">
        <v>7.21226005E8</v>
      </c>
      <c r="G139" s="80">
        <v>7.212260051E8</v>
      </c>
      <c r="H139" s="81"/>
      <c r="I139" s="81">
        <f t="shared" si="5"/>
        <v>137</v>
      </c>
      <c r="J139" s="82" t="str">
        <f t="shared" si="2"/>
        <v>#N/A</v>
      </c>
      <c r="K139" s="82"/>
      <c r="L139" s="83"/>
      <c r="M139" s="83"/>
    </row>
    <row r="140">
      <c r="A140" s="22" t="s">
        <v>429</v>
      </c>
      <c r="B140" s="22" t="s">
        <v>429</v>
      </c>
      <c r="C140" s="25" t="s">
        <v>22</v>
      </c>
      <c r="D140" s="22" t="str">
        <f t="shared" si="1"/>
        <v>L</v>
      </c>
      <c r="E140" s="22" t="s">
        <v>34</v>
      </c>
      <c r="F140" s="34">
        <v>3.4250006E7</v>
      </c>
      <c r="G140" s="35">
        <v>3.4250006E7</v>
      </c>
      <c r="H140" s="37">
        <v>4142060.0</v>
      </c>
      <c r="I140" s="37">
        <f t="shared" si="5"/>
        <v>138</v>
      </c>
      <c r="J140" s="41" t="str">
        <f t="shared" si="2"/>
        <v>#N/A</v>
      </c>
      <c r="K140" s="41"/>
      <c r="L140" s="45"/>
      <c r="M140" s="45"/>
    </row>
    <row r="141">
      <c r="A141" s="22" t="s">
        <v>429</v>
      </c>
      <c r="B141" s="22" t="s">
        <v>431</v>
      </c>
      <c r="C141" s="25"/>
      <c r="D141" s="22" t="str">
        <f t="shared" si="1"/>
        <v>O</v>
      </c>
      <c r="E141" s="22" t="s">
        <v>57</v>
      </c>
      <c r="F141" s="34">
        <v>3.4250006E7</v>
      </c>
      <c r="G141" s="35">
        <v>3.42500061E7</v>
      </c>
      <c r="H141" s="37"/>
      <c r="I141" s="37">
        <f t="shared" si="5"/>
        <v>139</v>
      </c>
      <c r="J141" s="41" t="str">
        <f t="shared" si="2"/>
        <v>#N/A</v>
      </c>
      <c r="K141" s="41"/>
      <c r="L141" s="45"/>
      <c r="M141" s="45"/>
    </row>
    <row r="142">
      <c r="A142" s="22" t="s">
        <v>429</v>
      </c>
      <c r="B142" s="22" t="s">
        <v>433</v>
      </c>
      <c r="C142" s="22"/>
      <c r="D142" s="22" t="str">
        <f t="shared" si="1"/>
        <v>O</v>
      </c>
      <c r="E142" s="22" t="s">
        <v>57</v>
      </c>
      <c r="F142" s="34">
        <v>3.4250006E7</v>
      </c>
      <c r="G142" s="35">
        <v>3.42500062E7</v>
      </c>
      <c r="H142" s="37"/>
      <c r="I142" s="37">
        <f t="shared" si="5"/>
        <v>140</v>
      </c>
      <c r="J142" s="41" t="str">
        <f t="shared" si="2"/>
        <v>#N/A</v>
      </c>
      <c r="K142" s="41"/>
      <c r="L142" s="45"/>
      <c r="M142" s="45"/>
    </row>
    <row r="143">
      <c r="A143" s="22" t="s">
        <v>429</v>
      </c>
      <c r="B143" s="22" t="s">
        <v>435</v>
      </c>
      <c r="C143" s="22"/>
      <c r="D143" s="22" t="str">
        <f t="shared" si="1"/>
        <v>O</v>
      </c>
      <c r="E143" s="22" t="s">
        <v>57</v>
      </c>
      <c r="F143" s="34">
        <v>3.4250006E7</v>
      </c>
      <c r="G143" s="35">
        <v>3.4250006300000004E7</v>
      </c>
      <c r="H143" s="37"/>
      <c r="I143" s="37">
        <f t="shared" si="5"/>
        <v>141</v>
      </c>
      <c r="J143" s="41" t="str">
        <f t="shared" si="2"/>
        <v>#N/A</v>
      </c>
      <c r="K143" s="41"/>
      <c r="L143" s="45"/>
      <c r="M143" s="45"/>
    </row>
    <row r="144">
      <c r="A144" s="22" t="s">
        <v>429</v>
      </c>
      <c r="B144" s="22" t="s">
        <v>436</v>
      </c>
      <c r="C144" s="22"/>
      <c r="D144" s="22" t="str">
        <f t="shared" si="1"/>
        <v>O</v>
      </c>
      <c r="E144" s="22" t="s">
        <v>57</v>
      </c>
      <c r="F144" s="34">
        <v>3.4250006E7</v>
      </c>
      <c r="G144" s="35">
        <v>3.42500064E7</v>
      </c>
      <c r="H144" s="37"/>
      <c r="I144" s="37">
        <f t="shared" si="5"/>
        <v>142</v>
      </c>
      <c r="J144" s="41" t="str">
        <f t="shared" si="2"/>
        <v>#N/A</v>
      </c>
      <c r="K144" s="41"/>
      <c r="L144" s="45"/>
      <c r="M144" s="45"/>
    </row>
    <row r="145">
      <c r="A145" s="22" t="s">
        <v>429</v>
      </c>
      <c r="B145" s="22" t="s">
        <v>438</v>
      </c>
      <c r="C145" s="22"/>
      <c r="D145" s="22" t="str">
        <f t="shared" si="1"/>
        <v>O</v>
      </c>
      <c r="E145" s="22" t="s">
        <v>72</v>
      </c>
      <c r="F145" s="34">
        <v>3.14757003E8</v>
      </c>
      <c r="G145" s="35">
        <v>3.14757003E8</v>
      </c>
      <c r="H145" s="37">
        <v>4152707.0</v>
      </c>
      <c r="I145" s="37">
        <f t="shared" si="5"/>
        <v>143</v>
      </c>
      <c r="J145" s="41" t="str">
        <f t="shared" si="2"/>
        <v>#N/A</v>
      </c>
      <c r="K145" s="41"/>
      <c r="L145" s="45"/>
      <c r="M145" s="45"/>
    </row>
    <row r="146">
      <c r="A146" s="22" t="s">
        <v>441</v>
      </c>
      <c r="B146" s="22" t="s">
        <v>441</v>
      </c>
      <c r="C146" s="25" t="s">
        <v>83</v>
      </c>
      <c r="D146" s="22" t="str">
        <f t="shared" si="1"/>
        <v>L</v>
      </c>
      <c r="E146" s="22" t="s">
        <v>34</v>
      </c>
      <c r="F146" s="34">
        <v>7.7090002E7</v>
      </c>
      <c r="G146" s="35">
        <v>7.7090002E7</v>
      </c>
      <c r="H146" s="37">
        <v>4298692.0</v>
      </c>
      <c r="I146" s="37">
        <f t="shared" si="5"/>
        <v>144</v>
      </c>
      <c r="J146" s="41" t="str">
        <f t="shared" si="2"/>
        <v>#N/A</v>
      </c>
      <c r="K146" s="41"/>
      <c r="L146" s="45"/>
      <c r="M146" s="45"/>
    </row>
    <row r="147">
      <c r="A147" s="22" t="s">
        <v>441</v>
      </c>
      <c r="B147" s="22" t="s">
        <v>441</v>
      </c>
      <c r="C147" s="25" t="s">
        <v>83</v>
      </c>
      <c r="D147" s="22" t="str">
        <f t="shared" si="1"/>
        <v>O</v>
      </c>
      <c r="E147" s="22" t="s">
        <v>388</v>
      </c>
      <c r="F147" s="34">
        <v>7.7090002E7</v>
      </c>
      <c r="G147" s="35">
        <v>7.70900021E7</v>
      </c>
      <c r="H147" s="37">
        <v>139899.0</v>
      </c>
      <c r="I147" s="37">
        <f t="shared" si="5"/>
        <v>145</v>
      </c>
      <c r="J147" s="41" t="str">
        <f t="shared" si="2"/>
        <v>#N/A</v>
      </c>
      <c r="K147" s="41"/>
      <c r="L147" s="45"/>
      <c r="M147" s="45"/>
    </row>
    <row r="148">
      <c r="A148" s="214" t="s">
        <v>446</v>
      </c>
      <c r="B148" s="214" t="s">
        <v>446</v>
      </c>
      <c r="C148" s="222" t="s">
        <v>83</v>
      </c>
      <c r="D148" s="214" t="str">
        <f t="shared" si="1"/>
        <v>L</v>
      </c>
      <c r="E148" s="214" t="s">
        <v>34</v>
      </c>
      <c r="F148" s="215">
        <v>1.93042E8</v>
      </c>
      <c r="G148" s="216">
        <v>1.93042E8</v>
      </c>
      <c r="H148" s="218">
        <v>437854.0</v>
      </c>
      <c r="I148" s="218">
        <f t="shared" si="5"/>
        <v>146</v>
      </c>
      <c r="J148" s="219" t="str">
        <f t="shared" si="2"/>
        <v>#N/A</v>
      </c>
      <c r="K148" s="219"/>
      <c r="L148" s="220"/>
      <c r="M148" s="220"/>
    </row>
    <row r="149">
      <c r="A149" s="214" t="s">
        <v>446</v>
      </c>
      <c r="B149" s="214" t="s">
        <v>449</v>
      </c>
      <c r="C149" s="222" t="s">
        <v>83</v>
      </c>
      <c r="D149" s="214" t="str">
        <f t="shared" si="1"/>
        <v>O</v>
      </c>
      <c r="E149" s="214" t="s">
        <v>57</v>
      </c>
      <c r="F149" s="215" t="s">
        <v>453</v>
      </c>
      <c r="G149" s="216" t="s">
        <v>453</v>
      </c>
      <c r="H149" s="218">
        <v>4.2536721E7</v>
      </c>
      <c r="I149" s="218">
        <f t="shared" si="5"/>
        <v>147</v>
      </c>
      <c r="J149" s="219" t="str">
        <f t="shared" si="2"/>
        <v>#N/A</v>
      </c>
      <c r="K149" s="219"/>
      <c r="L149" s="220"/>
      <c r="M149" s="220"/>
    </row>
    <row r="150">
      <c r="A150" s="232" t="s">
        <v>456</v>
      </c>
      <c r="B150" s="232" t="s">
        <v>457</v>
      </c>
      <c r="C150" s="232"/>
      <c r="D150" s="232" t="str">
        <f t="shared" si="1"/>
        <v>O</v>
      </c>
      <c r="E150" s="232" t="s">
        <v>72</v>
      </c>
      <c r="F150" s="233">
        <v>9.1867008E7</v>
      </c>
      <c r="G150" s="234">
        <v>9.1867008E7</v>
      </c>
      <c r="H150" s="235">
        <v>4241413.0</v>
      </c>
      <c r="I150" s="235">
        <f t="shared" si="5"/>
        <v>148</v>
      </c>
      <c r="J150" s="236" t="str">
        <f t="shared" si="2"/>
        <v>#N/A</v>
      </c>
      <c r="K150" s="236"/>
      <c r="L150" s="237"/>
      <c r="M150" s="237"/>
    </row>
    <row r="151">
      <c r="A151" s="232" t="s">
        <v>456</v>
      </c>
      <c r="B151" s="232" t="s">
        <v>456</v>
      </c>
      <c r="C151" s="232" t="s">
        <v>83</v>
      </c>
      <c r="D151" s="232" t="str">
        <f t="shared" si="1"/>
        <v>L</v>
      </c>
      <c r="E151" s="232" t="s">
        <v>34</v>
      </c>
      <c r="F151" s="233">
        <v>3.96331005E8</v>
      </c>
      <c r="G151" s="234">
        <v>3.96331005E8</v>
      </c>
      <c r="H151" s="235">
        <v>194992.0</v>
      </c>
      <c r="I151" s="235">
        <f t="shared" si="5"/>
        <v>149</v>
      </c>
      <c r="J151" s="236" t="str">
        <f t="shared" si="2"/>
        <v>#N/A</v>
      </c>
      <c r="K151" s="236"/>
      <c r="L151" s="237"/>
      <c r="M151" s="237"/>
    </row>
    <row r="152">
      <c r="A152" s="232" t="s">
        <v>456</v>
      </c>
      <c r="B152" s="232" t="s">
        <v>458</v>
      </c>
      <c r="C152" s="232"/>
      <c r="D152" s="232" t="str">
        <f t="shared" si="1"/>
        <v>O</v>
      </c>
      <c r="E152" s="232" t="s">
        <v>57</v>
      </c>
      <c r="F152" s="233">
        <v>3.96331005E8</v>
      </c>
      <c r="G152" s="234">
        <v>3.963310051E8</v>
      </c>
      <c r="H152" s="235"/>
      <c r="I152" s="235">
        <f t="shared" si="5"/>
        <v>150</v>
      </c>
      <c r="J152" s="236" t="str">
        <f t="shared" si="2"/>
        <v>#N/A</v>
      </c>
      <c r="K152" s="236"/>
      <c r="L152" s="237"/>
      <c r="M152" s="237"/>
    </row>
    <row r="153">
      <c r="A153" s="232" t="s">
        <v>456</v>
      </c>
      <c r="B153" s="232" t="s">
        <v>459</v>
      </c>
      <c r="C153" s="232"/>
      <c r="D153" s="232" t="str">
        <f t="shared" si="1"/>
        <v>O</v>
      </c>
      <c r="E153" s="232" t="s">
        <v>57</v>
      </c>
      <c r="F153" s="233">
        <v>3.96331005E8</v>
      </c>
      <c r="G153" s="234">
        <v>3.9633100520000005E8</v>
      </c>
      <c r="H153" s="235"/>
      <c r="I153" s="235">
        <f t="shared" si="5"/>
        <v>151</v>
      </c>
      <c r="J153" s="236" t="str">
        <f t="shared" si="2"/>
        <v>#N/A</v>
      </c>
      <c r="K153" s="236"/>
      <c r="L153" s="237"/>
      <c r="M153" s="237"/>
    </row>
    <row r="154">
      <c r="A154" s="232" t="s">
        <v>456</v>
      </c>
      <c r="B154" s="232" t="s">
        <v>460</v>
      </c>
      <c r="C154" s="232"/>
      <c r="D154" s="232" t="str">
        <f t="shared" si="1"/>
        <v>O</v>
      </c>
      <c r="E154" s="232" t="s">
        <v>57</v>
      </c>
      <c r="F154" s="233">
        <v>3.96331005E8</v>
      </c>
      <c r="G154" s="234">
        <v>3.963310053E8</v>
      </c>
      <c r="H154" s="235"/>
      <c r="I154" s="235">
        <f t="shared" si="5"/>
        <v>152</v>
      </c>
      <c r="J154" s="236" t="str">
        <f t="shared" si="2"/>
        <v>#N/A</v>
      </c>
      <c r="K154" s="236"/>
      <c r="L154" s="237"/>
      <c r="M154" s="237"/>
    </row>
    <row r="155">
      <c r="A155" s="232" t="s">
        <v>456</v>
      </c>
      <c r="B155" s="232" t="s">
        <v>461</v>
      </c>
      <c r="C155" s="232"/>
      <c r="D155" s="232" t="str">
        <f t="shared" si="1"/>
        <v>O</v>
      </c>
      <c r="E155" s="232" t="s">
        <v>57</v>
      </c>
      <c r="F155" s="233">
        <v>3.96331005E8</v>
      </c>
      <c r="G155" s="234">
        <v>3.9633100540000004E8</v>
      </c>
      <c r="H155" s="235"/>
      <c r="I155" s="235">
        <f t="shared" si="5"/>
        <v>153</v>
      </c>
      <c r="J155" s="236" t="str">
        <f t="shared" si="2"/>
        <v>#N/A</v>
      </c>
      <c r="K155" s="236"/>
      <c r="L155" s="237"/>
      <c r="M155" s="237"/>
    </row>
    <row r="156">
      <c r="A156" s="232" t="s">
        <v>456</v>
      </c>
      <c r="B156" s="232" t="s">
        <v>463</v>
      </c>
      <c r="C156" s="232"/>
      <c r="D156" s="232" t="str">
        <f t="shared" si="1"/>
        <v>O</v>
      </c>
      <c r="E156" s="232" t="s">
        <v>57</v>
      </c>
      <c r="F156" s="233">
        <v>3.96331005E8</v>
      </c>
      <c r="G156" s="234">
        <v>3.963310055E8</v>
      </c>
      <c r="H156" s="235"/>
      <c r="I156" s="235">
        <f t="shared" si="5"/>
        <v>154</v>
      </c>
      <c r="J156" s="236" t="str">
        <f t="shared" si="2"/>
        <v>#N/A</v>
      </c>
      <c r="K156" s="236"/>
      <c r="L156" s="237"/>
      <c r="M156" s="237"/>
    </row>
    <row r="157">
      <c r="A157" s="214" t="s">
        <v>465</v>
      </c>
      <c r="B157" s="214" t="s">
        <v>465</v>
      </c>
      <c r="C157" s="222" t="s">
        <v>83</v>
      </c>
      <c r="D157" s="214" t="str">
        <f t="shared" si="1"/>
        <v>L</v>
      </c>
      <c r="E157" s="214" t="s">
        <v>34</v>
      </c>
      <c r="F157" s="215">
        <v>5.2702003E7</v>
      </c>
      <c r="G157" s="216">
        <v>5.2702003E7</v>
      </c>
      <c r="H157" s="218">
        <v>432738.0</v>
      </c>
      <c r="I157" s="218">
        <f t="shared" si="5"/>
        <v>155</v>
      </c>
      <c r="J157" s="219" t="str">
        <f t="shared" si="2"/>
        <v>#N/A</v>
      </c>
      <c r="K157" s="219"/>
      <c r="L157" s="220"/>
      <c r="M157" s="220"/>
    </row>
    <row r="158">
      <c r="A158" s="214" t="s">
        <v>465</v>
      </c>
      <c r="B158" s="214" t="s">
        <v>466</v>
      </c>
      <c r="C158" s="222" t="s">
        <v>83</v>
      </c>
      <c r="D158" s="214" t="str">
        <f t="shared" si="1"/>
        <v>O</v>
      </c>
      <c r="E158" s="214" t="s">
        <v>57</v>
      </c>
      <c r="F158" s="215">
        <v>5.2702003E7</v>
      </c>
      <c r="G158" s="216">
        <v>5.27020031E7</v>
      </c>
      <c r="H158" s="218">
        <v>432738.0</v>
      </c>
      <c r="I158" s="218">
        <f t="shared" si="5"/>
        <v>156</v>
      </c>
      <c r="J158" s="219" t="str">
        <f t="shared" si="2"/>
        <v>#N/A</v>
      </c>
      <c r="K158" s="219"/>
      <c r="L158" s="220"/>
      <c r="M158" s="220"/>
    </row>
    <row r="159">
      <c r="A159" s="214" t="s">
        <v>465</v>
      </c>
      <c r="B159" s="214" t="s">
        <v>471</v>
      </c>
      <c r="C159" s="214"/>
      <c r="D159" s="214" t="str">
        <f t="shared" si="1"/>
        <v>O</v>
      </c>
      <c r="E159" s="214" t="s">
        <v>57</v>
      </c>
      <c r="F159" s="215">
        <v>5.2702003E7</v>
      </c>
      <c r="G159" s="216">
        <v>5.27020032E7</v>
      </c>
      <c r="H159" s="218"/>
      <c r="I159" s="218">
        <f t="shared" si="5"/>
        <v>157</v>
      </c>
      <c r="J159" s="219" t="str">
        <f t="shared" si="2"/>
        <v>#N/A</v>
      </c>
      <c r="K159" s="219"/>
      <c r="L159" s="220"/>
      <c r="M159" s="220"/>
    </row>
    <row r="160">
      <c r="A160" s="214" t="s">
        <v>475</v>
      </c>
      <c r="B160" s="214" t="s">
        <v>475</v>
      </c>
      <c r="C160" s="322" t="s">
        <v>83</v>
      </c>
      <c r="D160" s="214" t="str">
        <f t="shared" si="1"/>
        <v>L</v>
      </c>
      <c r="E160" s="214" t="s">
        <v>34</v>
      </c>
      <c r="F160" s="215">
        <v>1.28209004E8</v>
      </c>
      <c r="G160" s="216">
        <v>1.28209004E8</v>
      </c>
      <c r="H160" s="218">
        <v>381009.0</v>
      </c>
      <c r="I160" s="218">
        <f t="shared" si="5"/>
        <v>158</v>
      </c>
      <c r="J160" s="219" t="str">
        <f t="shared" si="2"/>
        <v>#N/A</v>
      </c>
      <c r="K160" s="219"/>
      <c r="L160" s="220"/>
      <c r="M160" s="220"/>
    </row>
    <row r="161">
      <c r="A161" s="214" t="s">
        <v>475</v>
      </c>
      <c r="B161" s="214" t="s">
        <v>481</v>
      </c>
      <c r="C161" s="322" t="s">
        <v>83</v>
      </c>
      <c r="D161" s="214" t="str">
        <f t="shared" si="1"/>
        <v>O</v>
      </c>
      <c r="E161" s="214" t="s">
        <v>57</v>
      </c>
      <c r="F161" s="215">
        <v>1.28209004E8</v>
      </c>
      <c r="G161" s="216">
        <v>1.282090041E8</v>
      </c>
      <c r="H161" s="218">
        <v>381009.0</v>
      </c>
      <c r="I161" s="218">
        <f t="shared" si="5"/>
        <v>159</v>
      </c>
      <c r="J161" s="219" t="str">
        <f t="shared" si="2"/>
        <v>#N/A</v>
      </c>
      <c r="K161" s="219"/>
      <c r="L161" s="220"/>
      <c r="M161" s="220"/>
    </row>
    <row r="162">
      <c r="A162" s="214" t="s">
        <v>475</v>
      </c>
      <c r="B162" s="214" t="s">
        <v>484</v>
      </c>
      <c r="C162" s="322" t="s">
        <v>83</v>
      </c>
      <c r="D162" s="214" t="str">
        <f t="shared" si="1"/>
        <v>O</v>
      </c>
      <c r="E162" s="214" t="s">
        <v>57</v>
      </c>
      <c r="F162" s="215">
        <v>1.28209004E8</v>
      </c>
      <c r="G162" s="216">
        <v>1.2820900419999999E8</v>
      </c>
      <c r="H162" s="218">
        <v>381009.0</v>
      </c>
      <c r="I162" s="218">
        <f t="shared" si="5"/>
        <v>160</v>
      </c>
      <c r="J162" s="219" t="str">
        <f t="shared" si="2"/>
        <v>#N/A</v>
      </c>
      <c r="K162" s="219"/>
      <c r="L162" s="220"/>
      <c r="M162" s="220"/>
    </row>
    <row r="163">
      <c r="A163" s="214" t="s">
        <v>475</v>
      </c>
      <c r="B163" s="214" t="s">
        <v>485</v>
      </c>
      <c r="C163" s="214"/>
      <c r="D163" s="214" t="str">
        <f t="shared" si="1"/>
        <v>O</v>
      </c>
      <c r="E163" s="214" t="s">
        <v>57</v>
      </c>
      <c r="F163" s="215">
        <v>1.28209004E8</v>
      </c>
      <c r="G163" s="216">
        <v>1.282090043E8</v>
      </c>
      <c r="H163" s="218"/>
      <c r="I163" s="218">
        <f t="shared" si="5"/>
        <v>161</v>
      </c>
      <c r="J163" s="219" t="str">
        <f t="shared" si="2"/>
        <v>#N/A</v>
      </c>
      <c r="K163" s="219"/>
      <c r="L163" s="220"/>
      <c r="M163" s="220"/>
    </row>
    <row r="164">
      <c r="A164" s="214" t="s">
        <v>475</v>
      </c>
      <c r="B164" s="214" t="s">
        <v>486</v>
      </c>
      <c r="C164" s="322"/>
      <c r="D164" s="214" t="str">
        <f t="shared" si="1"/>
        <v>O</v>
      </c>
      <c r="E164" s="214" t="s">
        <v>57</v>
      </c>
      <c r="F164" s="215" t="s">
        <v>487</v>
      </c>
      <c r="G164" s="216" t="s">
        <v>487</v>
      </c>
      <c r="H164" s="218">
        <v>4048024.0</v>
      </c>
      <c r="I164" s="218">
        <f t="shared" si="5"/>
        <v>162</v>
      </c>
      <c r="J164" s="219" t="str">
        <f t="shared" si="2"/>
        <v>#N/A</v>
      </c>
      <c r="K164" s="219"/>
      <c r="L164" s="220"/>
      <c r="M164" s="220"/>
    </row>
    <row r="165">
      <c r="A165" s="151" t="s">
        <v>488</v>
      </c>
      <c r="B165" s="151" t="s">
        <v>488</v>
      </c>
      <c r="C165" s="323" t="s">
        <v>83</v>
      </c>
      <c r="D165" s="151" t="str">
        <f t="shared" si="1"/>
        <v>L</v>
      </c>
      <c r="E165" s="324" t="s">
        <v>34</v>
      </c>
      <c r="F165" s="154">
        <v>1.97834003E8</v>
      </c>
      <c r="G165" s="155">
        <v>1.97834003E8</v>
      </c>
      <c r="H165" s="157">
        <v>75863.0</v>
      </c>
      <c r="I165" s="157">
        <f t="shared" si="5"/>
        <v>163</v>
      </c>
      <c r="J165" s="159" t="str">
        <f t="shared" si="2"/>
        <v>#N/A</v>
      </c>
      <c r="K165" s="159"/>
      <c r="L165" s="160"/>
      <c r="M165" s="160"/>
    </row>
    <row r="166">
      <c r="A166" s="151" t="s">
        <v>488</v>
      </c>
      <c r="B166" s="151" t="s">
        <v>490</v>
      </c>
      <c r="C166" s="151"/>
      <c r="D166" s="151" t="str">
        <f t="shared" si="1"/>
        <v>O</v>
      </c>
      <c r="E166" s="151" t="s">
        <v>54</v>
      </c>
      <c r="F166" s="154">
        <v>1.97834003E8</v>
      </c>
      <c r="G166" s="155">
        <v>1.97834003E8</v>
      </c>
      <c r="H166" s="157"/>
      <c r="I166" s="157">
        <f t="shared" si="5"/>
        <v>164</v>
      </c>
      <c r="J166" s="159" t="str">
        <f t="shared" si="2"/>
        <v>#N/A</v>
      </c>
      <c r="K166" s="159"/>
      <c r="L166" s="160"/>
      <c r="M166" s="160"/>
    </row>
    <row r="167">
      <c r="A167" s="151" t="s">
        <v>488</v>
      </c>
      <c r="B167" s="151" t="s">
        <v>491</v>
      </c>
      <c r="C167" s="151"/>
      <c r="D167" s="151" t="str">
        <f t="shared" si="1"/>
        <v>O</v>
      </c>
      <c r="E167" s="151" t="s">
        <v>54</v>
      </c>
      <c r="F167" s="154">
        <v>1.97834003E8</v>
      </c>
      <c r="G167" s="155">
        <v>1.97834003E8</v>
      </c>
      <c r="H167" s="157"/>
      <c r="I167" s="157">
        <f t="shared" si="5"/>
        <v>165</v>
      </c>
      <c r="J167" s="159" t="str">
        <f t="shared" si="2"/>
        <v>#N/A</v>
      </c>
      <c r="K167" s="159"/>
      <c r="L167" s="160"/>
      <c r="M167" s="160"/>
    </row>
    <row r="168">
      <c r="A168" s="151" t="s">
        <v>488</v>
      </c>
      <c r="B168" s="151" t="s">
        <v>492</v>
      </c>
      <c r="C168" s="151"/>
      <c r="D168" s="151" t="str">
        <f t="shared" si="1"/>
        <v>O</v>
      </c>
      <c r="E168" s="151" t="s">
        <v>57</v>
      </c>
      <c r="F168" s="154">
        <v>1.97834003E8</v>
      </c>
      <c r="G168" s="155">
        <v>1.978340031E8</v>
      </c>
      <c r="H168" s="157"/>
      <c r="I168" s="157">
        <f t="shared" si="5"/>
        <v>166</v>
      </c>
      <c r="J168" s="159" t="str">
        <f t="shared" si="2"/>
        <v>#N/A</v>
      </c>
      <c r="K168" s="159"/>
      <c r="L168" s="160"/>
      <c r="M168" s="160"/>
    </row>
    <row r="169">
      <c r="A169" s="151" t="s">
        <v>488</v>
      </c>
      <c r="B169" s="151" t="s">
        <v>494</v>
      </c>
      <c r="C169" s="151"/>
      <c r="D169" s="151" t="str">
        <f t="shared" si="1"/>
        <v>O</v>
      </c>
      <c r="E169" s="151" t="s">
        <v>57</v>
      </c>
      <c r="F169" s="154">
        <v>1.97834003E8</v>
      </c>
      <c r="G169" s="155">
        <v>1.978340032E8</v>
      </c>
      <c r="H169" s="157"/>
      <c r="I169" s="157">
        <f t="shared" si="5"/>
        <v>167</v>
      </c>
      <c r="J169" s="159" t="str">
        <f t="shared" si="2"/>
        <v>#N/A</v>
      </c>
      <c r="K169" s="159"/>
      <c r="L169" s="160"/>
      <c r="M169" s="160"/>
    </row>
    <row r="170">
      <c r="A170" s="139" t="s">
        <v>498</v>
      </c>
      <c r="B170" s="139" t="s">
        <v>500</v>
      </c>
      <c r="C170" s="325" t="s">
        <v>83</v>
      </c>
      <c r="D170" s="139" t="str">
        <f t="shared" si="1"/>
        <v>O</v>
      </c>
      <c r="E170" s="139" t="s">
        <v>125</v>
      </c>
      <c r="F170" s="141">
        <v>2.3502006E7</v>
      </c>
      <c r="G170" s="143">
        <v>2.3502006E7</v>
      </c>
      <c r="H170" s="144">
        <v>440638.0</v>
      </c>
      <c r="I170" s="144">
        <f t="shared" si="5"/>
        <v>168</v>
      </c>
      <c r="J170" s="146" t="str">
        <f t="shared" si="2"/>
        <v>#N/A</v>
      </c>
      <c r="K170" s="146"/>
      <c r="L170" s="147"/>
      <c r="M170" s="147"/>
    </row>
    <row r="171">
      <c r="A171" s="139" t="s">
        <v>498</v>
      </c>
      <c r="B171" s="139" t="s">
        <v>498</v>
      </c>
      <c r="C171" s="325" t="s">
        <v>83</v>
      </c>
      <c r="D171" s="139" t="str">
        <f t="shared" si="1"/>
        <v>L</v>
      </c>
      <c r="E171" s="139" t="s">
        <v>34</v>
      </c>
      <c r="F171" s="141" t="s">
        <v>508</v>
      </c>
      <c r="G171" s="143" t="s">
        <v>508</v>
      </c>
      <c r="H171" s="144">
        <v>440638.0</v>
      </c>
      <c r="I171" s="144">
        <f t="shared" si="5"/>
        <v>169</v>
      </c>
      <c r="J171" s="146" t="str">
        <f t="shared" si="2"/>
        <v>#N/A</v>
      </c>
      <c r="K171" s="146"/>
      <c r="L171" s="147"/>
      <c r="M171" s="147"/>
    </row>
    <row r="172">
      <c r="A172" s="139" t="s">
        <v>498</v>
      </c>
      <c r="B172" s="139" t="s">
        <v>510</v>
      </c>
      <c r="C172" s="139"/>
      <c r="D172" s="139" t="str">
        <f t="shared" si="1"/>
        <v>O</v>
      </c>
      <c r="E172" s="139" t="s">
        <v>57</v>
      </c>
      <c r="F172" s="141" t="s">
        <v>508</v>
      </c>
      <c r="G172" s="143">
        <v>3.39370091E7</v>
      </c>
      <c r="H172" s="144"/>
      <c r="I172" s="144">
        <f t="shared" si="5"/>
        <v>170</v>
      </c>
      <c r="J172" s="146" t="str">
        <f t="shared" si="2"/>
        <v>#N/A</v>
      </c>
      <c r="K172" s="146"/>
      <c r="L172" s="147"/>
      <c r="M172" s="147"/>
    </row>
    <row r="173">
      <c r="A173" s="139" t="s">
        <v>498</v>
      </c>
      <c r="B173" s="139" t="s">
        <v>511</v>
      </c>
      <c r="C173" s="139"/>
      <c r="D173" s="139" t="str">
        <f t="shared" si="1"/>
        <v>O</v>
      </c>
      <c r="E173" s="139" t="s">
        <v>57</v>
      </c>
      <c r="F173" s="141" t="s">
        <v>508</v>
      </c>
      <c r="G173" s="143">
        <v>3.39370092E7</v>
      </c>
      <c r="H173" s="326">
        <v>4141757.0</v>
      </c>
      <c r="I173" s="144">
        <f t="shared" si="5"/>
        <v>171</v>
      </c>
      <c r="J173" s="146" t="str">
        <f t="shared" si="2"/>
        <v>#N/A</v>
      </c>
      <c r="K173" s="146"/>
      <c r="L173" s="147"/>
      <c r="M173" s="147"/>
    </row>
    <row r="174">
      <c r="A174" s="139" t="s">
        <v>498</v>
      </c>
      <c r="B174" s="139" t="s">
        <v>512</v>
      </c>
      <c r="C174" s="139"/>
      <c r="D174" s="139" t="str">
        <f t="shared" si="1"/>
        <v>O</v>
      </c>
      <c r="E174" s="139" t="s">
        <v>57</v>
      </c>
      <c r="F174" s="141" t="s">
        <v>508</v>
      </c>
      <c r="G174" s="143">
        <v>3.3937009300000004E7</v>
      </c>
      <c r="H174" s="144"/>
      <c r="I174" s="144">
        <f t="shared" si="5"/>
        <v>172</v>
      </c>
      <c r="J174" s="146" t="str">
        <f t="shared" si="2"/>
        <v>#N/A</v>
      </c>
      <c r="K174" s="146"/>
      <c r="L174" s="147"/>
      <c r="M174" s="147"/>
    </row>
    <row r="175">
      <c r="A175" s="139" t="s">
        <v>520</v>
      </c>
      <c r="B175" s="139" t="s">
        <v>520</v>
      </c>
      <c r="C175" s="139" t="s">
        <v>83</v>
      </c>
      <c r="D175" s="139" t="str">
        <f t="shared" si="1"/>
        <v>L</v>
      </c>
      <c r="E175" s="139" t="s">
        <v>34</v>
      </c>
      <c r="F175" s="141">
        <v>2.40151005E8</v>
      </c>
      <c r="G175" s="143">
        <v>2.40151005E8</v>
      </c>
      <c r="H175" s="144">
        <v>4344376.0</v>
      </c>
      <c r="I175" s="144">
        <f t="shared" si="5"/>
        <v>173</v>
      </c>
      <c r="J175" s="146" t="str">
        <f t="shared" si="2"/>
        <v>#N/A</v>
      </c>
      <c r="K175" s="146"/>
      <c r="L175" s="147"/>
      <c r="M175" s="147"/>
    </row>
    <row r="176">
      <c r="A176" s="191" t="s">
        <v>529</v>
      </c>
      <c r="B176" s="191" t="s">
        <v>529</v>
      </c>
      <c r="C176" s="193" t="s">
        <v>83</v>
      </c>
      <c r="D176" s="191" t="str">
        <f t="shared" si="1"/>
        <v>L</v>
      </c>
      <c r="E176" s="191" t="s">
        <v>34</v>
      </c>
      <c r="F176" s="195" t="s">
        <v>530</v>
      </c>
      <c r="G176" s="197" t="s">
        <v>530</v>
      </c>
      <c r="H176" s="198">
        <v>600589.0</v>
      </c>
      <c r="I176" s="198">
        <f t="shared" si="5"/>
        <v>174</v>
      </c>
      <c r="J176" s="200" t="str">
        <f t="shared" si="2"/>
        <v>#N/A</v>
      </c>
      <c r="K176" s="200"/>
      <c r="L176" s="202"/>
      <c r="M176" s="202"/>
    </row>
    <row r="177">
      <c r="A177" s="191" t="s">
        <v>529</v>
      </c>
      <c r="B177" s="191" t="s">
        <v>531</v>
      </c>
      <c r="C177" s="191"/>
      <c r="D177" s="191" t="str">
        <f t="shared" si="1"/>
        <v>O</v>
      </c>
      <c r="E177" s="191" t="s">
        <v>57</v>
      </c>
      <c r="F177" s="195" t="s">
        <v>530</v>
      </c>
      <c r="G177" s="197">
        <v>1.1193040091E9</v>
      </c>
      <c r="H177" s="198"/>
      <c r="I177" s="198">
        <f t="shared" si="5"/>
        <v>175</v>
      </c>
      <c r="J177" s="200" t="str">
        <f t="shared" si="2"/>
        <v>#N/A</v>
      </c>
      <c r="K177" s="200"/>
      <c r="L177" s="202"/>
      <c r="M177" s="202"/>
    </row>
    <row r="178">
      <c r="A178" s="191" t="s">
        <v>529</v>
      </c>
      <c r="B178" s="191" t="s">
        <v>532</v>
      </c>
      <c r="C178" s="193"/>
      <c r="D178" s="191" t="str">
        <f t="shared" si="1"/>
        <v>O</v>
      </c>
      <c r="E178" s="191" t="s">
        <v>57</v>
      </c>
      <c r="F178" s="195" t="s">
        <v>530</v>
      </c>
      <c r="G178" s="197">
        <v>1.1193040091999998E9</v>
      </c>
      <c r="H178" s="198"/>
      <c r="I178" s="198">
        <f t="shared" si="5"/>
        <v>176</v>
      </c>
      <c r="J178" s="200" t="str">
        <f t="shared" si="2"/>
        <v>#N/A</v>
      </c>
      <c r="K178" s="200"/>
      <c r="L178" s="202"/>
      <c r="M178" s="202"/>
    </row>
    <row r="179">
      <c r="A179" s="191" t="s">
        <v>529</v>
      </c>
      <c r="B179" s="191" t="s">
        <v>533</v>
      </c>
      <c r="C179" s="193"/>
      <c r="D179" s="191" t="str">
        <f t="shared" si="1"/>
        <v>O</v>
      </c>
      <c r="E179" s="191" t="s">
        <v>57</v>
      </c>
      <c r="F179" s="195" t="s">
        <v>530</v>
      </c>
      <c r="G179" s="197">
        <v>1.1193040093E9</v>
      </c>
      <c r="H179" s="198"/>
      <c r="I179" s="198">
        <f t="shared" si="5"/>
        <v>177</v>
      </c>
      <c r="J179" s="200" t="str">
        <f t="shared" si="2"/>
        <v>#N/A</v>
      </c>
      <c r="K179" s="200"/>
      <c r="L179" s="202"/>
      <c r="M179" s="202"/>
    </row>
    <row r="180">
      <c r="A180" s="191" t="s">
        <v>529</v>
      </c>
      <c r="B180" s="191" t="s">
        <v>534</v>
      </c>
      <c r="C180" s="191"/>
      <c r="D180" s="191" t="str">
        <f t="shared" si="1"/>
        <v>O</v>
      </c>
      <c r="E180" s="191" t="s">
        <v>57</v>
      </c>
      <c r="F180" s="195" t="s">
        <v>530</v>
      </c>
      <c r="G180" s="197">
        <v>1.1193040093999999E9</v>
      </c>
      <c r="H180" s="327"/>
      <c r="I180" s="198">
        <f t="shared" si="5"/>
        <v>178</v>
      </c>
      <c r="J180" s="200" t="str">
        <f t="shared" si="2"/>
        <v>#N/A</v>
      </c>
      <c r="K180" s="200"/>
      <c r="L180" s="202"/>
      <c r="M180" s="202"/>
    </row>
    <row r="181">
      <c r="A181" s="214" t="s">
        <v>535</v>
      </c>
      <c r="B181" s="214" t="s">
        <v>535</v>
      </c>
      <c r="C181" s="222" t="s">
        <v>83</v>
      </c>
      <c r="D181" s="214" t="str">
        <f t="shared" si="1"/>
        <v>L</v>
      </c>
      <c r="E181" s="214" t="s">
        <v>34</v>
      </c>
      <c r="F181" s="215">
        <v>4.05810005E8</v>
      </c>
      <c r="G181" s="216">
        <v>4.05810005E8</v>
      </c>
      <c r="H181" s="218">
        <v>4233620.0</v>
      </c>
      <c r="I181" s="218">
        <f t="shared" si="5"/>
        <v>179</v>
      </c>
      <c r="J181" s="219" t="str">
        <f t="shared" si="2"/>
        <v>#N/A</v>
      </c>
      <c r="K181" s="219"/>
      <c r="L181" s="220"/>
      <c r="M181" s="220"/>
    </row>
    <row r="182">
      <c r="A182" s="214" t="s">
        <v>535</v>
      </c>
      <c r="B182" s="214" t="s">
        <v>536</v>
      </c>
      <c r="C182" s="214"/>
      <c r="D182" s="214" t="str">
        <f t="shared" si="1"/>
        <v>O</v>
      </c>
      <c r="E182" s="214" t="s">
        <v>57</v>
      </c>
      <c r="F182" s="215">
        <v>4.05810005E8</v>
      </c>
      <c r="G182" s="216">
        <v>4.058100051E8</v>
      </c>
      <c r="H182" s="218"/>
      <c r="I182" s="218">
        <f t="shared" si="5"/>
        <v>180</v>
      </c>
      <c r="J182" s="219" t="str">
        <f t="shared" si="2"/>
        <v>#N/A</v>
      </c>
      <c r="K182" s="219"/>
      <c r="L182" s="220"/>
      <c r="M182" s="220"/>
    </row>
    <row r="183">
      <c r="A183" s="328" t="s">
        <v>537</v>
      </c>
      <c r="B183" s="328" t="s">
        <v>538</v>
      </c>
      <c r="C183" s="50"/>
      <c r="D183" s="328" t="str">
        <f t="shared" si="1"/>
        <v>O</v>
      </c>
      <c r="E183" s="328" t="s">
        <v>54</v>
      </c>
      <c r="F183" s="52">
        <v>1.27055007E8</v>
      </c>
      <c r="G183" s="54">
        <v>1.27055007E8</v>
      </c>
      <c r="H183" s="55"/>
      <c r="I183" s="55">
        <f t="shared" si="5"/>
        <v>181</v>
      </c>
      <c r="J183" s="57" t="str">
        <f t="shared" si="2"/>
        <v>#N/A</v>
      </c>
      <c r="K183" s="57"/>
      <c r="L183" s="59"/>
      <c r="M183" s="59"/>
    </row>
    <row r="184">
      <c r="A184" s="328" t="s">
        <v>537</v>
      </c>
      <c r="B184" s="328" t="s">
        <v>537</v>
      </c>
      <c r="C184" s="329" t="s">
        <v>83</v>
      </c>
      <c r="D184" s="328" t="str">
        <f t="shared" si="1"/>
        <v>L</v>
      </c>
      <c r="E184" s="328" t="s">
        <v>34</v>
      </c>
      <c r="F184" s="52">
        <v>1.27055007E8</v>
      </c>
      <c r="G184" s="54">
        <v>1.27055007E8</v>
      </c>
      <c r="H184" s="55">
        <v>4131128.0</v>
      </c>
      <c r="I184" s="55">
        <f t="shared" si="5"/>
        <v>182</v>
      </c>
      <c r="J184" s="57" t="str">
        <f t="shared" si="2"/>
        <v>#N/A</v>
      </c>
      <c r="K184" s="57"/>
      <c r="L184" s="59"/>
      <c r="M184" s="59"/>
    </row>
    <row r="185">
      <c r="A185" s="328" t="s">
        <v>537</v>
      </c>
      <c r="B185" s="328" t="s">
        <v>539</v>
      </c>
      <c r="C185" s="50"/>
      <c r="D185" s="328" t="str">
        <f t="shared" si="1"/>
        <v>O</v>
      </c>
      <c r="E185" s="328" t="s">
        <v>57</v>
      </c>
      <c r="F185" s="52" t="s">
        <v>540</v>
      </c>
      <c r="G185" s="54" t="s">
        <v>540</v>
      </c>
      <c r="H185" s="55"/>
      <c r="I185" s="55">
        <f t="shared" si="5"/>
        <v>183</v>
      </c>
      <c r="J185" s="57" t="str">
        <f t="shared" si="2"/>
        <v>#N/A</v>
      </c>
      <c r="K185" s="57"/>
      <c r="L185" s="59"/>
      <c r="M185" s="59"/>
    </row>
    <row r="186">
      <c r="A186" s="328" t="s">
        <v>537</v>
      </c>
      <c r="B186" s="328" t="s">
        <v>541</v>
      </c>
      <c r="C186" s="50"/>
      <c r="D186" s="328" t="str">
        <f t="shared" si="1"/>
        <v>O</v>
      </c>
      <c r="E186" s="328" t="s">
        <v>57</v>
      </c>
      <c r="F186" s="52" t="s">
        <v>540</v>
      </c>
      <c r="G186" s="54">
        <v>3.989370061E8</v>
      </c>
      <c r="H186" s="55"/>
      <c r="I186" s="55">
        <f t="shared" si="5"/>
        <v>184</v>
      </c>
      <c r="J186" s="57" t="str">
        <f t="shared" si="2"/>
        <v>#N/A</v>
      </c>
      <c r="K186" s="57"/>
      <c r="L186" s="59"/>
      <c r="M186" s="59"/>
    </row>
    <row r="187">
      <c r="A187" s="328" t="s">
        <v>537</v>
      </c>
      <c r="B187" s="328" t="s">
        <v>542</v>
      </c>
      <c r="C187" s="50"/>
      <c r="D187" s="328" t="str">
        <f t="shared" si="1"/>
        <v>O</v>
      </c>
      <c r="E187" s="328" t="s">
        <v>57</v>
      </c>
      <c r="F187" s="52" t="s">
        <v>540</v>
      </c>
      <c r="G187" s="54">
        <v>3.9893700620000005E8</v>
      </c>
      <c r="H187" s="55">
        <v>4160887.0</v>
      </c>
      <c r="I187" s="55">
        <f t="shared" si="5"/>
        <v>185</v>
      </c>
      <c r="J187" s="57" t="str">
        <f t="shared" si="2"/>
        <v>#N/A</v>
      </c>
      <c r="K187" s="57"/>
      <c r="L187" s="59"/>
      <c r="M187" s="59"/>
    </row>
    <row r="188">
      <c r="A188" s="328" t="s">
        <v>537</v>
      </c>
      <c r="B188" s="328" t="s">
        <v>543</v>
      </c>
      <c r="C188" s="50"/>
      <c r="D188" s="328" t="str">
        <f t="shared" si="1"/>
        <v>O</v>
      </c>
      <c r="E188" s="328" t="s">
        <v>57</v>
      </c>
      <c r="F188" s="52" t="s">
        <v>540</v>
      </c>
      <c r="G188" s="54">
        <v>3.989370063E8</v>
      </c>
      <c r="H188" s="55"/>
      <c r="I188" s="55">
        <f t="shared" si="5"/>
        <v>186</v>
      </c>
      <c r="J188" s="57" t="str">
        <f t="shared" si="2"/>
        <v>#N/A</v>
      </c>
      <c r="K188" s="57"/>
      <c r="L188" s="59"/>
      <c r="M188" s="59"/>
    </row>
    <row r="189">
      <c r="A189" s="214" t="s">
        <v>544</v>
      </c>
      <c r="B189" s="214" t="s">
        <v>544</v>
      </c>
      <c r="C189" s="222" t="s">
        <v>83</v>
      </c>
      <c r="D189" s="214" t="str">
        <f t="shared" si="1"/>
        <v>L</v>
      </c>
      <c r="E189" s="214" t="s">
        <v>34</v>
      </c>
      <c r="F189" s="215">
        <v>1.282E8</v>
      </c>
      <c r="G189" s="216">
        <v>1.282E8</v>
      </c>
      <c r="H189" s="330">
        <v>4134577.0</v>
      </c>
      <c r="I189" s="218">
        <f t="shared" si="5"/>
        <v>187</v>
      </c>
      <c r="J189" s="219" t="str">
        <f t="shared" si="2"/>
        <v>#N/A</v>
      </c>
      <c r="K189" s="219"/>
      <c r="L189" s="220"/>
      <c r="M189" s="220"/>
    </row>
    <row r="190">
      <c r="A190" s="214" t="s">
        <v>544</v>
      </c>
      <c r="B190" s="214" t="s">
        <v>545</v>
      </c>
      <c r="C190" s="214"/>
      <c r="D190" s="214" t="str">
        <f t="shared" si="1"/>
        <v>O</v>
      </c>
      <c r="E190" s="214" t="s">
        <v>57</v>
      </c>
      <c r="F190" s="215">
        <v>1.282E8</v>
      </c>
      <c r="G190" s="216">
        <v>1.282000001E8</v>
      </c>
      <c r="H190" s="218">
        <v>4.2536233E7</v>
      </c>
      <c r="I190" s="218">
        <f t="shared" si="5"/>
        <v>188</v>
      </c>
      <c r="J190" s="219" t="str">
        <f t="shared" si="2"/>
        <v>#N/A</v>
      </c>
      <c r="K190" s="219"/>
      <c r="L190" s="220"/>
      <c r="M190" s="220"/>
    </row>
    <row r="191">
      <c r="A191" s="214" t="s">
        <v>544</v>
      </c>
      <c r="B191" s="214" t="s">
        <v>546</v>
      </c>
      <c r="C191" s="214"/>
      <c r="D191" s="214" t="str">
        <f t="shared" si="1"/>
        <v>O</v>
      </c>
      <c r="E191" s="226" t="s">
        <v>72</v>
      </c>
      <c r="F191" s="215">
        <v>4.08751001E8</v>
      </c>
      <c r="G191" s="216">
        <v>4.08751001E8</v>
      </c>
      <c r="H191" s="218"/>
      <c r="I191" s="218">
        <f t="shared" si="5"/>
        <v>189</v>
      </c>
      <c r="J191" s="219" t="str">
        <f t="shared" si="2"/>
        <v>#N/A</v>
      </c>
      <c r="K191" s="219"/>
      <c r="L191" s="220"/>
      <c r="M191" s="220"/>
    </row>
    <row r="192">
      <c r="A192" s="214" t="s">
        <v>544</v>
      </c>
      <c r="B192" s="214" t="s">
        <v>547</v>
      </c>
      <c r="C192" s="214"/>
      <c r="D192" s="214" t="str">
        <f t="shared" si="1"/>
        <v>O</v>
      </c>
      <c r="E192" s="226" t="s">
        <v>72</v>
      </c>
      <c r="F192" s="215">
        <v>4.08751001E8</v>
      </c>
      <c r="G192" s="216">
        <v>4.087510011E8</v>
      </c>
      <c r="H192" s="218"/>
      <c r="I192" s="218">
        <f t="shared" si="5"/>
        <v>190</v>
      </c>
      <c r="J192" s="219" t="str">
        <f t="shared" si="2"/>
        <v>#N/A</v>
      </c>
      <c r="K192" s="219"/>
      <c r="L192" s="220"/>
      <c r="M192" s="220"/>
    </row>
    <row r="193">
      <c r="A193" s="214" t="s">
        <v>544</v>
      </c>
      <c r="B193" s="214" t="s">
        <v>548</v>
      </c>
      <c r="C193" s="214"/>
      <c r="D193" s="214" t="str">
        <f t="shared" si="1"/>
        <v>O</v>
      </c>
      <c r="E193" s="226" t="s">
        <v>72</v>
      </c>
      <c r="F193" s="215">
        <v>4.08751001E8</v>
      </c>
      <c r="G193" s="216">
        <v>4.0875100120000005E8</v>
      </c>
      <c r="H193" s="218">
        <v>4256912.0</v>
      </c>
      <c r="I193" s="218">
        <f t="shared" si="5"/>
        <v>191</v>
      </c>
      <c r="J193" s="219" t="str">
        <f t="shared" si="2"/>
        <v>#N/A</v>
      </c>
      <c r="K193" s="219"/>
      <c r="L193" s="220"/>
      <c r="M193" s="220"/>
    </row>
    <row r="194">
      <c r="A194" s="214" t="s">
        <v>544</v>
      </c>
      <c r="B194" s="214" t="s">
        <v>549</v>
      </c>
      <c r="C194" s="214"/>
      <c r="D194" s="214" t="str">
        <f t="shared" si="1"/>
        <v>O</v>
      </c>
      <c r="E194" s="226" t="s">
        <v>72</v>
      </c>
      <c r="F194" s="215">
        <v>7.34947007E8</v>
      </c>
      <c r="G194" s="216">
        <v>7.34947007E8</v>
      </c>
      <c r="H194" s="218"/>
      <c r="I194" s="218">
        <f t="shared" si="5"/>
        <v>192</v>
      </c>
      <c r="J194" s="219" t="str">
        <f t="shared" si="2"/>
        <v>#N/A</v>
      </c>
      <c r="K194" s="219"/>
      <c r="L194" s="220"/>
      <c r="M194" s="220"/>
    </row>
    <row r="195">
      <c r="A195" s="214" t="s">
        <v>544</v>
      </c>
      <c r="B195" s="214" t="s">
        <v>550</v>
      </c>
      <c r="C195" s="214"/>
      <c r="D195" s="214" t="str">
        <f t="shared" si="1"/>
        <v>O</v>
      </c>
      <c r="E195" s="226" t="s">
        <v>72</v>
      </c>
      <c r="F195" s="215">
        <v>7.34947007E8</v>
      </c>
      <c r="G195" s="216">
        <v>7.349470071E8</v>
      </c>
      <c r="H195" s="218">
        <v>4.2536233E7</v>
      </c>
      <c r="I195" s="218">
        <f t="shared" si="5"/>
        <v>193</v>
      </c>
      <c r="J195" s="219" t="str">
        <f t="shared" si="2"/>
        <v>#N/A</v>
      </c>
      <c r="K195" s="219"/>
      <c r="L195" s="220"/>
      <c r="M195" s="220"/>
    </row>
    <row r="196">
      <c r="A196" s="214" t="s">
        <v>544</v>
      </c>
      <c r="B196" s="214" t="s">
        <v>551</v>
      </c>
      <c r="C196" s="214"/>
      <c r="D196" s="214" t="str">
        <f t="shared" si="1"/>
        <v>O</v>
      </c>
      <c r="E196" s="214" t="s">
        <v>72</v>
      </c>
      <c r="F196" s="215">
        <v>7.34947007E8</v>
      </c>
      <c r="G196" s="216">
        <v>7.349470072E8</v>
      </c>
      <c r="H196" s="218">
        <v>4.2536233E7</v>
      </c>
      <c r="I196" s="218">
        <f t="shared" si="5"/>
        <v>194</v>
      </c>
      <c r="J196" s="219" t="str">
        <f t="shared" si="2"/>
        <v>#N/A</v>
      </c>
      <c r="K196" s="219"/>
      <c r="L196" s="220"/>
      <c r="M196" s="220"/>
    </row>
    <row r="197">
      <c r="A197" s="232" t="s">
        <v>552</v>
      </c>
      <c r="B197" s="232" t="s">
        <v>552</v>
      </c>
      <c r="C197" s="331" t="s">
        <v>83</v>
      </c>
      <c r="D197" s="232" t="str">
        <f t="shared" si="1"/>
        <v>L</v>
      </c>
      <c r="E197" s="232" t="s">
        <v>34</v>
      </c>
      <c r="F197" s="233">
        <v>3.4000006E7</v>
      </c>
      <c r="G197" s="234">
        <v>3.4000006E7</v>
      </c>
      <c r="H197" s="235">
        <v>201606.0</v>
      </c>
      <c r="I197" s="235">
        <f t="shared" si="5"/>
        <v>195</v>
      </c>
      <c r="J197" s="236" t="str">
        <f t="shared" si="2"/>
        <v>#N/A</v>
      </c>
      <c r="K197" s="236"/>
      <c r="L197" s="237"/>
      <c r="M197" s="237"/>
    </row>
    <row r="198">
      <c r="A198" s="232" t="s">
        <v>552</v>
      </c>
      <c r="B198" s="232" t="s">
        <v>553</v>
      </c>
      <c r="C198" s="232"/>
      <c r="D198" s="232" t="str">
        <f t="shared" si="1"/>
        <v>O</v>
      </c>
      <c r="E198" s="232" t="s">
        <v>57</v>
      </c>
      <c r="F198" s="233">
        <v>3.4000006E7</v>
      </c>
      <c r="G198" s="234">
        <v>3.40000061E7</v>
      </c>
      <c r="H198" s="235"/>
      <c r="I198" s="235">
        <f t="shared" si="5"/>
        <v>196</v>
      </c>
      <c r="J198" s="236" t="str">
        <f t="shared" si="2"/>
        <v>#N/A</v>
      </c>
      <c r="K198" s="236"/>
      <c r="L198" s="237"/>
      <c r="M198" s="237"/>
    </row>
    <row r="199">
      <c r="A199" s="232" t="s">
        <v>552</v>
      </c>
      <c r="B199" s="232" t="s">
        <v>554</v>
      </c>
      <c r="C199" s="232"/>
      <c r="D199" s="232" t="str">
        <f t="shared" si="1"/>
        <v>O</v>
      </c>
      <c r="E199" s="232" t="s">
        <v>57</v>
      </c>
      <c r="F199" s="233">
        <v>3.4000006E7</v>
      </c>
      <c r="G199" s="234">
        <v>3.40000062E7</v>
      </c>
      <c r="H199" s="235"/>
      <c r="I199" s="235">
        <f t="shared" si="5"/>
        <v>197</v>
      </c>
      <c r="J199" s="236" t="str">
        <f t="shared" si="2"/>
        <v>#N/A</v>
      </c>
      <c r="K199" s="236"/>
      <c r="L199" s="237"/>
      <c r="M199" s="237"/>
    </row>
    <row r="200">
      <c r="A200" s="232" t="s">
        <v>552</v>
      </c>
      <c r="B200" s="232" t="s">
        <v>555</v>
      </c>
      <c r="C200" s="232"/>
      <c r="D200" s="232" t="str">
        <f t="shared" si="1"/>
        <v>O</v>
      </c>
      <c r="E200" s="232" t="s">
        <v>57</v>
      </c>
      <c r="F200" s="233">
        <v>3.4000006E7</v>
      </c>
      <c r="G200" s="234">
        <v>3.4000006300000004E7</v>
      </c>
      <c r="H200" s="235"/>
      <c r="I200" s="235">
        <f t="shared" si="5"/>
        <v>198</v>
      </c>
      <c r="J200" s="236" t="str">
        <f t="shared" si="2"/>
        <v>#N/A</v>
      </c>
      <c r="K200" s="236"/>
      <c r="L200" s="237"/>
      <c r="M200" s="237"/>
    </row>
    <row r="201">
      <c r="A201" s="232" t="s">
        <v>552</v>
      </c>
      <c r="B201" s="232" t="s">
        <v>556</v>
      </c>
      <c r="C201" s="232"/>
      <c r="D201" s="232" t="str">
        <f t="shared" si="1"/>
        <v>O</v>
      </c>
      <c r="E201" s="232" t="s">
        <v>57</v>
      </c>
      <c r="F201" s="233">
        <v>3.4000006E7</v>
      </c>
      <c r="G201" s="234">
        <v>3.40000064E7</v>
      </c>
      <c r="H201" s="235"/>
      <c r="I201" s="235">
        <f t="shared" si="5"/>
        <v>199</v>
      </c>
      <c r="J201" s="236" t="str">
        <f t="shared" si="2"/>
        <v>#N/A</v>
      </c>
      <c r="K201" s="236"/>
      <c r="L201" s="237"/>
      <c r="M201" s="237"/>
    </row>
    <row r="202">
      <c r="A202" s="232" t="s">
        <v>552</v>
      </c>
      <c r="B202" s="232" t="s">
        <v>557</v>
      </c>
      <c r="C202" s="232"/>
      <c r="D202" s="232" t="str">
        <f t="shared" si="1"/>
        <v>O</v>
      </c>
      <c r="E202" s="232" t="s">
        <v>57</v>
      </c>
      <c r="F202" s="233">
        <v>3.4000006E7</v>
      </c>
      <c r="G202" s="234">
        <v>3.40000065E7</v>
      </c>
      <c r="H202" s="235"/>
      <c r="I202" s="235">
        <f t="shared" si="5"/>
        <v>200</v>
      </c>
      <c r="J202" s="236" t="str">
        <f t="shared" si="2"/>
        <v>#N/A</v>
      </c>
      <c r="K202" s="236"/>
      <c r="L202" s="237"/>
      <c r="M202" s="237"/>
    </row>
    <row r="203">
      <c r="A203" s="232" t="s">
        <v>552</v>
      </c>
      <c r="B203" s="232" t="s">
        <v>558</v>
      </c>
      <c r="C203" s="232"/>
      <c r="D203" s="232" t="str">
        <f t="shared" si="1"/>
        <v>O</v>
      </c>
      <c r="E203" s="232" t="s">
        <v>72</v>
      </c>
      <c r="F203" s="233">
        <v>3.4000006E7</v>
      </c>
      <c r="G203" s="234">
        <v>3.40000066E7</v>
      </c>
      <c r="H203" s="235"/>
      <c r="I203" s="235">
        <f t="shared" si="5"/>
        <v>201</v>
      </c>
      <c r="J203" s="236" t="str">
        <f t="shared" si="2"/>
        <v>#N/A</v>
      </c>
      <c r="K203" s="236"/>
      <c r="L203" s="237"/>
      <c r="M203" s="237"/>
    </row>
    <row r="204">
      <c r="A204" s="332" t="s">
        <v>559</v>
      </c>
      <c r="B204" s="332" t="s">
        <v>559</v>
      </c>
      <c r="C204" s="333" t="s">
        <v>22</v>
      </c>
      <c r="D204" s="332" t="str">
        <f t="shared" si="1"/>
        <v>L</v>
      </c>
      <c r="E204" s="332" t="s">
        <v>34</v>
      </c>
      <c r="F204" s="334">
        <v>7.19218E8</v>
      </c>
      <c r="G204" s="335">
        <v>7.19218E8</v>
      </c>
      <c r="H204" s="336">
        <v>3.6714118E7</v>
      </c>
      <c r="I204" s="336">
        <f t="shared" si="5"/>
        <v>202</v>
      </c>
      <c r="J204" s="337" t="str">
        <f t="shared" si="2"/>
        <v>#N/A</v>
      </c>
      <c r="K204" s="337"/>
      <c r="L204" s="338"/>
      <c r="M204" s="338"/>
    </row>
    <row r="205">
      <c r="A205" s="332" t="s">
        <v>559</v>
      </c>
      <c r="B205" s="332" t="s">
        <v>560</v>
      </c>
      <c r="C205" s="332"/>
      <c r="D205" s="332" t="str">
        <f t="shared" si="1"/>
        <v>O</v>
      </c>
      <c r="E205" s="332" t="s">
        <v>57</v>
      </c>
      <c r="F205" s="334">
        <v>7.19218E8</v>
      </c>
      <c r="G205" s="335">
        <v>7.192180001E8</v>
      </c>
      <c r="H205" s="336"/>
      <c r="I205" s="336">
        <f t="shared" si="5"/>
        <v>203</v>
      </c>
      <c r="J205" s="337" t="str">
        <f t="shared" si="2"/>
        <v>#N/A</v>
      </c>
      <c r="K205" s="337"/>
      <c r="L205" s="338"/>
      <c r="M205" s="338"/>
    </row>
    <row r="206">
      <c r="A206" s="332" t="s">
        <v>559</v>
      </c>
      <c r="B206" s="332" t="s">
        <v>561</v>
      </c>
      <c r="C206" s="332"/>
      <c r="D206" s="332" t="str">
        <f t="shared" si="1"/>
        <v>O</v>
      </c>
      <c r="E206" s="332" t="s">
        <v>57</v>
      </c>
      <c r="F206" s="334">
        <v>7.19218E8</v>
      </c>
      <c r="G206" s="335">
        <v>7.192180002E8</v>
      </c>
      <c r="H206" s="336"/>
      <c r="I206" s="336">
        <f t="shared" si="5"/>
        <v>204</v>
      </c>
      <c r="J206" s="337" t="str">
        <f t="shared" si="2"/>
        <v>#N/A</v>
      </c>
      <c r="K206" s="337"/>
      <c r="L206" s="338"/>
      <c r="M206" s="338"/>
    </row>
    <row r="207">
      <c r="A207" s="332" t="s">
        <v>559</v>
      </c>
      <c r="B207" s="332" t="s">
        <v>562</v>
      </c>
      <c r="C207" s="332"/>
      <c r="D207" s="332" t="str">
        <f t="shared" si="1"/>
        <v>O</v>
      </c>
      <c r="E207" s="332" t="s">
        <v>57</v>
      </c>
      <c r="F207" s="334">
        <v>7.19218E8</v>
      </c>
      <c r="G207" s="335">
        <v>7.192180003000001E8</v>
      </c>
      <c r="H207" s="336"/>
      <c r="I207" s="336">
        <f t="shared" si="5"/>
        <v>205</v>
      </c>
      <c r="J207" s="337" t="str">
        <f t="shared" si="2"/>
        <v>#N/A</v>
      </c>
      <c r="K207" s="337"/>
      <c r="L207" s="338"/>
      <c r="M207" s="338"/>
    </row>
    <row r="208">
      <c r="A208" s="22" t="s">
        <v>563</v>
      </c>
      <c r="B208" s="22" t="s">
        <v>563</v>
      </c>
      <c r="C208" s="25" t="s">
        <v>564</v>
      </c>
      <c r="D208" s="22" t="str">
        <f t="shared" si="1"/>
        <v>L</v>
      </c>
      <c r="E208" s="22" t="s">
        <v>34</v>
      </c>
      <c r="F208" s="34">
        <v>7119001.0</v>
      </c>
      <c r="G208" s="35">
        <v>7119001.0</v>
      </c>
      <c r="H208" s="37">
        <v>4324123.0</v>
      </c>
      <c r="I208" s="37">
        <f t="shared" si="5"/>
        <v>206</v>
      </c>
      <c r="J208" s="41" t="str">
        <f t="shared" si="2"/>
        <v>#N/A</v>
      </c>
      <c r="K208" s="41"/>
      <c r="L208" s="45"/>
      <c r="M208" s="45"/>
    </row>
    <row r="209">
      <c r="A209" s="22" t="s">
        <v>563</v>
      </c>
      <c r="B209" s="22" t="s">
        <v>565</v>
      </c>
      <c r="C209" s="22"/>
      <c r="D209" s="22" t="str">
        <f t="shared" si="1"/>
        <v>O</v>
      </c>
      <c r="E209" s="22" t="s">
        <v>57</v>
      </c>
      <c r="F209" s="34">
        <v>7119001.0</v>
      </c>
      <c r="G209" s="35">
        <v>7119001.1</v>
      </c>
      <c r="H209" s="37"/>
      <c r="I209" s="37">
        <f t="shared" si="5"/>
        <v>207</v>
      </c>
      <c r="J209" s="41" t="str">
        <f t="shared" si="2"/>
        <v>#N/A</v>
      </c>
      <c r="K209" s="41"/>
      <c r="L209" s="45"/>
      <c r="M209" s="45"/>
    </row>
    <row r="210">
      <c r="A210" s="22" t="s">
        <v>563</v>
      </c>
      <c r="B210" s="22" t="s">
        <v>566</v>
      </c>
      <c r="C210" s="22"/>
      <c r="D210" s="22" t="str">
        <f t="shared" si="1"/>
        <v>O</v>
      </c>
      <c r="E210" s="22" t="s">
        <v>57</v>
      </c>
      <c r="F210" s="34">
        <v>2.00938002E8</v>
      </c>
      <c r="G210" s="35">
        <v>2.00938002E8</v>
      </c>
      <c r="H210" s="37">
        <v>4066824.0</v>
      </c>
      <c r="I210" s="37">
        <f t="shared" si="5"/>
        <v>208</v>
      </c>
      <c r="J210" s="41" t="str">
        <f t="shared" si="2"/>
        <v>#N/A</v>
      </c>
      <c r="K210" s="41"/>
      <c r="L210" s="45"/>
      <c r="M210" s="45"/>
    </row>
    <row r="211">
      <c r="A211" s="22" t="s">
        <v>563</v>
      </c>
      <c r="B211" s="22" t="s">
        <v>567</v>
      </c>
      <c r="C211" s="22"/>
      <c r="D211" s="22" t="str">
        <f t="shared" si="1"/>
        <v>O</v>
      </c>
      <c r="E211" s="22" t="s">
        <v>72</v>
      </c>
      <c r="F211" s="34">
        <v>2.00941006E8</v>
      </c>
      <c r="G211" s="35">
        <v>2.00941006E8</v>
      </c>
      <c r="H211" s="37">
        <v>4066481.0</v>
      </c>
      <c r="I211" s="37">
        <f t="shared" si="5"/>
        <v>209</v>
      </c>
      <c r="J211" s="41" t="str">
        <f t="shared" si="2"/>
        <v>#N/A</v>
      </c>
      <c r="K211" s="41"/>
      <c r="L211" s="45"/>
      <c r="M211" s="45"/>
    </row>
    <row r="212">
      <c r="A212" s="22" t="s">
        <v>563</v>
      </c>
      <c r="B212" s="22" t="s">
        <v>568</v>
      </c>
      <c r="C212" s="22"/>
      <c r="D212" s="22" t="str">
        <f t="shared" si="1"/>
        <v>O</v>
      </c>
      <c r="E212" s="22" t="s">
        <v>72</v>
      </c>
      <c r="F212" s="34">
        <v>2.38927E8</v>
      </c>
      <c r="G212" s="35">
        <v>2.38927E8</v>
      </c>
      <c r="H212" s="37">
        <v>4081248.0</v>
      </c>
      <c r="I212" s="37">
        <f t="shared" si="5"/>
        <v>210</v>
      </c>
      <c r="J212" s="41" t="str">
        <f t="shared" si="2"/>
        <v>#N/A</v>
      </c>
      <c r="K212" s="41"/>
      <c r="L212" s="45"/>
      <c r="M212" s="45"/>
    </row>
    <row r="213">
      <c r="A213" s="22" t="s">
        <v>563</v>
      </c>
      <c r="B213" s="22" t="s">
        <v>569</v>
      </c>
      <c r="C213" s="22"/>
      <c r="D213" s="22" t="str">
        <f t="shared" si="1"/>
        <v>O</v>
      </c>
      <c r="E213" s="22" t="s">
        <v>72</v>
      </c>
      <c r="F213" s="34">
        <v>2.39891002E8</v>
      </c>
      <c r="G213" s="35">
        <v>2.39891002E8</v>
      </c>
      <c r="H213" s="37">
        <v>4343923.0</v>
      </c>
      <c r="I213" s="37">
        <f t="shared" si="5"/>
        <v>211</v>
      </c>
      <c r="J213" s="41" t="str">
        <f t="shared" si="2"/>
        <v>#N/A</v>
      </c>
      <c r="K213" s="41"/>
      <c r="L213" s="45"/>
      <c r="M213" s="45"/>
    </row>
    <row r="214">
      <c r="A214" s="22" t="s">
        <v>563</v>
      </c>
      <c r="B214" s="22" t="s">
        <v>570</v>
      </c>
      <c r="C214" s="22"/>
      <c r="D214" s="22" t="str">
        <f t="shared" si="1"/>
        <v>O</v>
      </c>
      <c r="E214" s="22" t="s">
        <v>57</v>
      </c>
      <c r="F214" s="34">
        <v>4.03495008E8</v>
      </c>
      <c r="G214" s="35">
        <v>4.03495008E8</v>
      </c>
      <c r="H214" s="37">
        <v>4295301.0</v>
      </c>
      <c r="I214" s="37">
        <f t="shared" si="5"/>
        <v>212</v>
      </c>
      <c r="J214" s="41" t="str">
        <f t="shared" si="2"/>
        <v>#N/A</v>
      </c>
      <c r="K214" s="41"/>
      <c r="L214" s="45"/>
      <c r="M214" s="45"/>
    </row>
    <row r="215">
      <c r="A215" s="22" t="s">
        <v>571</v>
      </c>
      <c r="B215" s="22" t="s">
        <v>571</v>
      </c>
      <c r="C215" s="95" t="s">
        <v>83</v>
      </c>
      <c r="D215" s="22" t="str">
        <f t="shared" si="1"/>
        <v>L</v>
      </c>
      <c r="E215" s="22" t="s">
        <v>34</v>
      </c>
      <c r="F215" s="34">
        <v>3.97012002E8</v>
      </c>
      <c r="G215" s="35">
        <v>3.97012002E8</v>
      </c>
      <c r="H215" s="37">
        <v>4246283.0</v>
      </c>
      <c r="I215" s="37">
        <f t="shared" si="5"/>
        <v>213</v>
      </c>
      <c r="J215" s="41" t="str">
        <f t="shared" si="2"/>
        <v>#N/A</v>
      </c>
      <c r="K215" s="41"/>
      <c r="L215" s="45"/>
      <c r="M215" s="45"/>
    </row>
    <row r="216">
      <c r="A216" s="22" t="s">
        <v>572</v>
      </c>
      <c r="B216" s="22" t="s">
        <v>572</v>
      </c>
      <c r="C216" s="25" t="s">
        <v>83</v>
      </c>
      <c r="D216" s="22" t="str">
        <f t="shared" si="1"/>
        <v>L</v>
      </c>
      <c r="E216" s="22" t="s">
        <v>34</v>
      </c>
      <c r="F216" s="34">
        <v>1.11196E8</v>
      </c>
      <c r="G216" s="35">
        <v>1.11196E8</v>
      </c>
      <c r="H216" s="37">
        <v>140487.0</v>
      </c>
      <c r="I216" s="37">
        <f t="shared" si="5"/>
        <v>214</v>
      </c>
      <c r="J216" s="41" t="str">
        <f t="shared" si="2"/>
        <v>#N/A</v>
      </c>
      <c r="K216" s="41"/>
      <c r="L216" s="45"/>
      <c r="M216" s="45"/>
    </row>
    <row r="217">
      <c r="A217" s="22" t="s">
        <v>572</v>
      </c>
      <c r="B217" s="22" t="s">
        <v>573</v>
      </c>
      <c r="C217" s="22"/>
      <c r="D217" s="22" t="str">
        <f t="shared" si="1"/>
        <v>O</v>
      </c>
      <c r="E217" s="22" t="s">
        <v>54</v>
      </c>
      <c r="F217" s="34">
        <v>1.11196E8</v>
      </c>
      <c r="G217" s="35">
        <v>1.11196E8</v>
      </c>
      <c r="H217" s="37"/>
      <c r="I217" s="37">
        <f t="shared" si="5"/>
        <v>215</v>
      </c>
      <c r="J217" s="41" t="str">
        <f t="shared" si="2"/>
        <v>#N/A</v>
      </c>
      <c r="K217" s="41"/>
      <c r="L217" s="45"/>
      <c r="M217" s="45"/>
    </row>
    <row r="218">
      <c r="A218" s="22" t="s">
        <v>572</v>
      </c>
      <c r="B218" s="22" t="s">
        <v>574</v>
      </c>
      <c r="C218" s="22"/>
      <c r="D218" s="22" t="str">
        <f t="shared" si="1"/>
        <v>O</v>
      </c>
      <c r="E218" s="22" t="s">
        <v>57</v>
      </c>
      <c r="F218" s="34">
        <v>1.11196E8</v>
      </c>
      <c r="G218" s="35">
        <v>1.111960001E8</v>
      </c>
      <c r="H218" s="37"/>
      <c r="I218" s="37">
        <f t="shared" si="5"/>
        <v>216</v>
      </c>
      <c r="J218" s="41" t="str">
        <f t="shared" si="2"/>
        <v>#N/A</v>
      </c>
      <c r="K218" s="41"/>
      <c r="L218" s="45"/>
      <c r="M218" s="45"/>
    </row>
    <row r="219">
      <c r="A219" s="22" t="s">
        <v>572</v>
      </c>
      <c r="B219" s="22" t="s">
        <v>575</v>
      </c>
      <c r="C219" s="22"/>
      <c r="D219" s="22" t="str">
        <f t="shared" si="1"/>
        <v>O</v>
      </c>
      <c r="E219" s="22" t="s">
        <v>57</v>
      </c>
      <c r="F219" s="34">
        <v>1.11196E8</v>
      </c>
      <c r="G219" s="35">
        <v>1.1119600019999999E8</v>
      </c>
      <c r="H219" s="37"/>
      <c r="I219" s="37">
        <f t="shared" si="5"/>
        <v>217</v>
      </c>
      <c r="J219" s="41" t="str">
        <f t="shared" si="2"/>
        <v>#N/A</v>
      </c>
      <c r="K219" s="41"/>
      <c r="L219" s="45"/>
      <c r="M219" s="45"/>
    </row>
    <row r="220">
      <c r="A220" s="22" t="s">
        <v>572</v>
      </c>
      <c r="B220" s="22" t="s">
        <v>576</v>
      </c>
      <c r="C220" s="22"/>
      <c r="D220" s="22" t="str">
        <f t="shared" si="1"/>
        <v>O</v>
      </c>
      <c r="E220" s="22" t="s">
        <v>57</v>
      </c>
      <c r="F220" s="34">
        <v>1.11196E8</v>
      </c>
      <c r="G220" s="35">
        <v>1.111960003E8</v>
      </c>
      <c r="H220" s="37"/>
      <c r="I220" s="37">
        <f t="shared" si="5"/>
        <v>218</v>
      </c>
      <c r="J220" s="41" t="str">
        <f t="shared" si="2"/>
        <v>#N/A</v>
      </c>
      <c r="K220" s="41"/>
      <c r="L220" s="45"/>
      <c r="M220" s="45"/>
    </row>
    <row r="221">
      <c r="A221" s="22" t="s">
        <v>577</v>
      </c>
      <c r="B221" s="22" t="s">
        <v>578</v>
      </c>
      <c r="C221" s="22" t="s">
        <v>83</v>
      </c>
      <c r="D221" s="22" t="str">
        <f t="shared" si="1"/>
        <v>O</v>
      </c>
      <c r="E221" s="339" t="s">
        <v>72</v>
      </c>
      <c r="F221" s="34">
        <v>1212005.0</v>
      </c>
      <c r="G221" s="35">
        <v>1212005.0</v>
      </c>
      <c r="H221" s="37">
        <v>4005037.0</v>
      </c>
      <c r="I221" s="37">
        <f t="shared" si="5"/>
        <v>219</v>
      </c>
      <c r="J221" s="41" t="str">
        <f t="shared" si="2"/>
        <v>#N/A</v>
      </c>
      <c r="K221" s="41"/>
      <c r="L221" s="45"/>
      <c r="M221" s="45"/>
    </row>
    <row r="222">
      <c r="A222" s="22" t="s">
        <v>577</v>
      </c>
      <c r="B222" s="22" t="s">
        <v>577</v>
      </c>
      <c r="C222" s="25" t="s">
        <v>83</v>
      </c>
      <c r="D222" s="22" t="str">
        <f t="shared" si="1"/>
        <v>L</v>
      </c>
      <c r="E222" s="22" t="s">
        <v>34</v>
      </c>
      <c r="F222" s="34">
        <v>3.96230008E8</v>
      </c>
      <c r="G222" s="35">
        <v>3.96230008E8</v>
      </c>
      <c r="H222" s="37">
        <v>80182.0</v>
      </c>
      <c r="I222" s="37">
        <f t="shared" si="5"/>
        <v>220</v>
      </c>
      <c r="J222" s="41" t="str">
        <f t="shared" si="2"/>
        <v>#N/A</v>
      </c>
      <c r="K222" s="41"/>
      <c r="L222" s="45"/>
      <c r="M222" s="45"/>
    </row>
    <row r="223">
      <c r="A223" s="276" t="s">
        <v>579</v>
      </c>
      <c r="B223" s="276" t="s">
        <v>579</v>
      </c>
      <c r="C223" s="340" t="s">
        <v>83</v>
      </c>
      <c r="D223" s="276" t="str">
        <f t="shared" si="1"/>
        <v>L</v>
      </c>
      <c r="E223" s="276" t="s">
        <v>34</v>
      </c>
      <c r="F223" s="279">
        <v>4.6635009E7</v>
      </c>
      <c r="G223" s="280">
        <v>4.6635009E7</v>
      </c>
      <c r="H223" s="281">
        <v>201254.0</v>
      </c>
      <c r="I223" s="281">
        <f t="shared" si="5"/>
        <v>221</v>
      </c>
      <c r="J223" s="282" t="str">
        <f t="shared" si="2"/>
        <v>#N/A</v>
      </c>
      <c r="K223" s="282"/>
      <c r="L223" s="283"/>
      <c r="M223" s="283"/>
    </row>
    <row r="224">
      <c r="A224" s="276" t="s">
        <v>579</v>
      </c>
      <c r="B224" s="276" t="s">
        <v>580</v>
      </c>
      <c r="C224" s="276"/>
      <c r="D224" s="276" t="str">
        <f t="shared" si="1"/>
        <v>O</v>
      </c>
      <c r="E224" s="276" t="s">
        <v>57</v>
      </c>
      <c r="F224" s="279">
        <v>4.6635009E7</v>
      </c>
      <c r="G224" s="280">
        <v>4.66350091E7</v>
      </c>
      <c r="H224" s="281"/>
      <c r="I224" s="281">
        <f t="shared" si="5"/>
        <v>222</v>
      </c>
      <c r="J224" s="282" t="str">
        <f t="shared" si="2"/>
        <v>#N/A</v>
      </c>
      <c r="K224" s="282"/>
      <c r="L224" s="283"/>
      <c r="M224" s="283"/>
    </row>
    <row r="225">
      <c r="A225" s="276" t="s">
        <v>579</v>
      </c>
      <c r="B225" s="276" t="s">
        <v>581</v>
      </c>
      <c r="C225" s="276"/>
      <c r="D225" s="276" t="str">
        <f t="shared" si="1"/>
        <v>O</v>
      </c>
      <c r="E225" s="276" t="s">
        <v>57</v>
      </c>
      <c r="F225" s="279">
        <v>4.6635009E7</v>
      </c>
      <c r="G225" s="280">
        <v>4.66350092E7</v>
      </c>
      <c r="H225" s="281"/>
      <c r="I225" s="281">
        <f t="shared" si="5"/>
        <v>223</v>
      </c>
      <c r="J225" s="282" t="str">
        <f t="shared" si="2"/>
        <v>#N/A</v>
      </c>
      <c r="K225" s="282"/>
      <c r="L225" s="283"/>
      <c r="M225" s="283"/>
    </row>
    <row r="226">
      <c r="A226" s="276" t="s">
        <v>579</v>
      </c>
      <c r="B226" s="276" t="s">
        <v>582</v>
      </c>
      <c r="C226" s="276"/>
      <c r="D226" s="276" t="str">
        <f t="shared" si="1"/>
        <v>O</v>
      </c>
      <c r="E226" s="276" t="s">
        <v>57</v>
      </c>
      <c r="F226" s="279">
        <v>4.6635009E7</v>
      </c>
      <c r="G226" s="280">
        <v>4.6635009300000004E7</v>
      </c>
      <c r="H226" s="281"/>
      <c r="I226" s="281">
        <f t="shared" si="5"/>
        <v>224</v>
      </c>
      <c r="J226" s="282" t="str">
        <f t="shared" si="2"/>
        <v>#N/A</v>
      </c>
      <c r="K226" s="282"/>
      <c r="L226" s="283"/>
      <c r="M226" s="283"/>
    </row>
    <row r="227">
      <c r="A227" s="276" t="s">
        <v>579</v>
      </c>
      <c r="B227" s="276" t="s">
        <v>583</v>
      </c>
      <c r="C227" s="340" t="s">
        <v>83</v>
      </c>
      <c r="D227" s="276" t="str">
        <f t="shared" si="1"/>
        <v>O</v>
      </c>
      <c r="E227" s="276" t="s">
        <v>57</v>
      </c>
      <c r="F227" s="279">
        <v>4.6635009E7</v>
      </c>
      <c r="G227" s="280">
        <v>4.66350094E7</v>
      </c>
      <c r="H227" s="281">
        <v>201254.0</v>
      </c>
      <c r="I227" s="281">
        <f t="shared" si="5"/>
        <v>225</v>
      </c>
      <c r="J227" s="282" t="str">
        <f t="shared" si="2"/>
        <v>#N/A</v>
      </c>
      <c r="K227" s="282"/>
      <c r="L227" s="283"/>
      <c r="M227" s="283"/>
    </row>
    <row r="228">
      <c r="A228" s="139" t="s">
        <v>584</v>
      </c>
      <c r="B228" s="139" t="s">
        <v>584</v>
      </c>
      <c r="C228" s="325" t="s">
        <v>83</v>
      </c>
      <c r="D228" s="139" t="str">
        <f t="shared" si="1"/>
        <v>L</v>
      </c>
      <c r="E228" s="139" t="s">
        <v>34</v>
      </c>
      <c r="F228" s="141">
        <v>5.6989E7</v>
      </c>
      <c r="G228" s="143">
        <v>5.6989E7</v>
      </c>
      <c r="H228" s="144">
        <v>4237155.0</v>
      </c>
      <c r="I228" s="144">
        <f t="shared" si="5"/>
        <v>226</v>
      </c>
      <c r="J228" s="146" t="str">
        <f t="shared" si="2"/>
        <v>#N/A</v>
      </c>
      <c r="K228" s="146"/>
      <c r="L228" s="147"/>
      <c r="M228" s="147"/>
    </row>
    <row r="229">
      <c r="A229" s="139" t="s">
        <v>584</v>
      </c>
      <c r="B229" s="139" t="s">
        <v>585</v>
      </c>
      <c r="C229" s="139"/>
      <c r="D229" s="139" t="str">
        <f t="shared" si="1"/>
        <v>O</v>
      </c>
      <c r="E229" s="139" t="s">
        <v>54</v>
      </c>
      <c r="F229" s="141">
        <v>5.6989E7</v>
      </c>
      <c r="G229" s="143">
        <v>5.6989E7</v>
      </c>
      <c r="H229" s="144"/>
      <c r="I229" s="144">
        <f t="shared" si="5"/>
        <v>227</v>
      </c>
      <c r="J229" s="146" t="str">
        <f t="shared" si="2"/>
        <v>#N/A</v>
      </c>
      <c r="K229" s="146"/>
      <c r="L229" s="147"/>
      <c r="M229" s="147"/>
    </row>
    <row r="230">
      <c r="A230" s="139" t="s">
        <v>584</v>
      </c>
      <c r="B230" s="139" t="s">
        <v>586</v>
      </c>
      <c r="C230" s="325" t="s">
        <v>83</v>
      </c>
      <c r="D230" s="139" t="str">
        <f t="shared" si="1"/>
        <v>O</v>
      </c>
      <c r="E230" s="139" t="s">
        <v>57</v>
      </c>
      <c r="F230" s="141">
        <v>5.6989E7</v>
      </c>
      <c r="G230" s="143">
        <v>5.69890001E7</v>
      </c>
      <c r="H230" s="144">
        <v>4237155.0</v>
      </c>
      <c r="I230" s="144">
        <f t="shared" si="5"/>
        <v>228</v>
      </c>
      <c r="J230" s="146" t="str">
        <f t="shared" si="2"/>
        <v>#N/A</v>
      </c>
      <c r="K230" s="146"/>
      <c r="L230" s="147"/>
      <c r="M230" s="147"/>
    </row>
    <row r="231">
      <c r="A231" s="139" t="s">
        <v>584</v>
      </c>
      <c r="B231" s="139" t="s">
        <v>587</v>
      </c>
      <c r="C231" s="139"/>
      <c r="D231" s="139" t="str">
        <f t="shared" si="1"/>
        <v>O</v>
      </c>
      <c r="E231" s="139" t="s">
        <v>57</v>
      </c>
      <c r="F231" s="141">
        <v>5.6989E7</v>
      </c>
      <c r="G231" s="143">
        <v>5.69890002E7</v>
      </c>
      <c r="H231" s="144"/>
      <c r="I231" s="144">
        <f t="shared" si="5"/>
        <v>229</v>
      </c>
      <c r="J231" s="146" t="str">
        <f t="shared" si="2"/>
        <v>#N/A</v>
      </c>
      <c r="K231" s="146"/>
      <c r="L231" s="147"/>
      <c r="M231" s="147"/>
    </row>
    <row r="232">
      <c r="A232" s="191" t="s">
        <v>588</v>
      </c>
      <c r="B232" s="191" t="s">
        <v>588</v>
      </c>
      <c r="C232" s="341" t="s">
        <v>83</v>
      </c>
      <c r="D232" s="191" t="str">
        <f t="shared" si="1"/>
        <v>L</v>
      </c>
      <c r="E232" s="191" t="s">
        <v>34</v>
      </c>
      <c r="F232" s="195">
        <v>1.29103003E8</v>
      </c>
      <c r="G232" s="197">
        <v>1.29103003E8</v>
      </c>
      <c r="H232" s="198">
        <v>433527.0</v>
      </c>
      <c r="I232" s="198">
        <f t="shared" si="5"/>
        <v>230</v>
      </c>
      <c r="J232" s="200" t="str">
        <f t="shared" si="2"/>
        <v>#N/A</v>
      </c>
      <c r="K232" s="200"/>
      <c r="L232" s="202"/>
      <c r="M232" s="202"/>
    </row>
    <row r="233">
      <c r="A233" s="191" t="s">
        <v>588</v>
      </c>
      <c r="B233" s="191" t="s">
        <v>589</v>
      </c>
      <c r="C233" s="191"/>
      <c r="D233" s="191" t="str">
        <f t="shared" si="1"/>
        <v>O</v>
      </c>
      <c r="E233" s="191" t="s">
        <v>57</v>
      </c>
      <c r="F233" s="195">
        <v>1.29103003E8</v>
      </c>
      <c r="G233" s="197">
        <v>1.291030031E8</v>
      </c>
      <c r="H233" s="198"/>
      <c r="I233" s="198">
        <f t="shared" si="5"/>
        <v>231</v>
      </c>
      <c r="J233" s="200" t="str">
        <f t="shared" si="2"/>
        <v>#N/A</v>
      </c>
      <c r="K233" s="200"/>
      <c r="L233" s="202"/>
      <c r="M233" s="202"/>
    </row>
    <row r="234">
      <c r="A234" s="191" t="s">
        <v>588</v>
      </c>
      <c r="B234" s="191" t="s">
        <v>590</v>
      </c>
      <c r="C234" s="191"/>
      <c r="D234" s="191" t="str">
        <f t="shared" si="1"/>
        <v>O</v>
      </c>
      <c r="E234" s="191" t="s">
        <v>57</v>
      </c>
      <c r="F234" s="195">
        <v>1.29103003E8</v>
      </c>
      <c r="G234" s="197">
        <v>1.2910300319999999E8</v>
      </c>
      <c r="H234" s="198"/>
      <c r="I234" s="198">
        <f t="shared" si="5"/>
        <v>232</v>
      </c>
      <c r="J234" s="200" t="str">
        <f t="shared" si="2"/>
        <v>#N/A</v>
      </c>
      <c r="K234" s="200"/>
      <c r="L234" s="202"/>
      <c r="M234" s="202"/>
    </row>
    <row r="235">
      <c r="A235" s="191" t="s">
        <v>588</v>
      </c>
      <c r="B235" s="191" t="s">
        <v>591</v>
      </c>
      <c r="C235" s="191"/>
      <c r="D235" s="191" t="str">
        <f t="shared" si="1"/>
        <v>O</v>
      </c>
      <c r="E235" s="191" t="s">
        <v>57</v>
      </c>
      <c r="F235" s="195">
        <v>1.29103003E8</v>
      </c>
      <c r="G235" s="197">
        <v>1.291030033E8</v>
      </c>
      <c r="H235" s="198"/>
      <c r="I235" s="198">
        <f t="shared" si="5"/>
        <v>233</v>
      </c>
      <c r="J235" s="200" t="str">
        <f t="shared" si="2"/>
        <v>#N/A</v>
      </c>
      <c r="K235" s="200"/>
      <c r="L235" s="202"/>
      <c r="M235" s="202"/>
    </row>
    <row r="236">
      <c r="A236" s="191" t="s">
        <v>588</v>
      </c>
      <c r="B236" s="191" t="s">
        <v>592</v>
      </c>
      <c r="C236" s="191"/>
      <c r="D236" s="191" t="str">
        <f t="shared" si="1"/>
        <v>O</v>
      </c>
      <c r="E236" s="191" t="s">
        <v>57</v>
      </c>
      <c r="F236" s="195">
        <v>1.29103003E8</v>
      </c>
      <c r="G236" s="197">
        <v>1.2910300339999999E8</v>
      </c>
      <c r="H236" s="198"/>
      <c r="I236" s="198">
        <f t="shared" si="5"/>
        <v>234</v>
      </c>
      <c r="J236" s="200" t="str">
        <f t="shared" si="2"/>
        <v>#N/A</v>
      </c>
      <c r="K236" s="200"/>
      <c r="L236" s="202"/>
      <c r="M236" s="202"/>
    </row>
    <row r="237">
      <c r="A237" s="139" t="s">
        <v>593</v>
      </c>
      <c r="B237" s="139" t="s">
        <v>593</v>
      </c>
      <c r="C237" s="325" t="s">
        <v>83</v>
      </c>
      <c r="D237" s="139" t="str">
        <f t="shared" si="1"/>
        <v>L</v>
      </c>
      <c r="E237" s="139" t="s">
        <v>34</v>
      </c>
      <c r="F237" s="141">
        <v>3.59643005E8</v>
      </c>
      <c r="G237" s="143">
        <v>3.59643005E8</v>
      </c>
      <c r="H237" s="144">
        <v>4231746.0</v>
      </c>
      <c r="I237" s="144">
        <f t="shared" si="5"/>
        <v>235</v>
      </c>
      <c r="J237" s="146" t="str">
        <f t="shared" si="2"/>
        <v>#N/A</v>
      </c>
      <c r="K237" s="146"/>
      <c r="L237" s="147"/>
      <c r="M237" s="147"/>
    </row>
    <row r="238">
      <c r="A238" s="139" t="s">
        <v>593</v>
      </c>
      <c r="B238" s="139" t="s">
        <v>594</v>
      </c>
      <c r="C238" s="139"/>
      <c r="D238" s="139" t="str">
        <f t="shared" si="1"/>
        <v>O</v>
      </c>
      <c r="E238" s="139" t="s">
        <v>57</v>
      </c>
      <c r="F238" s="141">
        <v>3.59643005E8</v>
      </c>
      <c r="G238" s="143">
        <v>3.596430051E8</v>
      </c>
      <c r="H238" s="144"/>
      <c r="I238" s="144">
        <f t="shared" si="5"/>
        <v>236</v>
      </c>
      <c r="J238" s="146" t="str">
        <f t="shared" si="2"/>
        <v>#N/A</v>
      </c>
      <c r="K238" s="146"/>
      <c r="L238" s="147"/>
      <c r="M238" s="147"/>
    </row>
    <row r="239">
      <c r="A239" s="139" t="s">
        <v>593</v>
      </c>
      <c r="B239" s="139" t="s">
        <v>595</v>
      </c>
      <c r="C239" s="139"/>
      <c r="D239" s="139" t="str">
        <f t="shared" si="1"/>
        <v>O</v>
      </c>
      <c r="E239" s="139" t="s">
        <v>57</v>
      </c>
      <c r="F239" s="141">
        <v>3.59643005E8</v>
      </c>
      <c r="G239" s="143">
        <v>3.5964300520000005E8</v>
      </c>
      <c r="H239" s="144"/>
      <c r="I239" s="144">
        <f t="shared" si="5"/>
        <v>237</v>
      </c>
      <c r="J239" s="146" t="str">
        <f t="shared" si="2"/>
        <v>#N/A</v>
      </c>
      <c r="K239" s="146"/>
      <c r="L239" s="147"/>
      <c r="M239" s="147"/>
    </row>
    <row r="240">
      <c r="A240" s="232" t="s">
        <v>596</v>
      </c>
      <c r="B240" s="232" t="s">
        <v>596</v>
      </c>
      <c r="C240" s="331" t="s">
        <v>83</v>
      </c>
      <c r="D240" s="232" t="str">
        <f t="shared" si="1"/>
        <v>L</v>
      </c>
      <c r="E240" s="232" t="s">
        <v>34</v>
      </c>
      <c r="F240" s="233">
        <v>2.35599003E8</v>
      </c>
      <c r="G240" s="234">
        <v>2.35599003E8</v>
      </c>
      <c r="H240" s="235">
        <v>27918.0</v>
      </c>
      <c r="I240" s="235">
        <f t="shared" si="5"/>
        <v>238</v>
      </c>
      <c r="J240" s="236" t="str">
        <f t="shared" si="2"/>
        <v>#N/A</v>
      </c>
      <c r="K240" s="236"/>
      <c r="L240" s="237"/>
      <c r="M240" s="237"/>
    </row>
    <row r="241">
      <c r="A241" s="232" t="s">
        <v>597</v>
      </c>
      <c r="B241" s="232" t="s">
        <v>598</v>
      </c>
      <c r="C241" s="232"/>
      <c r="D241" s="232" t="str">
        <f t="shared" si="1"/>
        <v>O</v>
      </c>
      <c r="E241" s="232" t="s">
        <v>57</v>
      </c>
      <c r="F241" s="233">
        <v>2.35599003E8</v>
      </c>
      <c r="G241" s="234">
        <v>2.355990031E8</v>
      </c>
      <c r="H241" s="235"/>
      <c r="I241" s="235">
        <f t="shared" si="5"/>
        <v>239</v>
      </c>
      <c r="J241" s="236" t="str">
        <f t="shared" si="2"/>
        <v>#N/A</v>
      </c>
      <c r="K241" s="236"/>
      <c r="L241" s="237"/>
      <c r="M241" s="237"/>
    </row>
    <row r="242">
      <c r="A242" s="214" t="s">
        <v>599</v>
      </c>
      <c r="B242" s="214" t="s">
        <v>599</v>
      </c>
      <c r="C242" s="222" t="s">
        <v>83</v>
      </c>
      <c r="D242" s="214" t="str">
        <f t="shared" si="1"/>
        <v>L</v>
      </c>
      <c r="E242" s="214" t="s">
        <v>34</v>
      </c>
      <c r="F242" s="215">
        <v>8.4757009E7</v>
      </c>
      <c r="G242" s="216">
        <v>8.4757009E7</v>
      </c>
      <c r="H242" s="218">
        <v>380378.0</v>
      </c>
      <c r="I242" s="218">
        <f t="shared" si="5"/>
        <v>240</v>
      </c>
      <c r="J242" s="219" t="str">
        <f t="shared" si="2"/>
        <v>#N/A</v>
      </c>
      <c r="K242" s="219"/>
      <c r="L242" s="220"/>
      <c r="M242" s="220"/>
    </row>
    <row r="243">
      <c r="A243" s="214" t="s">
        <v>600</v>
      </c>
      <c r="B243" s="214" t="s">
        <v>600</v>
      </c>
      <c r="C243" s="322" t="s">
        <v>83</v>
      </c>
      <c r="D243" s="214" t="str">
        <f t="shared" si="1"/>
        <v>L</v>
      </c>
      <c r="E243" s="214" t="s">
        <v>34</v>
      </c>
      <c r="F243" s="215">
        <v>815008.0</v>
      </c>
      <c r="G243" s="216">
        <v>815008.0</v>
      </c>
      <c r="H243" s="218">
        <v>4218083.0</v>
      </c>
      <c r="I243" s="218">
        <f t="shared" si="5"/>
        <v>241</v>
      </c>
      <c r="J243" s="219" t="str">
        <f t="shared" si="2"/>
        <v>#N/A</v>
      </c>
      <c r="K243" s="219"/>
      <c r="L243" s="220"/>
      <c r="M243" s="220"/>
    </row>
    <row r="244">
      <c r="A244" s="22" t="s">
        <v>601</v>
      </c>
      <c r="B244" s="22" t="s">
        <v>602</v>
      </c>
      <c r="C244" s="22"/>
      <c r="D244" s="22" t="str">
        <f t="shared" si="1"/>
        <v>O</v>
      </c>
      <c r="E244" s="22" t="s">
        <v>54</v>
      </c>
      <c r="F244" s="34">
        <v>3.2861005E7</v>
      </c>
      <c r="G244" s="35">
        <v>3.2861005E7</v>
      </c>
      <c r="H244" s="37"/>
      <c r="I244" s="37">
        <f t="shared" si="5"/>
        <v>242</v>
      </c>
      <c r="J244" s="41" t="str">
        <f t="shared" si="2"/>
        <v>#N/A</v>
      </c>
      <c r="K244" s="41"/>
      <c r="L244" s="45"/>
      <c r="M244" s="45"/>
    </row>
    <row r="245">
      <c r="A245" s="22" t="s">
        <v>601</v>
      </c>
      <c r="B245" s="22" t="s">
        <v>601</v>
      </c>
      <c r="C245" s="25" t="s">
        <v>83</v>
      </c>
      <c r="D245" s="22" t="str">
        <f t="shared" si="1"/>
        <v>L</v>
      </c>
      <c r="E245" s="22" t="s">
        <v>34</v>
      </c>
      <c r="F245" s="34">
        <v>3.2861005E7</v>
      </c>
      <c r="G245" s="35">
        <v>3.2861005E7</v>
      </c>
      <c r="H245" s="37">
        <v>140176.0</v>
      </c>
      <c r="I245" s="37">
        <f t="shared" si="5"/>
        <v>243</v>
      </c>
      <c r="J245" s="41" t="str">
        <f t="shared" si="2"/>
        <v>#N/A</v>
      </c>
      <c r="K245" s="41"/>
      <c r="L245" s="45"/>
      <c r="M245" s="45"/>
    </row>
    <row r="246">
      <c r="A246" s="22" t="s">
        <v>601</v>
      </c>
      <c r="B246" s="22" t="s">
        <v>603</v>
      </c>
      <c r="C246" s="22"/>
      <c r="D246" s="22" t="str">
        <f t="shared" si="1"/>
        <v>O</v>
      </c>
      <c r="E246" s="22" t="s">
        <v>57</v>
      </c>
      <c r="F246" s="34">
        <v>3.2861005E7</v>
      </c>
      <c r="G246" s="35">
        <v>3.28610051E7</v>
      </c>
      <c r="H246" s="37"/>
      <c r="I246" s="37">
        <f t="shared" si="5"/>
        <v>244</v>
      </c>
      <c r="J246" s="41" t="str">
        <f t="shared" si="2"/>
        <v>#N/A</v>
      </c>
      <c r="K246" s="41"/>
      <c r="L246" s="45"/>
      <c r="M246" s="45"/>
    </row>
    <row r="247">
      <c r="A247" s="22" t="s">
        <v>601</v>
      </c>
      <c r="B247" s="22" t="s">
        <v>604</v>
      </c>
      <c r="C247" s="22"/>
      <c r="D247" s="22" t="str">
        <f t="shared" si="1"/>
        <v>O</v>
      </c>
      <c r="E247" s="22" t="s">
        <v>57</v>
      </c>
      <c r="F247" s="34">
        <v>3.2861005E7</v>
      </c>
      <c r="G247" s="35">
        <v>3.2861005200000003E7</v>
      </c>
      <c r="H247" s="37"/>
      <c r="I247" s="37">
        <f t="shared" si="5"/>
        <v>245</v>
      </c>
      <c r="J247" s="41" t="str">
        <f t="shared" si="2"/>
        <v>#N/A</v>
      </c>
      <c r="K247" s="41"/>
      <c r="L247" s="45"/>
      <c r="M247" s="45"/>
    </row>
    <row r="248">
      <c r="A248" s="50" t="s">
        <v>605</v>
      </c>
      <c r="B248" s="50" t="s">
        <v>605</v>
      </c>
      <c r="C248" s="185" t="s">
        <v>83</v>
      </c>
      <c r="D248" s="50" t="str">
        <f t="shared" si="1"/>
        <v>L</v>
      </c>
      <c r="E248" s="50" t="s">
        <v>34</v>
      </c>
      <c r="F248" s="52">
        <v>2.39947001E8</v>
      </c>
      <c r="G248" s="54">
        <v>2.39947001E8</v>
      </c>
      <c r="H248" s="55">
        <v>4347067.0</v>
      </c>
      <c r="I248" s="55">
        <f t="shared" si="5"/>
        <v>246</v>
      </c>
      <c r="J248" s="57" t="str">
        <f t="shared" si="2"/>
        <v>#N/A</v>
      </c>
      <c r="K248" s="57"/>
      <c r="L248" s="59"/>
      <c r="M248" s="59"/>
    </row>
    <row r="249">
      <c r="A249" s="50" t="s">
        <v>605</v>
      </c>
      <c r="B249" s="50" t="s">
        <v>606</v>
      </c>
      <c r="C249" s="50"/>
      <c r="D249" s="50" t="str">
        <f t="shared" si="1"/>
        <v>O</v>
      </c>
      <c r="E249" s="50" t="s">
        <v>57</v>
      </c>
      <c r="F249" s="52">
        <v>2.39947001E8</v>
      </c>
      <c r="G249" s="54">
        <v>2.399470011E8</v>
      </c>
      <c r="H249" s="55"/>
      <c r="I249" s="55">
        <f t="shared" si="5"/>
        <v>247</v>
      </c>
      <c r="J249" s="57" t="str">
        <f t="shared" si="2"/>
        <v>#N/A</v>
      </c>
      <c r="K249" s="57"/>
      <c r="L249" s="59"/>
      <c r="M249" s="59"/>
    </row>
    <row r="250">
      <c r="A250" s="50" t="s">
        <v>605</v>
      </c>
      <c r="B250" s="50" t="s">
        <v>607</v>
      </c>
      <c r="C250" s="50"/>
      <c r="D250" s="50" t="str">
        <f t="shared" si="1"/>
        <v>O</v>
      </c>
      <c r="E250" s="50" t="s">
        <v>57</v>
      </c>
      <c r="F250" s="52">
        <v>2.39947001E8</v>
      </c>
      <c r="G250" s="54">
        <v>2.399470012E8</v>
      </c>
      <c r="H250" s="55"/>
      <c r="I250" s="55">
        <f t="shared" si="5"/>
        <v>248</v>
      </c>
      <c r="J250" s="256" t="str">
        <f t="shared" si="2"/>
        <v>#N/A</v>
      </c>
      <c r="K250" s="57"/>
      <c r="L250" s="59"/>
      <c r="M250" s="59"/>
    </row>
    <row r="251">
      <c r="A251" s="50" t="s">
        <v>608</v>
      </c>
      <c r="B251" s="50" t="s">
        <v>608</v>
      </c>
      <c r="C251" s="329" t="s">
        <v>83</v>
      </c>
      <c r="D251" s="50" t="str">
        <f t="shared" si="1"/>
        <v>L</v>
      </c>
      <c r="E251" s="50" t="s">
        <v>34</v>
      </c>
      <c r="F251" s="52">
        <v>7.5331009E7</v>
      </c>
      <c r="G251" s="54">
        <v>7.5331009E7</v>
      </c>
      <c r="H251" s="55">
        <v>436956.0</v>
      </c>
      <c r="I251" s="55">
        <f t="shared" si="5"/>
        <v>249</v>
      </c>
      <c r="J251" s="57" t="str">
        <f t="shared" si="2"/>
        <v>#N/A</v>
      </c>
      <c r="K251" s="57"/>
      <c r="L251" s="59"/>
      <c r="M251" s="59"/>
    </row>
    <row r="252">
      <c r="A252" s="191" t="s">
        <v>609</v>
      </c>
      <c r="B252" s="191" t="s">
        <v>609</v>
      </c>
      <c r="C252" s="193" t="s">
        <v>83</v>
      </c>
      <c r="D252" s="191" t="str">
        <f t="shared" si="1"/>
        <v>L</v>
      </c>
      <c r="E252" s="191" t="s">
        <v>34</v>
      </c>
      <c r="F252" s="195">
        <v>2.4129002E7</v>
      </c>
      <c r="G252" s="197">
        <v>2.4129002E7</v>
      </c>
      <c r="H252" s="198">
        <v>4083100.0</v>
      </c>
      <c r="I252" s="198">
        <f t="shared" si="5"/>
        <v>250</v>
      </c>
      <c r="J252" s="200" t="str">
        <f t="shared" si="2"/>
        <v>#N/A</v>
      </c>
      <c r="K252" s="200"/>
      <c r="L252" s="202"/>
      <c r="M252" s="202"/>
    </row>
    <row r="253">
      <c r="A253" s="191" t="s">
        <v>609</v>
      </c>
      <c r="B253" s="191" t="s">
        <v>610</v>
      </c>
      <c r="C253" s="193" t="s">
        <v>83</v>
      </c>
      <c r="D253" s="191" t="str">
        <f t="shared" si="1"/>
        <v>O</v>
      </c>
      <c r="E253" s="191" t="s">
        <v>57</v>
      </c>
      <c r="F253" s="195">
        <v>2.4129002E7</v>
      </c>
      <c r="G253" s="197">
        <v>2.41290021E7</v>
      </c>
      <c r="H253" s="198">
        <v>4083100.0</v>
      </c>
      <c r="I253" s="198">
        <f t="shared" si="5"/>
        <v>251</v>
      </c>
      <c r="J253" s="200" t="str">
        <f t="shared" si="2"/>
        <v>#N/A</v>
      </c>
      <c r="K253" s="200"/>
      <c r="L253" s="202"/>
      <c r="M253" s="202"/>
    </row>
    <row r="254">
      <c r="A254" s="191" t="s">
        <v>609</v>
      </c>
      <c r="B254" s="191" t="s">
        <v>611</v>
      </c>
      <c r="C254" s="191"/>
      <c r="D254" s="191" t="str">
        <f t="shared" si="1"/>
        <v>O</v>
      </c>
      <c r="E254" s="191" t="s">
        <v>57</v>
      </c>
      <c r="F254" s="195">
        <v>2.4129002E7</v>
      </c>
      <c r="G254" s="197">
        <v>2.4129002200000003E7</v>
      </c>
      <c r="H254" s="198"/>
      <c r="I254" s="198">
        <f t="shared" si="5"/>
        <v>252</v>
      </c>
      <c r="J254" s="200" t="str">
        <f t="shared" si="2"/>
        <v>#N/A</v>
      </c>
      <c r="K254" s="200"/>
      <c r="L254" s="202"/>
      <c r="M254" s="202"/>
    </row>
    <row r="255">
      <c r="A255" s="191" t="s">
        <v>609</v>
      </c>
      <c r="B255" s="191" t="s">
        <v>612</v>
      </c>
      <c r="C255" s="191"/>
      <c r="D255" s="191" t="str">
        <f t="shared" si="1"/>
        <v>O</v>
      </c>
      <c r="E255" s="191" t="s">
        <v>57</v>
      </c>
      <c r="F255" s="195">
        <v>2.4129002E7</v>
      </c>
      <c r="G255" s="197">
        <v>2.41290023E7</v>
      </c>
      <c r="H255" s="198"/>
      <c r="I255" s="198">
        <f t="shared" si="5"/>
        <v>253</v>
      </c>
      <c r="J255" s="200" t="str">
        <f t="shared" si="2"/>
        <v>#N/A</v>
      </c>
      <c r="K255" s="200"/>
      <c r="L255" s="202"/>
      <c r="M255" s="202"/>
    </row>
    <row r="256">
      <c r="A256" s="191" t="s">
        <v>609</v>
      </c>
      <c r="B256" s="191" t="s">
        <v>613</v>
      </c>
      <c r="C256" s="193" t="s">
        <v>83</v>
      </c>
      <c r="D256" s="191" t="str">
        <f t="shared" si="1"/>
        <v>O</v>
      </c>
      <c r="E256" s="191" t="s">
        <v>57</v>
      </c>
      <c r="F256" s="195">
        <v>2.4129002E7</v>
      </c>
      <c r="G256" s="197">
        <v>2.4129002400000002E7</v>
      </c>
      <c r="H256" s="198">
        <v>4083100.0</v>
      </c>
      <c r="I256" s="198">
        <f t="shared" si="5"/>
        <v>254</v>
      </c>
      <c r="J256" s="200" t="str">
        <f t="shared" si="2"/>
        <v>#N/A</v>
      </c>
      <c r="K256" s="200"/>
      <c r="L256" s="202"/>
      <c r="M256" s="202"/>
    </row>
    <row r="257">
      <c r="A257" s="342" t="s">
        <v>614</v>
      </c>
      <c r="B257" s="342" t="s">
        <v>614</v>
      </c>
      <c r="C257" s="343" t="s">
        <v>83</v>
      </c>
      <c r="D257" s="342" t="str">
        <f t="shared" si="1"/>
        <v>L</v>
      </c>
      <c r="E257" s="342" t="s">
        <v>34</v>
      </c>
      <c r="F257" s="141">
        <v>5.7160007E7</v>
      </c>
      <c r="G257" s="143">
        <v>5.7160007E7</v>
      </c>
      <c r="H257" s="144">
        <v>81097.0</v>
      </c>
      <c r="I257" s="144">
        <f t="shared" si="5"/>
        <v>255</v>
      </c>
      <c r="J257" s="146" t="str">
        <f t="shared" si="2"/>
        <v>#N/A</v>
      </c>
      <c r="K257" s="146"/>
      <c r="L257" s="147"/>
      <c r="M257" s="147"/>
    </row>
    <row r="258">
      <c r="A258" s="342" t="s">
        <v>614</v>
      </c>
      <c r="B258" s="342" t="s">
        <v>615</v>
      </c>
      <c r="C258" s="139"/>
      <c r="D258" s="342" t="str">
        <f t="shared" si="1"/>
        <v>O</v>
      </c>
      <c r="E258" s="342" t="s">
        <v>54</v>
      </c>
      <c r="F258" s="141">
        <v>5.7160007E7</v>
      </c>
      <c r="G258" s="143">
        <v>5.7160007E7</v>
      </c>
      <c r="H258" s="144"/>
      <c r="I258" s="144">
        <f t="shared" si="5"/>
        <v>256</v>
      </c>
      <c r="J258" s="146" t="str">
        <f t="shared" si="2"/>
        <v>#N/A</v>
      </c>
      <c r="K258" s="146"/>
      <c r="L258" s="147"/>
      <c r="M258" s="147"/>
    </row>
    <row r="259">
      <c r="A259" s="342" t="s">
        <v>614</v>
      </c>
      <c r="B259" s="342" t="s">
        <v>616</v>
      </c>
      <c r="C259" s="343" t="s">
        <v>83</v>
      </c>
      <c r="D259" s="342" t="str">
        <f t="shared" si="1"/>
        <v>O</v>
      </c>
      <c r="E259" s="342" t="s">
        <v>57</v>
      </c>
      <c r="F259" s="141">
        <v>5.7160007E7</v>
      </c>
      <c r="G259" s="143">
        <v>5.71600071E7</v>
      </c>
      <c r="H259" s="144">
        <v>81097.0</v>
      </c>
      <c r="I259" s="144">
        <f t="shared" si="5"/>
        <v>257</v>
      </c>
      <c r="J259" s="146" t="str">
        <f t="shared" si="2"/>
        <v>#N/A</v>
      </c>
      <c r="K259" s="146"/>
      <c r="L259" s="147"/>
      <c r="M259" s="147"/>
    </row>
    <row r="260">
      <c r="A260" s="342" t="s">
        <v>614</v>
      </c>
      <c r="B260" s="342" t="s">
        <v>617</v>
      </c>
      <c r="C260" s="139"/>
      <c r="D260" s="342" t="str">
        <f t="shared" si="1"/>
        <v>O</v>
      </c>
      <c r="E260" s="342" t="s">
        <v>57</v>
      </c>
      <c r="F260" s="141">
        <v>5.7160007E7</v>
      </c>
      <c r="G260" s="143">
        <v>5.71600072E7</v>
      </c>
      <c r="H260" s="144"/>
      <c r="I260" s="144">
        <f t="shared" si="5"/>
        <v>258</v>
      </c>
      <c r="J260" s="146" t="str">
        <f t="shared" si="2"/>
        <v>#N/A</v>
      </c>
      <c r="K260" s="146"/>
      <c r="L260" s="147"/>
      <c r="M260" s="147"/>
    </row>
    <row r="261">
      <c r="A261" s="103" t="s">
        <v>618</v>
      </c>
      <c r="B261" s="103" t="s">
        <v>619</v>
      </c>
      <c r="C261" s="297" t="s">
        <v>83</v>
      </c>
      <c r="D261" s="103" t="str">
        <f t="shared" si="1"/>
        <v>O</v>
      </c>
      <c r="E261" s="103" t="s">
        <v>57</v>
      </c>
      <c r="F261" s="105">
        <v>2.36816007E8</v>
      </c>
      <c r="G261" s="106">
        <v>2.36816007E8</v>
      </c>
      <c r="H261" s="344">
        <v>4127869.0</v>
      </c>
      <c r="I261" s="107">
        <f t="shared" si="5"/>
        <v>259</v>
      </c>
      <c r="J261" s="108" t="str">
        <f t="shared" si="2"/>
        <v>#N/A</v>
      </c>
      <c r="K261" s="108"/>
      <c r="L261" s="109"/>
      <c r="M261" s="109"/>
    </row>
    <row r="262">
      <c r="A262" s="103" t="s">
        <v>618</v>
      </c>
      <c r="B262" s="103" t="s">
        <v>618</v>
      </c>
      <c r="C262" s="297" t="s">
        <v>83</v>
      </c>
      <c r="D262" s="103" t="str">
        <f t="shared" si="1"/>
        <v>L</v>
      </c>
      <c r="E262" s="103" t="s">
        <v>34</v>
      </c>
      <c r="F262" s="105" t="s">
        <v>620</v>
      </c>
      <c r="G262" s="106" t="s">
        <v>620</v>
      </c>
      <c r="H262" s="344">
        <v>4188008.0</v>
      </c>
      <c r="I262" s="107">
        <f t="shared" si="5"/>
        <v>260</v>
      </c>
      <c r="J262" s="108" t="str">
        <f t="shared" si="2"/>
        <v>#N/A</v>
      </c>
      <c r="K262" s="108"/>
      <c r="L262" s="109"/>
      <c r="M262" s="109"/>
    </row>
    <row r="263">
      <c r="A263" s="139" t="s">
        <v>621</v>
      </c>
      <c r="B263" s="139" t="s">
        <v>621</v>
      </c>
      <c r="C263" s="325" t="s">
        <v>83</v>
      </c>
      <c r="D263" s="139" t="str">
        <f t="shared" si="1"/>
        <v>L</v>
      </c>
      <c r="E263" s="139" t="s">
        <v>34</v>
      </c>
      <c r="F263" s="141">
        <v>2.03082005E8</v>
      </c>
      <c r="G263" s="143">
        <v>2.03082005E8</v>
      </c>
      <c r="H263" s="144">
        <v>4.0405599E7</v>
      </c>
      <c r="I263" s="144">
        <f t="shared" si="5"/>
        <v>261</v>
      </c>
      <c r="J263" s="146" t="str">
        <f t="shared" si="2"/>
        <v>#N/A</v>
      </c>
      <c r="K263" s="146"/>
      <c r="L263" s="147"/>
      <c r="M263" s="147"/>
    </row>
    <row r="264">
      <c r="A264" s="139" t="s">
        <v>621</v>
      </c>
      <c r="B264" s="139" t="s">
        <v>622</v>
      </c>
      <c r="C264" s="139"/>
      <c r="D264" s="139" t="str">
        <f t="shared" si="1"/>
        <v>O</v>
      </c>
      <c r="E264" s="139" t="s">
        <v>57</v>
      </c>
      <c r="F264" s="141">
        <v>2.03082005E8</v>
      </c>
      <c r="G264" s="143">
        <v>2.030820051E8</v>
      </c>
      <c r="H264" s="144"/>
      <c r="I264" s="144">
        <f t="shared" si="5"/>
        <v>262</v>
      </c>
      <c r="J264" s="146" t="str">
        <f t="shared" si="2"/>
        <v>#N/A</v>
      </c>
      <c r="K264" s="146"/>
      <c r="L264" s="147"/>
      <c r="M264" s="147"/>
    </row>
    <row r="265">
      <c r="A265" s="103" t="s">
        <v>623</v>
      </c>
      <c r="B265" s="103" t="s">
        <v>624</v>
      </c>
      <c r="C265" s="297" t="s">
        <v>83</v>
      </c>
      <c r="D265" s="103" t="str">
        <f t="shared" si="1"/>
        <v>O</v>
      </c>
      <c r="E265" s="103" t="s">
        <v>57</v>
      </c>
      <c r="F265" s="105">
        <v>9.0739004E7</v>
      </c>
      <c r="G265" s="106">
        <v>9.0739004E7</v>
      </c>
      <c r="H265" s="107">
        <v>138387.0</v>
      </c>
      <c r="I265" s="107">
        <f t="shared" si="5"/>
        <v>263</v>
      </c>
      <c r="J265" s="108" t="str">
        <f t="shared" si="2"/>
        <v>#N/A</v>
      </c>
      <c r="K265" s="108"/>
      <c r="L265" s="109"/>
      <c r="M265" s="109"/>
    </row>
    <row r="266">
      <c r="A266" s="103" t="s">
        <v>623</v>
      </c>
      <c r="B266" s="103" t="s">
        <v>625</v>
      </c>
      <c r="C266" s="103"/>
      <c r="D266" s="103" t="str">
        <f t="shared" si="1"/>
        <v>O</v>
      </c>
      <c r="E266" s="103" t="s">
        <v>57</v>
      </c>
      <c r="F266" s="105">
        <v>2.37499004E8</v>
      </c>
      <c r="G266" s="106">
        <v>2.37499004E8</v>
      </c>
      <c r="H266" s="107">
        <v>4034811.0</v>
      </c>
      <c r="I266" s="107">
        <f t="shared" si="5"/>
        <v>264</v>
      </c>
      <c r="J266" s="108" t="str">
        <f t="shared" si="2"/>
        <v>#N/A</v>
      </c>
      <c r="K266" s="108"/>
      <c r="L266" s="109"/>
      <c r="M266" s="109"/>
    </row>
    <row r="267">
      <c r="A267" s="103" t="s">
        <v>623</v>
      </c>
      <c r="B267" s="103" t="s">
        <v>623</v>
      </c>
      <c r="C267" s="297" t="s">
        <v>83</v>
      </c>
      <c r="D267" s="103" t="str">
        <f t="shared" si="1"/>
        <v>L</v>
      </c>
      <c r="E267" s="103" t="s">
        <v>34</v>
      </c>
      <c r="F267" s="105">
        <v>3.53295004E8</v>
      </c>
      <c r="G267" s="106">
        <v>3.53295004E8</v>
      </c>
      <c r="H267" s="107">
        <v>4232076.0</v>
      </c>
      <c r="I267" s="107">
        <f t="shared" si="5"/>
        <v>265</v>
      </c>
      <c r="J267" s="108" t="str">
        <f t="shared" si="2"/>
        <v>#N/A</v>
      </c>
      <c r="K267" s="108"/>
      <c r="L267" s="109"/>
      <c r="M267" s="109"/>
    </row>
    <row r="268">
      <c r="A268" s="103" t="s">
        <v>623</v>
      </c>
      <c r="B268" s="103" t="s">
        <v>626</v>
      </c>
      <c r="C268" s="103"/>
      <c r="D268" s="103" t="str">
        <f t="shared" si="1"/>
        <v>O</v>
      </c>
      <c r="E268" s="103" t="s">
        <v>57</v>
      </c>
      <c r="F268" s="105">
        <v>3.53295004E8</v>
      </c>
      <c r="G268" s="106">
        <v>3.532950041E8</v>
      </c>
      <c r="H268" s="107"/>
      <c r="I268" s="107">
        <f t="shared" si="5"/>
        <v>266</v>
      </c>
      <c r="J268" s="108" t="str">
        <f t="shared" si="2"/>
        <v>#N/A</v>
      </c>
      <c r="K268" s="108"/>
      <c r="L268" s="109"/>
      <c r="M268" s="109"/>
    </row>
    <row r="269">
      <c r="A269" s="103" t="s">
        <v>623</v>
      </c>
      <c r="B269" s="103" t="s">
        <v>627</v>
      </c>
      <c r="C269" s="103"/>
      <c r="D269" s="103" t="str">
        <f t="shared" si="1"/>
        <v>O</v>
      </c>
      <c r="E269" s="103" t="s">
        <v>57</v>
      </c>
      <c r="F269" s="105">
        <v>3.53295004E8</v>
      </c>
      <c r="G269" s="106">
        <v>3.5329500420000005E8</v>
      </c>
      <c r="H269" s="107"/>
      <c r="I269" s="107">
        <f t="shared" si="5"/>
        <v>267</v>
      </c>
      <c r="J269" s="108" t="str">
        <f t="shared" si="2"/>
        <v>#N/A</v>
      </c>
      <c r="K269" s="108"/>
      <c r="L269" s="109"/>
      <c r="M269" s="109"/>
    </row>
    <row r="270">
      <c r="A270" s="103" t="s">
        <v>623</v>
      </c>
      <c r="B270" s="103" t="s">
        <v>628</v>
      </c>
      <c r="C270" s="103"/>
      <c r="D270" s="103" t="str">
        <f t="shared" si="1"/>
        <v>O</v>
      </c>
      <c r="E270" s="103" t="s">
        <v>57</v>
      </c>
      <c r="F270" s="105">
        <v>3.53295004E8</v>
      </c>
      <c r="G270" s="106">
        <v>3.532950043E8</v>
      </c>
      <c r="H270" s="107"/>
      <c r="I270" s="107">
        <f t="shared" si="5"/>
        <v>268</v>
      </c>
      <c r="J270" s="108" t="str">
        <f t="shared" si="2"/>
        <v>#N/A</v>
      </c>
      <c r="K270" s="108"/>
      <c r="L270" s="109"/>
      <c r="M270" s="109"/>
    </row>
    <row r="271">
      <c r="A271" s="103" t="s">
        <v>623</v>
      </c>
      <c r="B271" s="103" t="s">
        <v>629</v>
      </c>
      <c r="C271" s="103"/>
      <c r="D271" s="103" t="str">
        <f t="shared" si="1"/>
        <v>O</v>
      </c>
      <c r="E271" s="103" t="s">
        <v>57</v>
      </c>
      <c r="F271" s="105">
        <v>3.53295004E8</v>
      </c>
      <c r="G271" s="106">
        <v>3.5329500440000004E8</v>
      </c>
      <c r="H271" s="107"/>
      <c r="I271" s="107">
        <f t="shared" si="5"/>
        <v>269</v>
      </c>
      <c r="J271" s="108" t="str">
        <f t="shared" si="2"/>
        <v>#N/A</v>
      </c>
      <c r="K271" s="108"/>
      <c r="L271" s="109"/>
      <c r="M271" s="109"/>
    </row>
    <row r="272">
      <c r="A272" s="103" t="s">
        <v>623</v>
      </c>
      <c r="B272" s="103" t="s">
        <v>630</v>
      </c>
      <c r="C272" s="103"/>
      <c r="D272" s="103" t="str">
        <f t="shared" si="1"/>
        <v>O</v>
      </c>
      <c r="E272" s="103" t="s">
        <v>57</v>
      </c>
      <c r="F272" s="105">
        <v>3.53295004E8</v>
      </c>
      <c r="G272" s="106">
        <v>3.532950045E8</v>
      </c>
      <c r="H272" s="107"/>
      <c r="I272" s="107">
        <f t="shared" si="5"/>
        <v>270</v>
      </c>
      <c r="J272" s="108" t="str">
        <f t="shared" si="2"/>
        <v>#N/A</v>
      </c>
      <c r="K272" s="108"/>
      <c r="L272" s="109"/>
      <c r="M272" s="109"/>
    </row>
    <row r="273">
      <c r="A273" s="103" t="s">
        <v>623</v>
      </c>
      <c r="B273" s="103" t="s">
        <v>631</v>
      </c>
      <c r="C273" s="103"/>
      <c r="D273" s="103" t="str">
        <f t="shared" si="1"/>
        <v>O</v>
      </c>
      <c r="E273" s="103" t="s">
        <v>57</v>
      </c>
      <c r="F273" s="105">
        <v>3.53295004E8</v>
      </c>
      <c r="G273" s="106">
        <v>3.532950046E8</v>
      </c>
      <c r="H273" s="107"/>
      <c r="I273" s="107">
        <f t="shared" si="5"/>
        <v>271</v>
      </c>
      <c r="J273" s="108" t="str">
        <f t="shared" si="2"/>
        <v>#N/A</v>
      </c>
      <c r="K273" s="108"/>
      <c r="L273" s="109"/>
      <c r="M273" s="109"/>
    </row>
    <row r="274">
      <c r="A274" s="214" t="s">
        <v>632</v>
      </c>
      <c r="B274" s="214" t="s">
        <v>633</v>
      </c>
      <c r="C274" s="345" t="s">
        <v>22</v>
      </c>
      <c r="D274" s="214" t="str">
        <f t="shared" si="1"/>
        <v>O</v>
      </c>
      <c r="E274" s="214" t="s">
        <v>54</v>
      </c>
      <c r="F274" s="215">
        <v>1767005.0</v>
      </c>
      <c r="G274" s="216">
        <v>1767005.0</v>
      </c>
      <c r="H274" s="218">
        <v>4070552.0</v>
      </c>
      <c r="I274" s="218">
        <f t="shared" si="5"/>
        <v>272</v>
      </c>
      <c r="J274" s="219" t="str">
        <f t="shared" si="2"/>
        <v>#N/A</v>
      </c>
      <c r="K274" s="219"/>
      <c r="L274" s="220"/>
      <c r="M274" s="220"/>
    </row>
    <row r="275">
      <c r="A275" s="214" t="s">
        <v>632</v>
      </c>
      <c r="B275" s="214" t="s">
        <v>634</v>
      </c>
      <c r="C275" s="345" t="s">
        <v>22</v>
      </c>
      <c r="D275" s="214" t="str">
        <f t="shared" si="1"/>
        <v>O</v>
      </c>
      <c r="E275" s="214" t="s">
        <v>57</v>
      </c>
      <c r="F275" s="215">
        <v>1767005.0</v>
      </c>
      <c r="G275" s="216">
        <v>1767005.1</v>
      </c>
      <c r="H275" s="218">
        <v>4070552.0</v>
      </c>
      <c r="I275" s="218">
        <f t="shared" si="5"/>
        <v>273</v>
      </c>
      <c r="J275" s="219" t="str">
        <f t="shared" si="2"/>
        <v>#N/A</v>
      </c>
      <c r="K275" s="219"/>
      <c r="L275" s="220"/>
      <c r="M275" s="220"/>
    </row>
    <row r="276">
      <c r="A276" s="214" t="s">
        <v>632</v>
      </c>
      <c r="B276" s="214" t="s">
        <v>635</v>
      </c>
      <c r="C276" s="345" t="s">
        <v>22</v>
      </c>
      <c r="D276" s="214" t="str">
        <f t="shared" si="1"/>
        <v>O</v>
      </c>
      <c r="E276" s="214" t="s">
        <v>57</v>
      </c>
      <c r="F276" s="215">
        <v>1767005.0</v>
      </c>
      <c r="G276" s="216">
        <v>1767005.2000000002</v>
      </c>
      <c r="H276" s="218">
        <v>4070552.0</v>
      </c>
      <c r="I276" s="218">
        <f t="shared" si="5"/>
        <v>274</v>
      </c>
      <c r="J276" s="219" t="str">
        <f t="shared" si="2"/>
        <v>#N/A</v>
      </c>
      <c r="K276" s="219"/>
      <c r="L276" s="220"/>
      <c r="M276" s="220"/>
    </row>
    <row r="277">
      <c r="A277" s="214" t="s">
        <v>632</v>
      </c>
      <c r="B277" s="214" t="s">
        <v>636</v>
      </c>
      <c r="C277" s="345" t="s">
        <v>22</v>
      </c>
      <c r="D277" s="214" t="str">
        <f t="shared" si="1"/>
        <v>O</v>
      </c>
      <c r="E277" s="214" t="s">
        <v>72</v>
      </c>
      <c r="F277" s="215">
        <v>1767005.0</v>
      </c>
      <c r="G277" s="216">
        <v>1767005.3</v>
      </c>
      <c r="H277" s="218">
        <v>4070552.0</v>
      </c>
      <c r="I277" s="218">
        <f t="shared" si="5"/>
        <v>275</v>
      </c>
      <c r="J277" s="219" t="str">
        <f t="shared" si="2"/>
        <v>#N/A</v>
      </c>
      <c r="K277" s="219"/>
      <c r="L277" s="220"/>
      <c r="M277" s="220"/>
    </row>
    <row r="278">
      <c r="A278" s="214" t="s">
        <v>632</v>
      </c>
      <c r="B278" s="214" t="s">
        <v>632</v>
      </c>
      <c r="C278" s="345" t="s">
        <v>22</v>
      </c>
      <c r="D278" s="214" t="str">
        <f t="shared" si="1"/>
        <v>L</v>
      </c>
      <c r="E278" s="214" t="s">
        <v>34</v>
      </c>
      <c r="F278" s="215">
        <v>4.0956001E7</v>
      </c>
      <c r="G278" s="216">
        <v>4.0956001E7</v>
      </c>
      <c r="H278" s="218">
        <v>4164770.0</v>
      </c>
      <c r="I278" s="218">
        <f t="shared" si="5"/>
        <v>276</v>
      </c>
      <c r="J278" s="219" t="str">
        <f t="shared" si="2"/>
        <v>#N/A</v>
      </c>
      <c r="K278" s="219"/>
      <c r="L278" s="220"/>
      <c r="M278" s="220"/>
    </row>
    <row r="279">
      <c r="A279" s="214" t="s">
        <v>632</v>
      </c>
      <c r="B279" s="214" t="s">
        <v>637</v>
      </c>
      <c r="C279" s="214"/>
      <c r="D279" s="214" t="str">
        <f t="shared" si="1"/>
        <v>O</v>
      </c>
      <c r="E279" s="214" t="s">
        <v>419</v>
      </c>
      <c r="F279" s="215">
        <v>4.0956001E7</v>
      </c>
      <c r="G279" s="216">
        <v>4.09560011E7</v>
      </c>
      <c r="H279" s="218"/>
      <c r="I279" s="218">
        <f t="shared" si="5"/>
        <v>277</v>
      </c>
      <c r="J279" s="219" t="str">
        <f t="shared" si="2"/>
        <v>#N/A</v>
      </c>
      <c r="K279" s="219"/>
      <c r="L279" s="220"/>
      <c r="M279" s="220"/>
    </row>
    <row r="280">
      <c r="A280" s="214" t="s">
        <v>632</v>
      </c>
      <c r="B280" s="214" t="s">
        <v>638</v>
      </c>
      <c r="C280" s="345" t="s">
        <v>22</v>
      </c>
      <c r="D280" s="214" t="str">
        <f t="shared" si="1"/>
        <v>O</v>
      </c>
      <c r="E280" s="214" t="s">
        <v>54</v>
      </c>
      <c r="F280" s="215">
        <v>1767005.0</v>
      </c>
      <c r="G280" s="216">
        <v>3.53295004E8</v>
      </c>
      <c r="H280" s="218">
        <v>4070552.0</v>
      </c>
      <c r="I280" s="218">
        <f t="shared" si="5"/>
        <v>278</v>
      </c>
      <c r="J280" s="219" t="str">
        <f t="shared" si="2"/>
        <v>#N/A</v>
      </c>
      <c r="K280" s="219"/>
      <c r="L280" s="220"/>
      <c r="M280" s="220"/>
    </row>
    <row r="281">
      <c r="A281" s="214" t="s">
        <v>632</v>
      </c>
      <c r="B281" s="214" t="s">
        <v>639</v>
      </c>
      <c r="C281" s="214" t="s">
        <v>22</v>
      </c>
      <c r="D281" s="214" t="str">
        <f t="shared" si="1"/>
        <v>O</v>
      </c>
      <c r="E281" s="214" t="s">
        <v>72</v>
      </c>
      <c r="F281" s="215">
        <v>7.15770009E8</v>
      </c>
      <c r="G281" s="216">
        <v>7.15770009E8</v>
      </c>
      <c r="H281" s="218">
        <v>3.7396086E7</v>
      </c>
      <c r="I281" s="218">
        <f t="shared" si="5"/>
        <v>279</v>
      </c>
      <c r="J281" s="219" t="str">
        <f t="shared" si="2"/>
        <v>#N/A</v>
      </c>
      <c r="K281" s="219"/>
      <c r="L281" s="220"/>
      <c r="M281" s="220"/>
    </row>
    <row r="282">
      <c r="A282" s="214" t="s">
        <v>632</v>
      </c>
      <c r="B282" s="214" t="s">
        <v>640</v>
      </c>
      <c r="C282" s="214"/>
      <c r="D282" s="214" t="str">
        <f t="shared" si="1"/>
        <v>O</v>
      </c>
      <c r="E282" s="214" t="s">
        <v>72</v>
      </c>
      <c r="F282" s="215">
        <v>7.15770009E8</v>
      </c>
      <c r="G282" s="216">
        <v>7.157700091E8</v>
      </c>
      <c r="H282" s="218"/>
      <c r="I282" s="218">
        <f t="shared" si="5"/>
        <v>280</v>
      </c>
      <c r="J282" s="219" t="str">
        <f t="shared" si="2"/>
        <v>#N/A</v>
      </c>
      <c r="K282" s="219"/>
      <c r="L282" s="220"/>
      <c r="M282" s="220"/>
    </row>
    <row r="283">
      <c r="A283" s="214" t="s">
        <v>632</v>
      </c>
      <c r="B283" s="214" t="s">
        <v>641</v>
      </c>
      <c r="C283" s="214"/>
      <c r="D283" s="214" t="str">
        <f t="shared" si="1"/>
        <v>O</v>
      </c>
      <c r="E283" s="214" t="s">
        <v>72</v>
      </c>
      <c r="F283" s="215">
        <v>7.16723E8</v>
      </c>
      <c r="G283" s="216">
        <v>7.16723E8</v>
      </c>
      <c r="H283" s="218">
        <v>3.7396786E7</v>
      </c>
      <c r="I283" s="218">
        <f t="shared" si="5"/>
        <v>281</v>
      </c>
      <c r="J283" s="219" t="str">
        <f t="shared" si="2"/>
        <v>#N/A</v>
      </c>
      <c r="K283" s="219"/>
      <c r="L283" s="220"/>
      <c r="M283" s="220"/>
    </row>
    <row r="284">
      <c r="A284" s="22" t="s">
        <v>642</v>
      </c>
      <c r="B284" s="22" t="s">
        <v>642</v>
      </c>
      <c r="C284" s="22" t="s">
        <v>22</v>
      </c>
      <c r="D284" s="22" t="str">
        <f t="shared" si="1"/>
        <v>L</v>
      </c>
      <c r="E284" s="22" t="s">
        <v>34</v>
      </c>
      <c r="F284" s="34">
        <v>8.6081009E7</v>
      </c>
      <c r="G284" s="35">
        <v>8.6081009E7</v>
      </c>
      <c r="H284" s="37">
        <v>4311256.0</v>
      </c>
      <c r="I284" s="37">
        <f t="shared" si="5"/>
        <v>282</v>
      </c>
      <c r="J284" s="41" t="str">
        <f t="shared" si="2"/>
        <v>#N/A</v>
      </c>
      <c r="K284" s="41"/>
      <c r="L284" s="45"/>
      <c r="M284" s="45"/>
    </row>
    <row r="285">
      <c r="A285" s="22" t="s">
        <v>642</v>
      </c>
      <c r="B285" s="22" t="s">
        <v>643</v>
      </c>
      <c r="C285" s="22"/>
      <c r="D285" s="22" t="str">
        <f t="shared" si="1"/>
        <v>O</v>
      </c>
      <c r="E285" s="22" t="s">
        <v>54</v>
      </c>
      <c r="F285" s="34">
        <v>8.6081009E7</v>
      </c>
      <c r="G285" s="35">
        <v>8.6081009E7</v>
      </c>
      <c r="H285" s="37"/>
      <c r="I285" s="37">
        <f t="shared" si="5"/>
        <v>283</v>
      </c>
      <c r="J285" s="41" t="str">
        <f t="shared" si="2"/>
        <v>#N/A</v>
      </c>
      <c r="K285" s="41"/>
      <c r="L285" s="45"/>
      <c r="M285" s="45"/>
    </row>
    <row r="286">
      <c r="A286" s="22" t="s">
        <v>642</v>
      </c>
      <c r="B286" s="22" t="s">
        <v>644</v>
      </c>
      <c r="C286" s="22" t="s">
        <v>22</v>
      </c>
      <c r="D286" s="22" t="str">
        <f t="shared" si="1"/>
        <v>O</v>
      </c>
      <c r="E286" s="22" t="s">
        <v>57</v>
      </c>
      <c r="F286" s="34">
        <v>8.6081009E7</v>
      </c>
      <c r="G286" s="35">
        <v>8.60810091E7</v>
      </c>
      <c r="H286" s="37">
        <v>4311256.0</v>
      </c>
      <c r="I286" s="37">
        <f t="shared" si="5"/>
        <v>284</v>
      </c>
      <c r="J286" s="41" t="str">
        <f t="shared" si="2"/>
        <v>#N/A</v>
      </c>
      <c r="K286" s="41"/>
      <c r="L286" s="45"/>
      <c r="M286" s="45"/>
    </row>
    <row r="287">
      <c r="A287" s="22" t="s">
        <v>642</v>
      </c>
      <c r="B287" s="22" t="s">
        <v>645</v>
      </c>
      <c r="C287" s="22"/>
      <c r="D287" s="22" t="str">
        <f t="shared" si="1"/>
        <v>O</v>
      </c>
      <c r="E287" s="22" t="s">
        <v>57</v>
      </c>
      <c r="F287" s="34">
        <v>8.6081009E7</v>
      </c>
      <c r="G287" s="35">
        <v>8.608100919999999E7</v>
      </c>
      <c r="H287" s="37"/>
      <c r="I287" s="37">
        <f t="shared" si="5"/>
        <v>285</v>
      </c>
      <c r="J287" s="41" t="str">
        <f t="shared" si="2"/>
        <v>#N/A</v>
      </c>
      <c r="K287" s="41"/>
      <c r="L287" s="45"/>
      <c r="M287" s="45"/>
    </row>
    <row r="288">
      <c r="A288" s="22" t="s">
        <v>646</v>
      </c>
      <c r="B288" s="22" t="s">
        <v>646</v>
      </c>
      <c r="C288" s="25" t="s">
        <v>83</v>
      </c>
      <c r="D288" s="22" t="str">
        <f t="shared" si="1"/>
        <v>L</v>
      </c>
      <c r="E288" s="22" t="s">
        <v>34</v>
      </c>
      <c r="F288" s="34">
        <v>5.9393003E7</v>
      </c>
      <c r="G288" s="35">
        <v>5.9393003E7</v>
      </c>
      <c r="H288" s="37">
        <v>4241223.0</v>
      </c>
      <c r="I288" s="37">
        <f t="shared" si="5"/>
        <v>286</v>
      </c>
      <c r="J288" s="41" t="str">
        <f t="shared" si="2"/>
        <v>#N/A</v>
      </c>
      <c r="K288" s="41"/>
      <c r="L288" s="45"/>
      <c r="M288" s="45"/>
    </row>
    <row r="289">
      <c r="A289" s="22" t="s">
        <v>646</v>
      </c>
      <c r="B289" s="22" t="s">
        <v>648</v>
      </c>
      <c r="C289" s="22"/>
      <c r="D289" s="22" t="str">
        <f t="shared" si="1"/>
        <v>O</v>
      </c>
      <c r="E289" s="22" t="s">
        <v>57</v>
      </c>
      <c r="F289" s="34">
        <v>5.9393003E7</v>
      </c>
      <c r="G289" s="35">
        <v>5.93930031E7</v>
      </c>
      <c r="H289" s="37"/>
      <c r="I289" s="37">
        <f t="shared" si="5"/>
        <v>287</v>
      </c>
      <c r="J289" s="41" t="str">
        <f t="shared" si="2"/>
        <v>#N/A</v>
      </c>
      <c r="K289" s="41"/>
      <c r="L289" s="45"/>
      <c r="M289" s="45"/>
    </row>
    <row r="290">
      <c r="A290" s="22" t="s">
        <v>646</v>
      </c>
      <c r="B290" s="22" t="s">
        <v>649</v>
      </c>
      <c r="C290" s="22"/>
      <c r="D290" s="22" t="str">
        <f t="shared" si="1"/>
        <v>O</v>
      </c>
      <c r="E290" s="22" t="s">
        <v>57</v>
      </c>
      <c r="F290" s="34">
        <v>5.9393003E7</v>
      </c>
      <c r="G290" s="35">
        <v>5.93930032E7</v>
      </c>
      <c r="H290" s="37"/>
      <c r="I290" s="37">
        <f t="shared" si="5"/>
        <v>288</v>
      </c>
      <c r="J290" s="41" t="str">
        <f t="shared" si="2"/>
        <v>#N/A</v>
      </c>
      <c r="K290" s="41"/>
      <c r="L290" s="45"/>
      <c r="M290" s="45"/>
    </row>
    <row r="291">
      <c r="A291" s="74" t="s">
        <v>650</v>
      </c>
      <c r="B291" s="74" t="s">
        <v>650</v>
      </c>
      <c r="C291" s="74"/>
      <c r="D291" s="74" t="str">
        <f t="shared" si="1"/>
        <v>L</v>
      </c>
      <c r="E291" s="74" t="s">
        <v>34</v>
      </c>
      <c r="F291" s="79">
        <v>6.0555002E7</v>
      </c>
      <c r="G291" s="80">
        <v>6.0555002E7</v>
      </c>
      <c r="H291" s="81">
        <v>196431.0</v>
      </c>
      <c r="I291" s="81">
        <f t="shared" si="5"/>
        <v>289</v>
      </c>
      <c r="J291" s="82" t="str">
        <f t="shared" si="2"/>
        <v>#N/A</v>
      </c>
      <c r="K291" s="82"/>
      <c r="L291" s="83"/>
      <c r="M291" s="83"/>
    </row>
    <row r="292">
      <c r="A292" s="74" t="s">
        <v>650</v>
      </c>
      <c r="B292" s="74" t="s">
        <v>651</v>
      </c>
      <c r="C292" s="74"/>
      <c r="D292" s="74" t="str">
        <f t="shared" si="1"/>
        <v>O</v>
      </c>
      <c r="E292" s="74" t="s">
        <v>54</v>
      </c>
      <c r="F292" s="79">
        <v>6.0555002E7</v>
      </c>
      <c r="G292" s="80">
        <v>6.0555002E7</v>
      </c>
      <c r="H292" s="81"/>
      <c r="I292" s="81">
        <f t="shared" si="5"/>
        <v>290</v>
      </c>
      <c r="J292" s="82" t="str">
        <f t="shared" si="2"/>
        <v>#N/A</v>
      </c>
      <c r="K292" s="82"/>
      <c r="L292" s="83"/>
      <c r="M292" s="83"/>
    </row>
    <row r="293">
      <c r="A293" s="74" t="s">
        <v>650</v>
      </c>
      <c r="B293" s="74" t="s">
        <v>652</v>
      </c>
      <c r="C293" s="74"/>
      <c r="D293" s="74" t="str">
        <f t="shared" si="1"/>
        <v>O</v>
      </c>
      <c r="E293" s="74" t="s">
        <v>57</v>
      </c>
      <c r="F293" s="79">
        <v>6.0555002E7</v>
      </c>
      <c r="G293" s="80">
        <v>6.05550021E7</v>
      </c>
      <c r="H293" s="81"/>
      <c r="I293" s="81">
        <f t="shared" si="5"/>
        <v>291</v>
      </c>
      <c r="J293" s="82" t="str">
        <f t="shared" si="2"/>
        <v>#N/A</v>
      </c>
      <c r="K293" s="82"/>
      <c r="L293" s="83"/>
      <c r="M293" s="83"/>
    </row>
    <row r="294">
      <c r="A294" s="74" t="s">
        <v>650</v>
      </c>
      <c r="B294" s="74" t="s">
        <v>654</v>
      </c>
      <c r="C294" s="74"/>
      <c r="D294" s="74" t="str">
        <f t="shared" si="1"/>
        <v>O</v>
      </c>
      <c r="E294" s="74" t="s">
        <v>57</v>
      </c>
      <c r="F294" s="79">
        <v>6.0555002E7</v>
      </c>
      <c r="G294" s="80">
        <v>6.05550022E7</v>
      </c>
      <c r="H294" s="81"/>
      <c r="I294" s="81">
        <f t="shared" si="5"/>
        <v>292</v>
      </c>
      <c r="J294" s="82" t="str">
        <f t="shared" si="2"/>
        <v>#N/A</v>
      </c>
      <c r="K294" s="82"/>
      <c r="L294" s="83"/>
      <c r="M294" s="83"/>
    </row>
    <row r="295">
      <c r="A295" s="74" t="s">
        <v>650</v>
      </c>
      <c r="B295" s="74" t="s">
        <v>658</v>
      </c>
      <c r="C295" s="74"/>
      <c r="D295" s="74" t="str">
        <f t="shared" si="1"/>
        <v>O</v>
      </c>
      <c r="E295" s="74" t="s">
        <v>57</v>
      </c>
      <c r="F295" s="79">
        <v>6.0555002E7</v>
      </c>
      <c r="G295" s="80">
        <v>6.0555002300000004E7</v>
      </c>
      <c r="H295" s="81">
        <v>196431.0</v>
      </c>
      <c r="I295" s="81">
        <f t="shared" si="5"/>
        <v>293</v>
      </c>
      <c r="J295" s="82" t="str">
        <f t="shared" si="2"/>
        <v>#N/A</v>
      </c>
      <c r="K295" s="82"/>
      <c r="L295" s="83"/>
      <c r="M295" s="83"/>
    </row>
    <row r="296">
      <c r="A296" s="332" t="s">
        <v>660</v>
      </c>
      <c r="B296" s="332" t="s">
        <v>660</v>
      </c>
      <c r="C296" s="333" t="s">
        <v>83</v>
      </c>
      <c r="D296" s="332" t="str">
        <f t="shared" si="1"/>
        <v>L</v>
      </c>
      <c r="E296" s="346" t="s">
        <v>34</v>
      </c>
      <c r="F296" s="334">
        <v>7.00250006E8</v>
      </c>
      <c r="G296" s="335">
        <v>7.00250006E8</v>
      </c>
      <c r="H296" s="336">
        <v>4.576375E7</v>
      </c>
      <c r="I296" s="336">
        <f t="shared" si="5"/>
        <v>294</v>
      </c>
      <c r="J296" s="337" t="str">
        <f t="shared" si="2"/>
        <v>#N/A</v>
      </c>
      <c r="K296" s="337"/>
      <c r="L296" s="338"/>
      <c r="M296" s="338"/>
    </row>
    <row r="297">
      <c r="A297" s="332" t="s">
        <v>660</v>
      </c>
      <c r="B297" s="332" t="s">
        <v>661</v>
      </c>
      <c r="C297" s="332"/>
      <c r="D297" s="332" t="str">
        <f t="shared" si="1"/>
        <v>O</v>
      </c>
      <c r="E297" s="332" t="s">
        <v>57</v>
      </c>
      <c r="F297" s="334">
        <v>7.00250006E8</v>
      </c>
      <c r="G297" s="335">
        <v>7.002500061E8</v>
      </c>
      <c r="H297" s="336"/>
      <c r="I297" s="336">
        <f t="shared" si="5"/>
        <v>295</v>
      </c>
      <c r="J297" s="337" t="str">
        <f t="shared" si="2"/>
        <v>#N/A</v>
      </c>
      <c r="K297" s="337"/>
      <c r="L297" s="338"/>
      <c r="M297" s="338"/>
    </row>
    <row r="298">
      <c r="A298" s="151" t="s">
        <v>663</v>
      </c>
      <c r="B298" s="151" t="s">
        <v>663</v>
      </c>
      <c r="C298" s="323" t="s">
        <v>83</v>
      </c>
      <c r="D298" s="151" t="str">
        <f t="shared" si="1"/>
        <v>L</v>
      </c>
      <c r="E298" s="151" t="s">
        <v>34</v>
      </c>
      <c r="F298" s="154">
        <v>2.36407003E8</v>
      </c>
      <c r="G298" s="155">
        <v>2.36407003E8</v>
      </c>
      <c r="H298" s="157">
        <v>4128061.0</v>
      </c>
      <c r="I298" s="157">
        <f t="shared" si="5"/>
        <v>296</v>
      </c>
      <c r="J298" s="159" t="str">
        <f t="shared" si="2"/>
        <v>#N/A</v>
      </c>
      <c r="K298" s="159"/>
      <c r="L298" s="160"/>
      <c r="M298" s="160"/>
    </row>
    <row r="299">
      <c r="A299" s="151" t="s">
        <v>663</v>
      </c>
      <c r="B299" s="151" t="s">
        <v>664</v>
      </c>
      <c r="C299" s="151"/>
      <c r="D299" s="151" t="str">
        <f t="shared" si="1"/>
        <v>O</v>
      </c>
      <c r="E299" s="151" t="s">
        <v>57</v>
      </c>
      <c r="F299" s="154">
        <v>2.36407003E8</v>
      </c>
      <c r="G299" s="155">
        <v>2.364070031E8</v>
      </c>
      <c r="H299" s="157"/>
      <c r="I299" s="157">
        <f t="shared" si="5"/>
        <v>297</v>
      </c>
      <c r="J299" s="159" t="str">
        <f t="shared" si="2"/>
        <v>#N/A</v>
      </c>
      <c r="K299" s="159"/>
      <c r="L299" s="160"/>
      <c r="M299" s="160"/>
    </row>
    <row r="300">
      <c r="A300" s="50" t="s">
        <v>666</v>
      </c>
      <c r="B300" s="50" t="s">
        <v>666</v>
      </c>
      <c r="C300" s="185" t="s">
        <v>83</v>
      </c>
      <c r="D300" s="50" t="str">
        <f t="shared" si="1"/>
        <v>L</v>
      </c>
      <c r="E300" s="50" t="s">
        <v>34</v>
      </c>
      <c r="F300" s="52" t="s">
        <v>667</v>
      </c>
      <c r="G300" s="54" t="s">
        <v>667</v>
      </c>
      <c r="H300" s="351" t="s">
        <v>669</v>
      </c>
      <c r="I300" s="55">
        <f t="shared" si="5"/>
        <v>298</v>
      </c>
      <c r="J300" s="57" t="str">
        <f t="shared" si="2"/>
        <v>#N/A</v>
      </c>
      <c r="K300" s="57"/>
      <c r="L300" s="59"/>
      <c r="M300" s="59"/>
    </row>
    <row r="301">
      <c r="A301" s="50" t="s">
        <v>666</v>
      </c>
      <c r="B301" s="50" t="s">
        <v>672</v>
      </c>
      <c r="C301" s="185" t="s">
        <v>83</v>
      </c>
      <c r="D301" s="50" t="str">
        <f t="shared" si="1"/>
        <v>O</v>
      </c>
      <c r="E301" s="50" t="s">
        <v>57</v>
      </c>
      <c r="F301" s="52" t="s">
        <v>667</v>
      </c>
      <c r="G301" s="54" t="s">
        <v>674</v>
      </c>
      <c r="H301" s="55"/>
      <c r="I301" s="55">
        <f t="shared" si="5"/>
        <v>299</v>
      </c>
      <c r="J301" s="57" t="str">
        <f t="shared" si="2"/>
        <v>#N/A</v>
      </c>
      <c r="K301" s="57"/>
      <c r="L301" s="59"/>
      <c r="M301" s="59"/>
    </row>
    <row r="302">
      <c r="A302" s="50" t="s">
        <v>666</v>
      </c>
      <c r="B302" s="50" t="s">
        <v>676</v>
      </c>
      <c r="C302" s="50"/>
      <c r="D302" s="50" t="str">
        <f t="shared" si="1"/>
        <v>O</v>
      </c>
      <c r="E302" s="50" t="s">
        <v>54</v>
      </c>
      <c r="F302" s="52">
        <v>1.3172003E7</v>
      </c>
      <c r="G302" s="54" t="s">
        <v>678</v>
      </c>
      <c r="H302" s="55"/>
      <c r="I302" s="55">
        <f t="shared" si="5"/>
        <v>300</v>
      </c>
      <c r="J302" s="57" t="str">
        <f t="shared" si="2"/>
        <v>#N/A</v>
      </c>
      <c r="K302" s="57"/>
      <c r="L302" s="59"/>
      <c r="M302" s="59"/>
    </row>
    <row r="303">
      <c r="A303" s="50" t="s">
        <v>666</v>
      </c>
      <c r="B303" s="50" t="s">
        <v>680</v>
      </c>
      <c r="C303" s="185" t="s">
        <v>83</v>
      </c>
      <c r="D303" s="50" t="str">
        <f t="shared" si="1"/>
        <v>O</v>
      </c>
      <c r="E303" s="50" t="s">
        <v>72</v>
      </c>
      <c r="F303" s="52" t="s">
        <v>678</v>
      </c>
      <c r="G303" s="54" t="s">
        <v>678</v>
      </c>
      <c r="H303" s="351" t="s">
        <v>681</v>
      </c>
      <c r="I303" s="55">
        <f t="shared" si="5"/>
        <v>301</v>
      </c>
      <c r="J303" s="57" t="str">
        <f t="shared" si="2"/>
        <v>#N/A</v>
      </c>
      <c r="K303" s="57"/>
      <c r="L303" s="59"/>
      <c r="M303" s="59"/>
    </row>
    <row r="304">
      <c r="A304" s="50" t="s">
        <v>666</v>
      </c>
      <c r="B304" s="50" t="s">
        <v>682</v>
      </c>
      <c r="C304" s="50"/>
      <c r="D304" s="50" t="str">
        <f t="shared" si="1"/>
        <v>O</v>
      </c>
      <c r="E304" s="50" t="s">
        <v>54</v>
      </c>
      <c r="F304" s="52">
        <v>1.3172003E7</v>
      </c>
      <c r="G304" s="54" t="s">
        <v>678</v>
      </c>
      <c r="H304" s="55"/>
      <c r="I304" s="55">
        <f t="shared" si="5"/>
        <v>302</v>
      </c>
      <c r="J304" s="57" t="str">
        <f t="shared" si="2"/>
        <v>#N/A</v>
      </c>
      <c r="K304" s="57"/>
      <c r="L304" s="59"/>
      <c r="M304" s="59"/>
    </row>
    <row r="305">
      <c r="A305" s="50" t="s">
        <v>666</v>
      </c>
      <c r="B305" s="50" t="s">
        <v>683</v>
      </c>
      <c r="C305" s="50"/>
      <c r="D305" s="50" t="str">
        <f t="shared" si="1"/>
        <v>O</v>
      </c>
      <c r="E305" s="50" t="s">
        <v>57</v>
      </c>
      <c r="F305" s="52" t="s">
        <v>684</v>
      </c>
      <c r="G305" s="54" t="s">
        <v>684</v>
      </c>
      <c r="H305" s="351" t="s">
        <v>685</v>
      </c>
      <c r="I305" s="55">
        <f t="shared" si="5"/>
        <v>303</v>
      </c>
      <c r="J305" s="57" t="str">
        <f t="shared" si="2"/>
        <v>#N/A</v>
      </c>
      <c r="K305" s="57"/>
      <c r="L305" s="59"/>
      <c r="M305" s="59"/>
    </row>
    <row r="306">
      <c r="A306" s="50" t="s">
        <v>666</v>
      </c>
      <c r="B306" s="50" t="s">
        <v>686</v>
      </c>
      <c r="C306" s="185" t="s">
        <v>83</v>
      </c>
      <c r="D306" s="50" t="str">
        <f t="shared" si="1"/>
        <v>O</v>
      </c>
      <c r="E306" s="50" t="s">
        <v>72</v>
      </c>
      <c r="F306" s="52" t="s">
        <v>687</v>
      </c>
      <c r="G306" s="54" t="s">
        <v>687</v>
      </c>
      <c r="H306" s="351" t="s">
        <v>688</v>
      </c>
      <c r="I306" s="55">
        <f t="shared" si="5"/>
        <v>304</v>
      </c>
      <c r="J306" s="57" t="str">
        <f t="shared" si="2"/>
        <v>#N/A</v>
      </c>
      <c r="K306" s="57"/>
      <c r="L306" s="59"/>
      <c r="M306" s="59"/>
    </row>
    <row r="307">
      <c r="A307" s="50" t="s">
        <v>666</v>
      </c>
      <c r="B307" s="50" t="s">
        <v>689</v>
      </c>
      <c r="C307" s="185" t="s">
        <v>83</v>
      </c>
      <c r="D307" s="50" t="str">
        <f t="shared" si="1"/>
        <v>O</v>
      </c>
      <c r="E307" s="50" t="s">
        <v>72</v>
      </c>
      <c r="F307" s="52">
        <v>1.28092005E8</v>
      </c>
      <c r="G307" s="54">
        <v>1.28092005E8</v>
      </c>
      <c r="H307" s="55">
        <v>4133983.0</v>
      </c>
      <c r="I307" s="55">
        <f t="shared" si="5"/>
        <v>305</v>
      </c>
      <c r="J307" s="57" t="str">
        <f t="shared" si="2"/>
        <v>#N/A</v>
      </c>
      <c r="K307" s="57"/>
      <c r="L307" s="59"/>
      <c r="M307" s="59"/>
    </row>
    <row r="308">
      <c r="A308" s="50" t="s">
        <v>666</v>
      </c>
      <c r="B308" s="50" t="s">
        <v>690</v>
      </c>
      <c r="C308" s="185" t="s">
        <v>83</v>
      </c>
      <c r="D308" s="50" t="str">
        <f t="shared" si="1"/>
        <v>O</v>
      </c>
      <c r="E308" s="50" t="s">
        <v>72</v>
      </c>
      <c r="F308" s="52">
        <v>1.28092005E8</v>
      </c>
      <c r="G308" s="54" t="s">
        <v>691</v>
      </c>
      <c r="H308" s="55">
        <v>4133983.0</v>
      </c>
      <c r="I308" s="55">
        <f t="shared" si="5"/>
        <v>306</v>
      </c>
      <c r="J308" s="57" t="str">
        <f t="shared" si="2"/>
        <v>#N/A</v>
      </c>
      <c r="K308" s="57"/>
      <c r="L308" s="59"/>
      <c r="M308" s="59"/>
    </row>
    <row r="309">
      <c r="A309" s="50" t="s">
        <v>666</v>
      </c>
      <c r="B309" s="50" t="s">
        <v>692</v>
      </c>
      <c r="C309" s="185"/>
      <c r="D309" s="50" t="str">
        <f t="shared" si="1"/>
        <v>O</v>
      </c>
      <c r="E309" s="50" t="s">
        <v>72</v>
      </c>
      <c r="F309" s="52" t="s">
        <v>693</v>
      </c>
      <c r="G309" s="54" t="s">
        <v>693</v>
      </c>
      <c r="H309" s="351" t="s">
        <v>694</v>
      </c>
      <c r="I309" s="55">
        <f t="shared" si="5"/>
        <v>307</v>
      </c>
      <c r="J309" s="57" t="str">
        <f t="shared" si="2"/>
        <v>#N/A</v>
      </c>
      <c r="K309" s="57"/>
      <c r="L309" s="59"/>
      <c r="M309" s="59"/>
    </row>
    <row r="310">
      <c r="A310" s="74" t="s">
        <v>695</v>
      </c>
      <c r="B310" s="74" t="s">
        <v>695</v>
      </c>
      <c r="C310" s="207" t="s">
        <v>22</v>
      </c>
      <c r="D310" s="74" t="str">
        <f t="shared" si="1"/>
        <v>L</v>
      </c>
      <c r="E310" s="74" t="s">
        <v>34</v>
      </c>
      <c r="F310" s="79">
        <v>1.91306005E8</v>
      </c>
      <c r="G310" s="80">
        <v>1.91306005E8</v>
      </c>
      <c r="H310" s="361">
        <v>4101602.0</v>
      </c>
      <c r="I310" s="81">
        <f t="shared" si="5"/>
        <v>308</v>
      </c>
      <c r="J310" s="82" t="str">
        <f t="shared" si="2"/>
        <v>#N/A</v>
      </c>
      <c r="K310" s="82"/>
      <c r="L310" s="83"/>
      <c r="M310" s="83"/>
    </row>
    <row r="311">
      <c r="A311" s="74" t="s">
        <v>695</v>
      </c>
      <c r="B311" s="74" t="s">
        <v>698</v>
      </c>
      <c r="C311" s="74"/>
      <c r="D311" s="74" t="str">
        <f t="shared" si="1"/>
        <v>O</v>
      </c>
      <c r="E311" s="74" t="s">
        <v>57</v>
      </c>
      <c r="F311" s="79">
        <v>1.91306005E8</v>
      </c>
      <c r="G311" s="80" t="s">
        <v>699</v>
      </c>
      <c r="H311" s="81"/>
      <c r="I311" s="81">
        <f t="shared" si="5"/>
        <v>309</v>
      </c>
      <c r="J311" s="82" t="str">
        <f t="shared" si="2"/>
        <v>#N/A</v>
      </c>
      <c r="K311" s="82"/>
      <c r="L311" s="83"/>
      <c r="M311" s="83"/>
    </row>
    <row r="312">
      <c r="A312" s="74" t="s">
        <v>695</v>
      </c>
      <c r="B312" s="74" t="s">
        <v>700</v>
      </c>
      <c r="C312" s="74"/>
      <c r="D312" s="74" t="str">
        <f t="shared" si="1"/>
        <v>O</v>
      </c>
      <c r="E312" s="74" t="s">
        <v>57</v>
      </c>
      <c r="F312" s="79">
        <v>1.91306005E8</v>
      </c>
      <c r="G312" s="80">
        <v>1.913060052E8</v>
      </c>
      <c r="H312" s="81"/>
      <c r="I312" s="81">
        <f t="shared" si="5"/>
        <v>310</v>
      </c>
      <c r="J312" s="82" t="str">
        <f t="shared" si="2"/>
        <v>#N/A</v>
      </c>
      <c r="K312" s="82"/>
      <c r="L312" s="83"/>
      <c r="M312" s="83"/>
    </row>
    <row r="313">
      <c r="A313" s="74" t="s">
        <v>695</v>
      </c>
      <c r="B313" s="74" t="s">
        <v>701</v>
      </c>
      <c r="C313" s="207" t="s">
        <v>22</v>
      </c>
      <c r="D313" s="74" t="str">
        <f t="shared" si="1"/>
        <v>O</v>
      </c>
      <c r="E313" s="74" t="s">
        <v>419</v>
      </c>
      <c r="F313" s="79">
        <v>1.91306005E8</v>
      </c>
      <c r="G313" s="80" t="s">
        <v>702</v>
      </c>
      <c r="H313" s="361">
        <v>4101602.0</v>
      </c>
      <c r="I313" s="81">
        <f t="shared" si="5"/>
        <v>311</v>
      </c>
      <c r="J313" s="82" t="str">
        <f t="shared" si="2"/>
        <v>#N/A</v>
      </c>
      <c r="K313" s="82"/>
      <c r="L313" s="83"/>
      <c r="M313" s="83"/>
    </row>
    <row r="314">
      <c r="A314" s="74" t="s">
        <v>695</v>
      </c>
      <c r="B314" s="74" t="s">
        <v>704</v>
      </c>
      <c r="C314" s="207" t="s">
        <v>22</v>
      </c>
      <c r="D314" s="74" t="str">
        <f t="shared" si="1"/>
        <v>O</v>
      </c>
      <c r="E314" s="74" t="s">
        <v>57</v>
      </c>
      <c r="F314" s="79">
        <v>1.91306005E8</v>
      </c>
      <c r="G314" s="80">
        <v>1.913060054E8</v>
      </c>
      <c r="H314" s="361">
        <v>4101602.0</v>
      </c>
      <c r="I314" s="81">
        <f t="shared" si="5"/>
        <v>312</v>
      </c>
      <c r="J314" s="82" t="str">
        <f t="shared" si="2"/>
        <v>#N/A</v>
      </c>
      <c r="K314" s="82"/>
      <c r="L314" s="83"/>
      <c r="M314" s="83"/>
    </row>
    <row r="315">
      <c r="A315" s="74" t="s">
        <v>695</v>
      </c>
      <c r="B315" s="74" t="s">
        <v>706</v>
      </c>
      <c r="C315" s="74"/>
      <c r="D315" s="74" t="str">
        <f t="shared" si="1"/>
        <v>O</v>
      </c>
      <c r="E315" s="74" t="s">
        <v>57</v>
      </c>
      <c r="F315" s="79">
        <v>1.91306005E8</v>
      </c>
      <c r="G315" s="80">
        <v>1.913060055E8</v>
      </c>
      <c r="H315" s="81">
        <v>4101602.0</v>
      </c>
      <c r="I315" s="81">
        <f t="shared" si="5"/>
        <v>313</v>
      </c>
      <c r="J315" s="82" t="str">
        <f t="shared" si="2"/>
        <v>#N/A</v>
      </c>
      <c r="K315" s="82"/>
      <c r="L315" s="83"/>
      <c r="M315" s="83"/>
    </row>
    <row r="316" ht="15.75" customHeight="1">
      <c r="A316" s="50" t="s">
        <v>707</v>
      </c>
      <c r="B316" s="50" t="s">
        <v>708</v>
      </c>
      <c r="C316" s="50" t="s">
        <v>83</v>
      </c>
      <c r="D316" s="50" t="str">
        <f t="shared" si="1"/>
        <v>O</v>
      </c>
      <c r="E316" s="50" t="s">
        <v>72</v>
      </c>
      <c r="F316" s="52">
        <v>2.34549008E8</v>
      </c>
      <c r="G316" s="54">
        <v>2.34549008E8</v>
      </c>
      <c r="H316" s="55">
        <v>4121282.0</v>
      </c>
      <c r="I316" s="55">
        <f t="shared" si="5"/>
        <v>314</v>
      </c>
      <c r="J316" s="57" t="str">
        <f t="shared" si="2"/>
        <v>#N/A</v>
      </c>
      <c r="K316" s="57"/>
      <c r="L316" s="59"/>
      <c r="M316" s="59"/>
    </row>
    <row r="317">
      <c r="A317" s="50" t="s">
        <v>707</v>
      </c>
      <c r="B317" s="50" t="s">
        <v>709</v>
      </c>
      <c r="C317" s="50" t="s">
        <v>83</v>
      </c>
      <c r="D317" s="50" t="str">
        <f t="shared" si="1"/>
        <v>O</v>
      </c>
      <c r="E317" s="50" t="s">
        <v>72</v>
      </c>
      <c r="F317" s="52">
        <v>7.22870008E8</v>
      </c>
      <c r="G317" s="54">
        <v>7.22870008E8</v>
      </c>
      <c r="H317" s="55">
        <v>3.6716713E7</v>
      </c>
      <c r="I317" s="55">
        <f t="shared" si="5"/>
        <v>315</v>
      </c>
      <c r="J317" s="57" t="str">
        <f t="shared" si="2"/>
        <v>#N/A</v>
      </c>
      <c r="K317" s="57"/>
      <c r="L317" s="59"/>
      <c r="M317" s="59"/>
    </row>
    <row r="318">
      <c r="A318" s="50" t="s">
        <v>707</v>
      </c>
      <c r="B318" s="50" t="s">
        <v>710</v>
      </c>
      <c r="C318" s="50"/>
      <c r="D318" s="50" t="str">
        <f t="shared" si="1"/>
        <v>O</v>
      </c>
      <c r="E318" s="50" t="s">
        <v>57</v>
      </c>
      <c r="F318" s="52" t="s">
        <v>711</v>
      </c>
      <c r="G318" s="54" t="s">
        <v>712</v>
      </c>
      <c r="H318" s="55"/>
      <c r="I318" s="55">
        <f t="shared" si="5"/>
        <v>316</v>
      </c>
      <c r="J318" s="57" t="str">
        <f t="shared" si="2"/>
        <v>#N/A</v>
      </c>
      <c r="K318" s="57"/>
      <c r="L318" s="59"/>
      <c r="M318" s="59"/>
    </row>
    <row r="319">
      <c r="A319" s="50" t="s">
        <v>707</v>
      </c>
      <c r="B319" s="50" t="s">
        <v>713</v>
      </c>
      <c r="C319" s="50" t="s">
        <v>83</v>
      </c>
      <c r="D319" s="50" t="str">
        <f t="shared" si="1"/>
        <v>O</v>
      </c>
      <c r="E319" s="50" t="s">
        <v>57</v>
      </c>
      <c r="F319" s="52" t="s">
        <v>711</v>
      </c>
      <c r="G319" s="54" t="s">
        <v>714</v>
      </c>
      <c r="H319" s="55"/>
      <c r="I319" s="55">
        <f t="shared" si="5"/>
        <v>317</v>
      </c>
      <c r="J319" s="57" t="str">
        <f t="shared" si="2"/>
        <v>#N/A</v>
      </c>
      <c r="K319" s="57"/>
      <c r="L319" s="59"/>
      <c r="M319" s="59"/>
    </row>
    <row r="320">
      <c r="A320" s="50" t="s">
        <v>707</v>
      </c>
      <c r="B320" s="50" t="s">
        <v>715</v>
      </c>
      <c r="C320" s="50"/>
      <c r="D320" s="50" t="str">
        <f t="shared" si="1"/>
        <v>O</v>
      </c>
      <c r="E320" s="50" t="s">
        <v>57</v>
      </c>
      <c r="F320" s="52" t="s">
        <v>711</v>
      </c>
      <c r="G320" s="54" t="s">
        <v>716</v>
      </c>
      <c r="H320" s="55"/>
      <c r="I320" s="55">
        <f t="shared" si="5"/>
        <v>318</v>
      </c>
      <c r="J320" s="57" t="str">
        <f t="shared" si="2"/>
        <v>#N/A</v>
      </c>
      <c r="K320" s="57"/>
      <c r="L320" s="59"/>
      <c r="M320" s="59"/>
    </row>
    <row r="321">
      <c r="A321" s="50" t="s">
        <v>707</v>
      </c>
      <c r="B321" s="50" t="s">
        <v>718</v>
      </c>
      <c r="C321" s="50"/>
      <c r="D321" s="50" t="str">
        <f t="shared" si="1"/>
        <v>O</v>
      </c>
      <c r="E321" s="50" t="s">
        <v>57</v>
      </c>
      <c r="F321" s="52" t="s">
        <v>711</v>
      </c>
      <c r="G321" s="54" t="s">
        <v>719</v>
      </c>
      <c r="H321" s="55"/>
      <c r="I321" s="55">
        <f t="shared" si="5"/>
        <v>319</v>
      </c>
      <c r="J321" s="57" t="str">
        <f t="shared" si="2"/>
        <v>#N/A</v>
      </c>
      <c r="K321" s="57"/>
      <c r="L321" s="59"/>
      <c r="M321" s="59"/>
    </row>
    <row r="322">
      <c r="A322" s="50" t="s">
        <v>707</v>
      </c>
      <c r="B322" s="50" t="s">
        <v>720</v>
      </c>
      <c r="C322" s="50" t="s">
        <v>83</v>
      </c>
      <c r="D322" s="50" t="str">
        <f t="shared" si="1"/>
        <v>O</v>
      </c>
      <c r="E322" s="50" t="s">
        <v>57</v>
      </c>
      <c r="F322" s="52" t="s">
        <v>711</v>
      </c>
      <c r="G322" s="54" t="s">
        <v>721</v>
      </c>
      <c r="H322" s="55"/>
      <c r="I322" s="55">
        <f t="shared" si="5"/>
        <v>320</v>
      </c>
      <c r="J322" s="57" t="str">
        <f t="shared" si="2"/>
        <v>#N/A</v>
      </c>
      <c r="K322" s="57"/>
      <c r="L322" s="59"/>
      <c r="M322" s="59"/>
    </row>
    <row r="323">
      <c r="A323" s="50" t="s">
        <v>707</v>
      </c>
      <c r="B323" s="50" t="s">
        <v>722</v>
      </c>
      <c r="C323" s="50"/>
      <c r="D323" s="50" t="str">
        <f t="shared" si="1"/>
        <v>O</v>
      </c>
      <c r="E323" s="50" t="s">
        <v>57</v>
      </c>
      <c r="F323" s="52" t="s">
        <v>711</v>
      </c>
      <c r="G323" s="54" t="s">
        <v>723</v>
      </c>
      <c r="H323" s="55"/>
      <c r="I323" s="55">
        <f t="shared" si="5"/>
        <v>321</v>
      </c>
      <c r="J323" s="57" t="str">
        <f t="shared" si="2"/>
        <v>#N/A</v>
      </c>
      <c r="K323" s="57"/>
      <c r="L323" s="59"/>
      <c r="M323" s="59"/>
    </row>
    <row r="324">
      <c r="A324" s="50" t="s">
        <v>707</v>
      </c>
      <c r="B324" s="50" t="s">
        <v>725</v>
      </c>
      <c r="C324" s="50"/>
      <c r="D324" s="50" t="str">
        <f t="shared" si="1"/>
        <v>O</v>
      </c>
      <c r="E324" s="50" t="s">
        <v>57</v>
      </c>
      <c r="F324" s="52" t="s">
        <v>711</v>
      </c>
      <c r="G324" s="54" t="s">
        <v>726</v>
      </c>
      <c r="H324" s="55"/>
      <c r="I324" s="55">
        <f t="shared" si="5"/>
        <v>322</v>
      </c>
      <c r="J324" s="57" t="str">
        <f t="shared" si="2"/>
        <v>#N/A</v>
      </c>
      <c r="K324" s="57"/>
      <c r="L324" s="59"/>
      <c r="M324" s="59"/>
    </row>
    <row r="325">
      <c r="A325" s="50" t="s">
        <v>707</v>
      </c>
      <c r="B325" s="50" t="s">
        <v>707</v>
      </c>
      <c r="C325" s="50" t="s">
        <v>83</v>
      </c>
      <c r="D325" s="50" t="str">
        <f t="shared" si="1"/>
        <v>L</v>
      </c>
      <c r="E325" s="50" t="s">
        <v>34</v>
      </c>
      <c r="F325" s="52" t="s">
        <v>711</v>
      </c>
      <c r="G325" s="54" t="s">
        <v>711</v>
      </c>
      <c r="H325" s="55">
        <v>3.6717255E7</v>
      </c>
      <c r="I325" s="55">
        <f t="shared" si="5"/>
        <v>323</v>
      </c>
      <c r="J325" s="57" t="str">
        <f t="shared" si="2"/>
        <v>#N/A</v>
      </c>
      <c r="K325" s="57"/>
      <c r="L325" s="59"/>
      <c r="M325" s="59"/>
    </row>
    <row r="326">
      <c r="A326" s="50" t="s">
        <v>707</v>
      </c>
      <c r="B326" s="50" t="s">
        <v>729</v>
      </c>
      <c r="C326" s="50"/>
      <c r="D326" s="50" t="str">
        <f t="shared" si="1"/>
        <v>O</v>
      </c>
      <c r="E326" s="50" t="s">
        <v>57</v>
      </c>
      <c r="F326" s="52" t="s">
        <v>711</v>
      </c>
      <c r="G326" s="54" t="s">
        <v>730</v>
      </c>
      <c r="H326" s="55"/>
      <c r="I326" s="55">
        <f t="shared" si="5"/>
        <v>324</v>
      </c>
      <c r="J326" s="57" t="str">
        <f t="shared" si="2"/>
        <v>#N/A</v>
      </c>
      <c r="K326" s="57"/>
      <c r="L326" s="59"/>
      <c r="M326" s="59"/>
    </row>
    <row r="327">
      <c r="A327" s="50" t="s">
        <v>707</v>
      </c>
      <c r="B327" s="50" t="s">
        <v>732</v>
      </c>
      <c r="C327" s="50"/>
      <c r="D327" s="50" t="str">
        <f t="shared" si="1"/>
        <v>O</v>
      </c>
      <c r="E327" s="50" t="s">
        <v>57</v>
      </c>
      <c r="F327" s="52" t="s">
        <v>711</v>
      </c>
      <c r="G327" s="54" t="s">
        <v>733</v>
      </c>
      <c r="H327" s="55"/>
      <c r="I327" s="55">
        <f t="shared" si="5"/>
        <v>325</v>
      </c>
      <c r="J327" s="57" t="str">
        <f t="shared" si="2"/>
        <v>#N/A</v>
      </c>
      <c r="K327" s="57"/>
      <c r="L327" s="59"/>
      <c r="M327" s="59"/>
    </row>
    <row r="328">
      <c r="A328" s="50" t="s">
        <v>707</v>
      </c>
      <c r="B328" s="50" t="s">
        <v>735</v>
      </c>
      <c r="C328" s="50"/>
      <c r="D328" s="50" t="str">
        <f t="shared" si="1"/>
        <v>O</v>
      </c>
      <c r="E328" s="50" t="s">
        <v>57</v>
      </c>
      <c r="F328" s="52" t="s">
        <v>711</v>
      </c>
      <c r="G328" s="54" t="s">
        <v>737</v>
      </c>
      <c r="H328" s="55"/>
      <c r="I328" s="55">
        <f t="shared" si="5"/>
        <v>326</v>
      </c>
      <c r="J328" s="57" t="str">
        <f t="shared" si="2"/>
        <v>#N/A</v>
      </c>
      <c r="K328" s="57"/>
      <c r="L328" s="59"/>
      <c r="M328" s="59"/>
    </row>
    <row r="329">
      <c r="A329" s="50" t="s">
        <v>707</v>
      </c>
      <c r="B329" s="50" t="s">
        <v>738</v>
      </c>
      <c r="C329" s="50"/>
      <c r="D329" s="50" t="str">
        <f t="shared" si="1"/>
        <v>O</v>
      </c>
      <c r="E329" s="50" t="s">
        <v>57</v>
      </c>
      <c r="F329" s="52" t="s">
        <v>711</v>
      </c>
      <c r="G329" s="54" t="s">
        <v>739</v>
      </c>
      <c r="H329" s="55"/>
      <c r="I329" s="55">
        <f t="shared" si="5"/>
        <v>327</v>
      </c>
      <c r="J329" s="57" t="str">
        <f t="shared" si="2"/>
        <v>#N/A</v>
      </c>
      <c r="K329" s="57"/>
      <c r="L329" s="59"/>
      <c r="M329" s="59"/>
    </row>
    <row r="330">
      <c r="A330" s="50" t="s">
        <v>707</v>
      </c>
      <c r="B330" s="50" t="s">
        <v>742</v>
      </c>
      <c r="C330" s="50"/>
      <c r="D330" s="50" t="str">
        <f t="shared" si="1"/>
        <v>O</v>
      </c>
      <c r="E330" s="50" t="s">
        <v>57</v>
      </c>
      <c r="F330" s="52" t="s">
        <v>711</v>
      </c>
      <c r="G330" s="54" t="s">
        <v>744</v>
      </c>
      <c r="H330" s="55"/>
      <c r="I330" s="55">
        <f t="shared" si="5"/>
        <v>328</v>
      </c>
      <c r="J330" s="57" t="str">
        <f t="shared" si="2"/>
        <v>#N/A</v>
      </c>
      <c r="K330" s="57"/>
      <c r="L330" s="59"/>
      <c r="M330" s="59"/>
    </row>
    <row r="331">
      <c r="A331" s="50" t="s">
        <v>707</v>
      </c>
      <c r="B331" s="50" t="s">
        <v>746</v>
      </c>
      <c r="C331" s="50"/>
      <c r="D331" s="50" t="str">
        <f t="shared" si="1"/>
        <v>O</v>
      </c>
      <c r="E331" s="50" t="s">
        <v>57</v>
      </c>
      <c r="F331" s="52" t="s">
        <v>711</v>
      </c>
      <c r="G331" s="54" t="s">
        <v>748</v>
      </c>
      <c r="H331" s="55"/>
      <c r="I331" s="55">
        <f t="shared" si="5"/>
        <v>329</v>
      </c>
      <c r="J331" s="57" t="str">
        <f t="shared" si="2"/>
        <v>#N/A</v>
      </c>
      <c r="K331" s="57"/>
      <c r="L331" s="59"/>
      <c r="M331" s="59"/>
    </row>
    <row r="332">
      <c r="A332" s="50" t="s">
        <v>707</v>
      </c>
      <c r="B332" s="50" t="s">
        <v>749</v>
      </c>
      <c r="C332" s="50"/>
      <c r="D332" s="50" t="str">
        <f t="shared" si="1"/>
        <v>O</v>
      </c>
      <c r="E332" s="50" t="s">
        <v>57</v>
      </c>
      <c r="F332" s="52" t="s">
        <v>711</v>
      </c>
      <c r="G332" s="54" t="s">
        <v>750</v>
      </c>
      <c r="H332" s="55"/>
      <c r="I332" s="55">
        <f t="shared" si="5"/>
        <v>330</v>
      </c>
      <c r="J332" s="57" t="str">
        <f t="shared" si="2"/>
        <v>#N/A</v>
      </c>
      <c r="K332" s="57"/>
      <c r="L332" s="59"/>
      <c r="M332" s="59"/>
    </row>
    <row r="333">
      <c r="A333" s="50" t="s">
        <v>707</v>
      </c>
      <c r="B333" s="50" t="s">
        <v>751</v>
      </c>
      <c r="C333" s="50"/>
      <c r="D333" s="50" t="str">
        <f t="shared" si="1"/>
        <v>O</v>
      </c>
      <c r="E333" s="50" t="s">
        <v>57</v>
      </c>
      <c r="F333" s="52" t="s">
        <v>711</v>
      </c>
      <c r="G333" s="54" t="s">
        <v>752</v>
      </c>
      <c r="H333" s="55"/>
      <c r="I333" s="55">
        <f t="shared" si="5"/>
        <v>331</v>
      </c>
      <c r="J333" s="57" t="str">
        <f t="shared" si="2"/>
        <v>#N/A</v>
      </c>
      <c r="K333" s="57"/>
      <c r="L333" s="59"/>
      <c r="M333" s="59"/>
    </row>
    <row r="334">
      <c r="A334" s="50" t="s">
        <v>707</v>
      </c>
      <c r="B334" s="50" t="s">
        <v>753</v>
      </c>
      <c r="C334" s="50"/>
      <c r="D334" s="50" t="str">
        <f t="shared" si="1"/>
        <v>O</v>
      </c>
      <c r="E334" s="50" t="s">
        <v>57</v>
      </c>
      <c r="F334" s="52" t="s">
        <v>711</v>
      </c>
      <c r="G334" s="54" t="s">
        <v>754</v>
      </c>
      <c r="H334" s="55"/>
      <c r="I334" s="55">
        <f t="shared" si="5"/>
        <v>332</v>
      </c>
      <c r="J334" s="57" t="str">
        <f t="shared" si="2"/>
        <v>#N/A</v>
      </c>
      <c r="K334" s="57"/>
      <c r="L334" s="59"/>
      <c r="M334" s="59"/>
    </row>
    <row r="335">
      <c r="A335" s="50" t="s">
        <v>707</v>
      </c>
      <c r="B335" s="50" t="s">
        <v>755</v>
      </c>
      <c r="C335" s="50"/>
      <c r="D335" s="50" t="str">
        <f t="shared" si="1"/>
        <v>O</v>
      </c>
      <c r="E335" s="50" t="s">
        <v>57</v>
      </c>
      <c r="F335" s="52" t="s">
        <v>711</v>
      </c>
      <c r="G335" s="54" t="s">
        <v>756</v>
      </c>
      <c r="H335" s="55"/>
      <c r="I335" s="55">
        <f t="shared" si="5"/>
        <v>333</v>
      </c>
      <c r="J335" s="57" t="str">
        <f t="shared" si="2"/>
        <v>#N/A</v>
      </c>
      <c r="K335" s="57"/>
      <c r="L335" s="59"/>
      <c r="M335" s="59"/>
    </row>
    <row r="336">
      <c r="A336" s="50" t="s">
        <v>707</v>
      </c>
      <c r="B336" s="50" t="s">
        <v>757</v>
      </c>
      <c r="C336" s="50"/>
      <c r="D336" s="50" t="str">
        <f t="shared" si="1"/>
        <v>O</v>
      </c>
      <c r="E336" s="50" t="s">
        <v>57</v>
      </c>
      <c r="F336" s="52" t="s">
        <v>711</v>
      </c>
      <c r="G336" s="54" t="s">
        <v>758</v>
      </c>
      <c r="H336" s="55"/>
      <c r="I336" s="55">
        <f t="shared" si="5"/>
        <v>334</v>
      </c>
      <c r="J336" s="57" t="str">
        <f t="shared" si="2"/>
        <v>#N/A</v>
      </c>
      <c r="K336" s="57"/>
      <c r="L336" s="59"/>
      <c r="M336" s="59"/>
    </row>
    <row r="337">
      <c r="A337" s="139" t="s">
        <v>759</v>
      </c>
      <c r="B337" s="139" t="s">
        <v>760</v>
      </c>
      <c r="C337" s="139"/>
      <c r="D337" s="139" t="str">
        <f t="shared" si="1"/>
        <v>O</v>
      </c>
      <c r="E337" s="139" t="s">
        <v>54</v>
      </c>
      <c r="F337" s="141">
        <v>7.2315009E7</v>
      </c>
      <c r="G337" s="143">
        <v>7.2315009E7</v>
      </c>
      <c r="H337" s="144"/>
      <c r="I337" s="144">
        <f t="shared" si="5"/>
        <v>335</v>
      </c>
      <c r="J337" s="146" t="str">
        <f t="shared" si="2"/>
        <v>#N/A</v>
      </c>
      <c r="K337" s="146"/>
      <c r="L337" s="147"/>
      <c r="M337" s="147"/>
    </row>
    <row r="338">
      <c r="A338" s="139" t="s">
        <v>761</v>
      </c>
      <c r="B338" s="139" t="s">
        <v>761</v>
      </c>
      <c r="C338" s="343" t="s">
        <v>83</v>
      </c>
      <c r="D338" s="139" t="str">
        <f t="shared" si="1"/>
        <v>L</v>
      </c>
      <c r="E338" s="139" t="s">
        <v>34</v>
      </c>
      <c r="F338" s="141">
        <v>7.2315009E7</v>
      </c>
      <c r="G338" s="143">
        <v>7.2315009E7</v>
      </c>
      <c r="H338" s="144">
        <v>4216406.0</v>
      </c>
      <c r="I338" s="144">
        <f t="shared" si="5"/>
        <v>336</v>
      </c>
      <c r="J338" s="146" t="str">
        <f t="shared" si="2"/>
        <v>#N/A</v>
      </c>
      <c r="K338" s="146"/>
      <c r="L338" s="147"/>
      <c r="M338" s="147"/>
    </row>
    <row r="339">
      <c r="A339" s="139" t="s">
        <v>759</v>
      </c>
      <c r="B339" s="139" t="s">
        <v>762</v>
      </c>
      <c r="C339" s="139"/>
      <c r="D339" s="139" t="str">
        <f t="shared" si="1"/>
        <v>O</v>
      </c>
      <c r="E339" s="139" t="s">
        <v>54</v>
      </c>
      <c r="F339" s="141">
        <v>7.2315009E7</v>
      </c>
      <c r="G339" s="143">
        <v>7.2315009E7</v>
      </c>
      <c r="H339" s="144"/>
      <c r="I339" s="144">
        <f t="shared" si="5"/>
        <v>337</v>
      </c>
      <c r="J339" s="146" t="str">
        <f t="shared" si="2"/>
        <v>#N/A</v>
      </c>
      <c r="K339" s="146"/>
      <c r="L339" s="147"/>
      <c r="M339" s="147"/>
    </row>
    <row r="340">
      <c r="A340" s="139" t="s">
        <v>759</v>
      </c>
      <c r="B340" s="139" t="s">
        <v>764</v>
      </c>
      <c r="C340" s="139"/>
      <c r="D340" s="139" t="str">
        <f t="shared" si="1"/>
        <v>O</v>
      </c>
      <c r="E340" s="139" t="s">
        <v>57</v>
      </c>
      <c r="F340" s="141">
        <v>7.2315009E7</v>
      </c>
      <c r="G340" s="143">
        <v>7.23150091E7</v>
      </c>
      <c r="H340" s="144"/>
      <c r="I340" s="144">
        <f t="shared" si="5"/>
        <v>338</v>
      </c>
      <c r="J340" s="146" t="str">
        <f t="shared" si="2"/>
        <v>#N/A</v>
      </c>
      <c r="K340" s="146"/>
      <c r="L340" s="147"/>
      <c r="M340" s="147"/>
    </row>
    <row r="341">
      <c r="A341" s="232" t="s">
        <v>765</v>
      </c>
      <c r="B341" s="232" t="s">
        <v>552</v>
      </c>
      <c r="C341" s="232"/>
      <c r="D341" s="232" t="str">
        <f t="shared" si="1"/>
        <v>O</v>
      </c>
      <c r="E341" s="232" t="s">
        <v>241</v>
      </c>
      <c r="F341" s="233">
        <v>2.4526004E7</v>
      </c>
      <c r="G341" s="234">
        <v>2.4526004E7</v>
      </c>
      <c r="H341" s="237">
        <v>4074815.0</v>
      </c>
      <c r="I341" s="235">
        <f t="shared" si="5"/>
        <v>339</v>
      </c>
      <c r="J341" s="236" t="str">
        <f t="shared" si="2"/>
        <v>#N/A</v>
      </c>
      <c r="K341" s="236"/>
      <c r="L341" s="237"/>
      <c r="M341" s="237"/>
    </row>
    <row r="342">
      <c r="A342" s="232" t="s">
        <v>765</v>
      </c>
      <c r="B342" s="232" t="s">
        <v>765</v>
      </c>
      <c r="C342" s="232"/>
      <c r="D342" s="232" t="str">
        <f t="shared" si="1"/>
        <v>O</v>
      </c>
      <c r="E342" s="232" t="s">
        <v>241</v>
      </c>
      <c r="F342" s="233">
        <v>2.4526004E7</v>
      </c>
      <c r="G342" s="234">
        <v>2.45260041E7</v>
      </c>
      <c r="H342" s="237">
        <v>4074815.0</v>
      </c>
      <c r="I342" s="235">
        <f t="shared" si="5"/>
        <v>340</v>
      </c>
      <c r="J342" s="236" t="str">
        <f t="shared" si="2"/>
        <v>#N/A</v>
      </c>
      <c r="K342" s="236"/>
      <c r="L342" s="237"/>
      <c r="M342" s="237"/>
    </row>
    <row r="343">
      <c r="A343" s="232" t="s">
        <v>765</v>
      </c>
      <c r="B343" s="232" t="s">
        <v>766</v>
      </c>
      <c r="C343" s="232"/>
      <c r="D343" s="232" t="str">
        <f t="shared" si="1"/>
        <v>O</v>
      </c>
      <c r="E343" s="232" t="s">
        <v>241</v>
      </c>
      <c r="F343" s="233">
        <v>2.4526004E7</v>
      </c>
      <c r="G343" s="234">
        <v>2.4526004200000003E7</v>
      </c>
      <c r="H343" s="235">
        <v>4074815.0</v>
      </c>
      <c r="I343" s="235">
        <f t="shared" si="5"/>
        <v>341</v>
      </c>
      <c r="J343" s="236" t="str">
        <f t="shared" si="2"/>
        <v>#N/A</v>
      </c>
      <c r="K343" s="236"/>
      <c r="L343" s="237"/>
      <c r="M343" s="237"/>
    </row>
    <row r="344">
      <c r="A344" s="232" t="s">
        <v>765</v>
      </c>
      <c r="B344" s="232" t="s">
        <v>767</v>
      </c>
      <c r="C344" s="232"/>
      <c r="D344" s="232" t="str">
        <f t="shared" si="1"/>
        <v>O</v>
      </c>
      <c r="E344" s="232" t="s">
        <v>241</v>
      </c>
      <c r="F344" s="233">
        <v>2.4526004E7</v>
      </c>
      <c r="G344" s="234">
        <v>2.45260043E7</v>
      </c>
      <c r="H344" s="235">
        <v>4074815.0</v>
      </c>
      <c r="I344" s="235">
        <f t="shared" si="5"/>
        <v>342</v>
      </c>
      <c r="J344" s="236" t="str">
        <f t="shared" si="2"/>
        <v>#N/A</v>
      </c>
      <c r="K344" s="236"/>
      <c r="L344" s="237"/>
      <c r="M344" s="237"/>
    </row>
    <row r="345">
      <c r="A345" s="214" t="s">
        <v>770</v>
      </c>
      <c r="B345" s="214" t="s">
        <v>774</v>
      </c>
      <c r="C345" s="322" t="s">
        <v>83</v>
      </c>
      <c r="D345" s="214" t="str">
        <f t="shared" si="1"/>
        <v>O</v>
      </c>
      <c r="E345" s="214" t="s">
        <v>72</v>
      </c>
      <c r="F345" s="215">
        <v>4.5688009E7</v>
      </c>
      <c r="G345" s="216">
        <v>4.5688009E7</v>
      </c>
      <c r="H345" s="218">
        <v>434026.0</v>
      </c>
      <c r="I345" s="218">
        <f t="shared" si="5"/>
        <v>343</v>
      </c>
      <c r="J345" s="219" t="str">
        <f t="shared" si="2"/>
        <v>#N/A</v>
      </c>
      <c r="K345" s="219"/>
      <c r="L345" s="220"/>
      <c r="M345" s="220"/>
    </row>
    <row r="346">
      <c r="A346" s="214" t="s">
        <v>770</v>
      </c>
      <c r="B346" s="214" t="s">
        <v>770</v>
      </c>
      <c r="C346" s="322" t="s">
        <v>83</v>
      </c>
      <c r="D346" s="214" t="str">
        <f t="shared" si="1"/>
        <v>L</v>
      </c>
      <c r="E346" s="214" t="s">
        <v>34</v>
      </c>
      <c r="F346" s="215">
        <v>3.14429009E8</v>
      </c>
      <c r="G346" s="216">
        <v>3.14429009E8</v>
      </c>
      <c r="H346" s="218">
        <v>4197155.0</v>
      </c>
      <c r="I346" s="218">
        <f t="shared" si="5"/>
        <v>344</v>
      </c>
      <c r="J346" s="219" t="str">
        <f t="shared" si="2"/>
        <v>#N/A</v>
      </c>
      <c r="K346" s="219"/>
      <c r="L346" s="220"/>
      <c r="M346" s="220"/>
    </row>
    <row r="347">
      <c r="A347" s="214" t="s">
        <v>770</v>
      </c>
      <c r="B347" s="214" t="s">
        <v>786</v>
      </c>
      <c r="C347" s="214"/>
      <c r="D347" s="214" t="str">
        <f t="shared" si="1"/>
        <v>O</v>
      </c>
      <c r="E347" s="214" t="s">
        <v>54</v>
      </c>
      <c r="F347" s="215">
        <v>3.14429009E8</v>
      </c>
      <c r="G347" s="216">
        <v>3.14429009E8</v>
      </c>
      <c r="H347" s="218"/>
      <c r="I347" s="218">
        <f t="shared" si="5"/>
        <v>345</v>
      </c>
      <c r="J347" s="219" t="str">
        <f t="shared" si="2"/>
        <v>#N/A</v>
      </c>
      <c r="K347" s="219"/>
      <c r="L347" s="220"/>
      <c r="M347" s="220"/>
    </row>
    <row r="348">
      <c r="A348" s="214" t="s">
        <v>770</v>
      </c>
      <c r="B348" s="214" t="s">
        <v>801</v>
      </c>
      <c r="C348" s="214"/>
      <c r="D348" s="214" t="str">
        <f t="shared" si="1"/>
        <v>O</v>
      </c>
      <c r="E348" s="214" t="s">
        <v>57</v>
      </c>
      <c r="F348" s="215">
        <v>3.14429009E8</v>
      </c>
      <c r="G348" s="216">
        <v>3.144290091E8</v>
      </c>
      <c r="H348" s="218"/>
      <c r="I348" s="218">
        <f t="shared" si="5"/>
        <v>346</v>
      </c>
      <c r="J348" s="219" t="str">
        <f t="shared" si="2"/>
        <v>#N/A</v>
      </c>
      <c r="K348" s="219"/>
      <c r="L348" s="220"/>
      <c r="M348" s="220"/>
    </row>
    <row r="349">
      <c r="A349" s="214" t="s">
        <v>770</v>
      </c>
      <c r="B349" s="214" t="s">
        <v>802</v>
      </c>
      <c r="C349" s="214"/>
      <c r="D349" s="214" t="str">
        <f t="shared" si="1"/>
        <v>O</v>
      </c>
      <c r="E349" s="214" t="s">
        <v>57</v>
      </c>
      <c r="F349" s="215">
        <v>3.14429009E8</v>
      </c>
      <c r="G349" s="216">
        <v>3.1442900920000005E8</v>
      </c>
      <c r="H349" s="218"/>
      <c r="I349" s="218">
        <f t="shared" si="5"/>
        <v>347</v>
      </c>
      <c r="J349" s="219" t="str">
        <f t="shared" si="2"/>
        <v>#N/A</v>
      </c>
      <c r="K349" s="219"/>
      <c r="L349" s="220"/>
      <c r="M349" s="220"/>
    </row>
    <row r="350">
      <c r="A350" s="214" t="s">
        <v>770</v>
      </c>
      <c r="B350" s="214" t="s">
        <v>803</v>
      </c>
      <c r="C350" s="322" t="s">
        <v>83</v>
      </c>
      <c r="D350" s="214" t="str">
        <f t="shared" si="1"/>
        <v>O</v>
      </c>
      <c r="E350" s="214" t="s">
        <v>57</v>
      </c>
      <c r="F350" s="215">
        <v>3.14429009E8</v>
      </c>
      <c r="G350" s="216">
        <v>3.144290093E8</v>
      </c>
      <c r="H350" s="218">
        <v>4197155.0</v>
      </c>
      <c r="I350" s="218">
        <f t="shared" si="5"/>
        <v>348</v>
      </c>
      <c r="J350" s="219" t="str">
        <f t="shared" si="2"/>
        <v>#N/A</v>
      </c>
      <c r="K350" s="219"/>
      <c r="L350" s="220"/>
      <c r="M350" s="220"/>
    </row>
    <row r="351">
      <c r="A351" s="214" t="s">
        <v>770</v>
      </c>
      <c r="B351" s="214" t="s">
        <v>806</v>
      </c>
      <c r="C351" s="214"/>
      <c r="D351" s="214" t="str">
        <f t="shared" si="1"/>
        <v>O</v>
      </c>
      <c r="E351" s="214" t="s">
        <v>57</v>
      </c>
      <c r="F351" s="215">
        <v>3.14429009E8</v>
      </c>
      <c r="G351" s="216">
        <v>3.1442900940000004E8</v>
      </c>
      <c r="H351" s="218"/>
      <c r="I351" s="218">
        <f t="shared" si="5"/>
        <v>349</v>
      </c>
      <c r="J351" s="219" t="str">
        <f t="shared" si="2"/>
        <v>#N/A</v>
      </c>
      <c r="K351" s="219"/>
      <c r="L351" s="220"/>
      <c r="M351" s="220"/>
    </row>
    <row r="352">
      <c r="A352" s="214" t="s">
        <v>770</v>
      </c>
      <c r="B352" s="214" t="s">
        <v>807</v>
      </c>
      <c r="C352" s="214"/>
      <c r="D352" s="214" t="str">
        <f t="shared" si="1"/>
        <v>O</v>
      </c>
      <c r="E352" s="214" t="s">
        <v>57</v>
      </c>
      <c r="F352" s="215">
        <v>3.14429009E8</v>
      </c>
      <c r="G352" s="216">
        <v>3.144290095E8</v>
      </c>
      <c r="H352" s="218"/>
      <c r="I352" s="218">
        <f t="shared" si="5"/>
        <v>350</v>
      </c>
      <c r="J352" s="219" t="str">
        <f t="shared" si="2"/>
        <v>#N/A</v>
      </c>
      <c r="K352" s="219"/>
      <c r="L352" s="220"/>
      <c r="M352" s="220"/>
    </row>
    <row r="353">
      <c r="A353" s="332" t="s">
        <v>810</v>
      </c>
      <c r="B353" s="332" t="s">
        <v>559</v>
      </c>
      <c r="C353" s="332"/>
      <c r="D353" s="332" t="str">
        <f t="shared" si="1"/>
        <v>O</v>
      </c>
      <c r="E353" s="332" t="s">
        <v>241</v>
      </c>
      <c r="F353" s="334">
        <v>2.33703007E8</v>
      </c>
      <c r="G353" s="335">
        <v>2.33703007E8</v>
      </c>
      <c r="H353" s="336">
        <v>4119786.0</v>
      </c>
      <c r="I353" s="336">
        <f t="shared" si="5"/>
        <v>351</v>
      </c>
      <c r="J353" s="337" t="str">
        <f t="shared" si="2"/>
        <v>#N/A</v>
      </c>
      <c r="K353" s="337"/>
      <c r="L353" s="338"/>
      <c r="M353" s="338"/>
    </row>
    <row r="354">
      <c r="A354" s="332" t="s">
        <v>810</v>
      </c>
      <c r="B354" s="332" t="s">
        <v>660</v>
      </c>
      <c r="C354" s="332"/>
      <c r="D354" s="332" t="str">
        <f t="shared" si="1"/>
        <v>O</v>
      </c>
      <c r="E354" s="332" t="s">
        <v>241</v>
      </c>
      <c r="F354" s="334">
        <v>2.33703007E8</v>
      </c>
      <c r="G354" s="335">
        <v>2.337030071E8</v>
      </c>
      <c r="H354" s="336">
        <v>4119786.0</v>
      </c>
      <c r="I354" s="336">
        <f t="shared" si="5"/>
        <v>352</v>
      </c>
      <c r="J354" s="337" t="str">
        <f t="shared" si="2"/>
        <v>#N/A</v>
      </c>
      <c r="K354" s="337"/>
      <c r="L354" s="338"/>
      <c r="M354" s="338"/>
    </row>
    <row r="355">
      <c r="A355" s="332" t="s">
        <v>810</v>
      </c>
      <c r="B355" s="332" t="s">
        <v>810</v>
      </c>
      <c r="C355" s="332"/>
      <c r="D355" s="332" t="str">
        <f t="shared" si="1"/>
        <v>O</v>
      </c>
      <c r="E355" s="332" t="s">
        <v>241</v>
      </c>
      <c r="F355" s="334">
        <v>2.33703007E8</v>
      </c>
      <c r="G355" s="335">
        <v>2.337030072E8</v>
      </c>
      <c r="H355" s="336">
        <v>4119786.0</v>
      </c>
      <c r="I355" s="336">
        <f t="shared" si="5"/>
        <v>353</v>
      </c>
      <c r="J355" s="337" t="str">
        <f t="shared" si="2"/>
        <v>#N/A</v>
      </c>
      <c r="K355" s="337"/>
      <c r="L355" s="338"/>
      <c r="M355" s="338"/>
    </row>
    <row r="356">
      <c r="A356" s="139" t="s">
        <v>822</v>
      </c>
      <c r="B356" s="139" t="s">
        <v>824</v>
      </c>
      <c r="C356" s="139"/>
      <c r="D356" s="139" t="str">
        <f t="shared" si="1"/>
        <v>O</v>
      </c>
      <c r="E356" s="139" t="s">
        <v>57</v>
      </c>
      <c r="F356" s="141">
        <v>2.39796E8</v>
      </c>
      <c r="G356" s="143">
        <v>2.39796E8</v>
      </c>
      <c r="H356" s="144">
        <v>4079731.0</v>
      </c>
      <c r="I356" s="144">
        <f t="shared" si="5"/>
        <v>354</v>
      </c>
      <c r="J356" s="146" t="str">
        <f t="shared" si="2"/>
        <v>#N/A</v>
      </c>
      <c r="K356" s="146"/>
      <c r="L356" s="147"/>
      <c r="M356" s="147"/>
    </row>
    <row r="357">
      <c r="A357" s="139" t="s">
        <v>822</v>
      </c>
      <c r="B357" s="139" t="s">
        <v>825</v>
      </c>
      <c r="C357" s="139"/>
      <c r="D357" s="139" t="str">
        <f t="shared" si="1"/>
        <v>O</v>
      </c>
      <c r="E357" s="139" t="s">
        <v>54</v>
      </c>
      <c r="F357" s="141">
        <v>4.10795001E8</v>
      </c>
      <c r="G357" s="143">
        <v>4.10795001E8</v>
      </c>
      <c r="H357" s="144"/>
      <c r="I357" s="144">
        <f t="shared" si="5"/>
        <v>355</v>
      </c>
      <c r="J357" s="146" t="str">
        <f t="shared" si="2"/>
        <v>#N/A</v>
      </c>
      <c r="K357" s="146"/>
      <c r="L357" s="147"/>
      <c r="M357" s="147"/>
    </row>
    <row r="358">
      <c r="A358" s="139" t="s">
        <v>822</v>
      </c>
      <c r="B358" s="139" t="s">
        <v>826</v>
      </c>
      <c r="C358" s="139"/>
      <c r="D358" s="139" t="str">
        <f t="shared" si="1"/>
        <v>O</v>
      </c>
      <c r="E358" s="139" t="s">
        <v>54</v>
      </c>
      <c r="F358" s="141">
        <v>4.10795001E8</v>
      </c>
      <c r="G358" s="143">
        <v>4.10795001E8</v>
      </c>
      <c r="H358" s="144"/>
      <c r="I358" s="144">
        <f t="shared" si="5"/>
        <v>356</v>
      </c>
      <c r="J358" s="146" t="str">
        <f t="shared" si="2"/>
        <v>#N/A</v>
      </c>
      <c r="K358" s="146"/>
      <c r="L358" s="147"/>
      <c r="M358" s="147"/>
    </row>
    <row r="359">
      <c r="A359" s="139" t="s">
        <v>822</v>
      </c>
      <c r="B359" s="139" t="s">
        <v>822</v>
      </c>
      <c r="C359" s="343" t="s">
        <v>83</v>
      </c>
      <c r="D359" s="139" t="str">
        <f t="shared" si="1"/>
        <v>L</v>
      </c>
      <c r="E359" s="139" t="s">
        <v>34</v>
      </c>
      <c r="F359" s="141">
        <v>4.10795001E8</v>
      </c>
      <c r="G359" s="143">
        <v>4.10795001E8</v>
      </c>
      <c r="H359" s="144">
        <v>4253901.0</v>
      </c>
      <c r="I359" s="144">
        <f t="shared" si="5"/>
        <v>357</v>
      </c>
      <c r="J359" s="146" t="str">
        <f t="shared" si="2"/>
        <v>#N/A</v>
      </c>
      <c r="K359" s="146"/>
      <c r="L359" s="147"/>
      <c r="M359" s="147"/>
    </row>
    <row r="360">
      <c r="A360" s="139" t="s">
        <v>822</v>
      </c>
      <c r="B360" s="139" t="s">
        <v>829</v>
      </c>
      <c r="C360" s="139"/>
      <c r="D360" s="139" t="str">
        <f t="shared" si="1"/>
        <v>O</v>
      </c>
      <c r="E360" s="139" t="s">
        <v>57</v>
      </c>
      <c r="F360" s="141">
        <v>4.10795001E8</v>
      </c>
      <c r="G360" s="143">
        <v>4.107950011E8</v>
      </c>
      <c r="H360" s="144"/>
      <c r="I360" s="144">
        <f t="shared" si="5"/>
        <v>358</v>
      </c>
      <c r="J360" s="146" t="str">
        <f t="shared" si="2"/>
        <v>#N/A</v>
      </c>
      <c r="K360" s="146"/>
      <c r="L360" s="147"/>
      <c r="M360" s="147"/>
    </row>
    <row r="361">
      <c r="A361" s="139" t="s">
        <v>822</v>
      </c>
      <c r="B361" s="139" t="s">
        <v>830</v>
      </c>
      <c r="C361" s="139"/>
      <c r="D361" s="139" t="str">
        <f t="shared" si="1"/>
        <v>O</v>
      </c>
      <c r="E361" s="139" t="s">
        <v>57</v>
      </c>
      <c r="F361" s="141">
        <v>4.10795001E8</v>
      </c>
      <c r="G361" s="143">
        <v>4.1079500120000005E8</v>
      </c>
      <c r="H361" s="144">
        <v>4259507.0</v>
      </c>
      <c r="I361" s="144">
        <f t="shared" si="5"/>
        <v>359</v>
      </c>
      <c r="J361" s="146" t="str">
        <f t="shared" si="2"/>
        <v>#N/A</v>
      </c>
      <c r="K361" s="146"/>
      <c r="L361" s="147"/>
      <c r="M361" s="147"/>
    </row>
    <row r="362">
      <c r="A362" s="139" t="s">
        <v>822</v>
      </c>
      <c r="B362" s="139" t="s">
        <v>832</v>
      </c>
      <c r="C362" s="139"/>
      <c r="D362" s="139" t="str">
        <f t="shared" si="1"/>
        <v>O</v>
      </c>
      <c r="E362" s="139" t="s">
        <v>57</v>
      </c>
      <c r="F362" s="141">
        <v>4.10795001E8</v>
      </c>
      <c r="G362" s="143">
        <v>4.107950013E8</v>
      </c>
      <c r="H362" s="144"/>
      <c r="I362" s="144">
        <f t="shared" si="5"/>
        <v>360</v>
      </c>
      <c r="J362" s="146" t="str">
        <f t="shared" si="2"/>
        <v>#N/A</v>
      </c>
      <c r="K362" s="146"/>
      <c r="L362" s="147"/>
      <c r="M362" s="147"/>
    </row>
    <row r="363">
      <c r="A363" s="22" t="s">
        <v>839</v>
      </c>
      <c r="B363" s="22" t="s">
        <v>839</v>
      </c>
      <c r="C363" s="95" t="s">
        <v>83</v>
      </c>
      <c r="D363" s="22" t="str">
        <f t="shared" si="1"/>
        <v>L</v>
      </c>
      <c r="E363" s="22" t="s">
        <v>34</v>
      </c>
      <c r="F363" s="34">
        <v>4776004.0</v>
      </c>
      <c r="G363" s="35">
        <v>4776004.0</v>
      </c>
      <c r="H363" s="37">
        <v>132703.0</v>
      </c>
      <c r="I363" s="37">
        <f t="shared" si="5"/>
        <v>361</v>
      </c>
      <c r="J363" s="41" t="str">
        <f t="shared" si="2"/>
        <v>#N/A</v>
      </c>
      <c r="K363" s="41"/>
      <c r="L363" s="45"/>
      <c r="M363" s="45"/>
    </row>
    <row r="364">
      <c r="A364" s="22" t="s">
        <v>843</v>
      </c>
      <c r="B364" s="22" t="s">
        <v>845</v>
      </c>
      <c r="C364" s="22"/>
      <c r="D364" s="22" t="str">
        <f t="shared" si="1"/>
        <v>O</v>
      </c>
      <c r="E364" s="22" t="s">
        <v>177</v>
      </c>
      <c r="F364" s="34" t="s">
        <v>847</v>
      </c>
      <c r="G364" s="35" t="s">
        <v>847</v>
      </c>
      <c r="H364" s="37">
        <v>4119189.0</v>
      </c>
      <c r="I364" s="37">
        <f t="shared" si="5"/>
        <v>362</v>
      </c>
      <c r="J364" s="41" t="str">
        <f t="shared" si="2"/>
        <v>#N/A</v>
      </c>
      <c r="K364" s="41"/>
      <c r="L364" s="45"/>
      <c r="M364" s="45"/>
    </row>
    <row r="365">
      <c r="A365" s="22" t="s">
        <v>843</v>
      </c>
      <c r="B365" s="22" t="s">
        <v>843</v>
      </c>
      <c r="C365" s="95" t="s">
        <v>83</v>
      </c>
      <c r="D365" s="22" t="str">
        <f t="shared" si="1"/>
        <v>L</v>
      </c>
      <c r="E365" s="22" t="s">
        <v>34</v>
      </c>
      <c r="F365" s="34">
        <v>8.95454001E8</v>
      </c>
      <c r="G365" s="35">
        <v>8.95454001E8</v>
      </c>
      <c r="H365" s="37">
        <v>619430.0</v>
      </c>
      <c r="I365" s="37">
        <f t="shared" si="5"/>
        <v>363</v>
      </c>
      <c r="J365" s="41" t="str">
        <f t="shared" si="2"/>
        <v>#N/A</v>
      </c>
      <c r="K365" s="41"/>
      <c r="L365" s="45"/>
      <c r="M365" s="45"/>
    </row>
    <row r="366">
      <c r="A366" s="22" t="s">
        <v>843</v>
      </c>
      <c r="B366" s="22" t="s">
        <v>851</v>
      </c>
      <c r="C366" s="22"/>
      <c r="D366" s="22" t="str">
        <f t="shared" si="1"/>
        <v>O</v>
      </c>
      <c r="E366" s="22" t="s">
        <v>57</v>
      </c>
      <c r="F366" s="34">
        <v>8.95454001E8</v>
      </c>
      <c r="G366" s="35">
        <v>8.954540011E8</v>
      </c>
      <c r="H366" s="37"/>
      <c r="I366" s="37">
        <f t="shared" si="5"/>
        <v>364</v>
      </c>
      <c r="J366" s="41" t="str">
        <f t="shared" si="2"/>
        <v>#N/A</v>
      </c>
      <c r="K366" s="41"/>
      <c r="L366" s="45"/>
      <c r="M366" s="45"/>
    </row>
    <row r="367">
      <c r="A367" s="214" t="s">
        <v>853</v>
      </c>
      <c r="B367" s="214" t="s">
        <v>853</v>
      </c>
      <c r="C367" s="222" t="s">
        <v>83</v>
      </c>
      <c r="D367" s="214" t="str">
        <f t="shared" si="1"/>
        <v>L</v>
      </c>
      <c r="E367" s="214" t="s">
        <v>34</v>
      </c>
      <c r="F367" s="215">
        <v>4.03435005E8</v>
      </c>
      <c r="G367" s="216">
        <v>4.03435005E8</v>
      </c>
      <c r="H367" s="218">
        <v>4296491.0</v>
      </c>
      <c r="I367" s="218">
        <f t="shared" si="5"/>
        <v>365</v>
      </c>
      <c r="J367" s="219" t="str">
        <f t="shared" si="2"/>
        <v>#N/A</v>
      </c>
      <c r="K367" s="219"/>
      <c r="L367" s="220"/>
      <c r="M367" s="220"/>
    </row>
    <row r="368">
      <c r="A368" s="214" t="s">
        <v>853</v>
      </c>
      <c r="B368" s="214" t="s">
        <v>854</v>
      </c>
      <c r="C368" s="214"/>
      <c r="D368" s="214" t="str">
        <f t="shared" si="1"/>
        <v>O</v>
      </c>
      <c r="E368" s="214" t="s">
        <v>57</v>
      </c>
      <c r="F368" s="215">
        <v>4.03435005E8</v>
      </c>
      <c r="G368" s="216">
        <v>4.034350051E8</v>
      </c>
      <c r="H368" s="218"/>
      <c r="I368" s="218">
        <f t="shared" si="5"/>
        <v>366</v>
      </c>
      <c r="J368" s="219" t="str">
        <f t="shared" si="2"/>
        <v>#N/A</v>
      </c>
      <c r="K368" s="219"/>
      <c r="L368" s="220"/>
      <c r="M368" s="220"/>
    </row>
    <row r="369">
      <c r="A369" s="214" t="s">
        <v>853</v>
      </c>
      <c r="B369" s="214" t="s">
        <v>859</v>
      </c>
      <c r="C369" s="214"/>
      <c r="D369" s="214" t="str">
        <f t="shared" si="1"/>
        <v>O</v>
      </c>
      <c r="E369" s="214" t="s">
        <v>57</v>
      </c>
      <c r="F369" s="215">
        <v>4.03435005E8</v>
      </c>
      <c r="G369" s="216">
        <v>4.0343500520000005E8</v>
      </c>
      <c r="H369" s="218"/>
      <c r="I369" s="218">
        <f t="shared" si="5"/>
        <v>367</v>
      </c>
      <c r="J369" s="219" t="str">
        <f t="shared" si="2"/>
        <v>#N/A</v>
      </c>
      <c r="K369" s="219"/>
      <c r="L369" s="220"/>
      <c r="M369" s="220"/>
    </row>
    <row r="370">
      <c r="A370" s="214" t="s">
        <v>853</v>
      </c>
      <c r="B370" s="214" t="s">
        <v>862</v>
      </c>
      <c r="C370" s="214"/>
      <c r="D370" s="214" t="str">
        <f t="shared" si="1"/>
        <v>O</v>
      </c>
      <c r="E370" s="214" t="s">
        <v>57</v>
      </c>
      <c r="F370" s="215">
        <v>4.03435005E8</v>
      </c>
      <c r="G370" s="216">
        <v>4.034350053E8</v>
      </c>
      <c r="H370" s="218"/>
      <c r="I370" s="218">
        <f t="shared" si="5"/>
        <v>368</v>
      </c>
      <c r="J370" s="219" t="str">
        <f t="shared" si="2"/>
        <v>#N/A</v>
      </c>
      <c r="K370" s="219"/>
      <c r="L370" s="220"/>
      <c r="M370" s="220"/>
    </row>
    <row r="371">
      <c r="A371" s="74" t="s">
        <v>866</v>
      </c>
      <c r="B371" s="74" t="s">
        <v>866</v>
      </c>
      <c r="C371" s="77" t="s">
        <v>83</v>
      </c>
      <c r="D371" s="74" t="str">
        <f t="shared" si="1"/>
        <v>L</v>
      </c>
      <c r="E371" s="74" t="s">
        <v>34</v>
      </c>
      <c r="F371" s="79">
        <v>9.5330001E7</v>
      </c>
      <c r="G371" s="80">
        <v>9.5330001E7</v>
      </c>
      <c r="H371" s="81">
        <v>4317262.0</v>
      </c>
      <c r="I371" s="81">
        <f t="shared" si="5"/>
        <v>369</v>
      </c>
      <c r="J371" s="82" t="str">
        <f t="shared" si="2"/>
        <v>#N/A</v>
      </c>
      <c r="K371" s="82"/>
      <c r="L371" s="83"/>
      <c r="M371" s="83"/>
    </row>
    <row r="372">
      <c r="A372" s="74" t="s">
        <v>866</v>
      </c>
      <c r="B372" s="74" t="s">
        <v>869</v>
      </c>
      <c r="C372" s="74"/>
      <c r="D372" s="74" t="str">
        <f t="shared" si="1"/>
        <v>O</v>
      </c>
      <c r="E372" s="74" t="s">
        <v>57</v>
      </c>
      <c r="F372" s="79">
        <v>9.5330001E7</v>
      </c>
      <c r="G372" s="80">
        <v>9.53300011E7</v>
      </c>
      <c r="H372" s="81"/>
      <c r="I372" s="81">
        <f t="shared" si="5"/>
        <v>370</v>
      </c>
      <c r="J372" s="82" t="str">
        <f t="shared" si="2"/>
        <v>#N/A</v>
      </c>
      <c r="K372" s="82"/>
      <c r="L372" s="83"/>
      <c r="M372" s="83"/>
    </row>
    <row r="373">
      <c r="A373" s="74" t="s">
        <v>866</v>
      </c>
      <c r="B373" s="83" t="s">
        <v>872</v>
      </c>
      <c r="C373" s="74"/>
      <c r="D373" s="74" t="str">
        <f t="shared" si="1"/>
        <v>O</v>
      </c>
      <c r="E373" s="74" t="s">
        <v>57</v>
      </c>
      <c r="F373" s="79">
        <v>9.5330001E7</v>
      </c>
      <c r="G373" s="80">
        <v>9.533000119999999E7</v>
      </c>
      <c r="H373" s="81"/>
      <c r="I373" s="81">
        <f t="shared" si="5"/>
        <v>371</v>
      </c>
      <c r="J373" s="82" t="str">
        <f t="shared" si="2"/>
        <v>#N/A</v>
      </c>
      <c r="K373" s="82"/>
      <c r="L373" s="83"/>
      <c r="M373" s="83"/>
    </row>
    <row r="374">
      <c r="A374" s="74" t="s">
        <v>866</v>
      </c>
      <c r="B374" s="83" t="s">
        <v>873</v>
      </c>
      <c r="C374" s="77" t="s">
        <v>83</v>
      </c>
      <c r="D374" s="74" t="str">
        <f t="shared" si="1"/>
        <v>O</v>
      </c>
      <c r="E374" s="74" t="s">
        <v>57</v>
      </c>
      <c r="F374" s="79">
        <v>9.5330001E7</v>
      </c>
      <c r="G374" s="80">
        <v>9.53300013E7</v>
      </c>
      <c r="H374" s="81">
        <v>4317262.0</v>
      </c>
      <c r="I374" s="81">
        <f t="shared" si="5"/>
        <v>372</v>
      </c>
      <c r="J374" s="82" t="str">
        <f t="shared" si="2"/>
        <v>#N/A</v>
      </c>
      <c r="K374" s="82"/>
      <c r="L374" s="83"/>
      <c r="M374" s="83"/>
    </row>
    <row r="375">
      <c r="A375" s="139" t="s">
        <v>874</v>
      </c>
      <c r="B375" s="139" t="s">
        <v>874</v>
      </c>
      <c r="C375" s="325" t="s">
        <v>83</v>
      </c>
      <c r="D375" s="139" t="str">
        <f t="shared" si="1"/>
        <v>L</v>
      </c>
      <c r="E375" s="139" t="s">
        <v>34</v>
      </c>
      <c r="F375" s="141" t="s">
        <v>875</v>
      </c>
      <c r="G375" s="143" t="s">
        <v>875</v>
      </c>
      <c r="H375" s="144">
        <v>4324974.0</v>
      </c>
      <c r="I375" s="144">
        <f t="shared" si="5"/>
        <v>373</v>
      </c>
      <c r="J375" s="146" t="str">
        <f t="shared" si="2"/>
        <v>#N/A</v>
      </c>
      <c r="K375" s="146"/>
      <c r="L375" s="147"/>
      <c r="M375" s="147"/>
    </row>
    <row r="376">
      <c r="A376" s="139" t="s">
        <v>874</v>
      </c>
      <c r="B376" s="139" t="s">
        <v>876</v>
      </c>
      <c r="C376" s="325"/>
      <c r="D376" s="139" t="str">
        <f t="shared" si="1"/>
        <v>O</v>
      </c>
      <c r="E376" s="139" t="s">
        <v>57</v>
      </c>
      <c r="F376" s="141" t="s">
        <v>875</v>
      </c>
      <c r="G376" s="143">
        <v>7.14040031E7</v>
      </c>
      <c r="H376" s="144"/>
      <c r="I376" s="144">
        <f t="shared" si="5"/>
        <v>374</v>
      </c>
      <c r="J376" s="146" t="str">
        <f t="shared" si="2"/>
        <v>#N/A</v>
      </c>
      <c r="K376" s="146"/>
      <c r="L376" s="147"/>
      <c r="M376" s="147"/>
    </row>
    <row r="377">
      <c r="A377" s="139" t="s">
        <v>874</v>
      </c>
      <c r="B377" s="139" t="s">
        <v>878</v>
      </c>
      <c r="C377" s="139"/>
      <c r="D377" s="139" t="str">
        <f t="shared" si="1"/>
        <v>O</v>
      </c>
      <c r="E377" s="139" t="s">
        <v>57</v>
      </c>
      <c r="F377" s="141" t="s">
        <v>875</v>
      </c>
      <c r="G377" s="143">
        <v>7.140400319999999E7</v>
      </c>
      <c r="H377" s="144"/>
      <c r="I377" s="144">
        <f t="shared" si="5"/>
        <v>375</v>
      </c>
      <c r="J377" s="146" t="str">
        <f t="shared" si="2"/>
        <v>#N/A</v>
      </c>
      <c r="K377" s="146"/>
      <c r="L377" s="147"/>
      <c r="M377" s="147"/>
    </row>
    <row r="378">
      <c r="A378" s="139" t="s">
        <v>874</v>
      </c>
      <c r="B378" s="139" t="s">
        <v>881</v>
      </c>
      <c r="C378" s="325"/>
      <c r="D378" s="139" t="str">
        <f t="shared" si="1"/>
        <v>O</v>
      </c>
      <c r="E378" s="139" t="s">
        <v>57</v>
      </c>
      <c r="F378" s="141" t="s">
        <v>875</v>
      </c>
      <c r="G378" s="143">
        <v>7.14040033E7</v>
      </c>
      <c r="H378" s="144"/>
      <c r="I378" s="144">
        <f t="shared" si="5"/>
        <v>376</v>
      </c>
      <c r="J378" s="146" t="str">
        <f t="shared" si="2"/>
        <v>#N/A</v>
      </c>
      <c r="K378" s="146"/>
      <c r="L378" s="147"/>
      <c r="M378" s="147"/>
    </row>
    <row r="379">
      <c r="A379" s="139" t="s">
        <v>874</v>
      </c>
      <c r="B379" s="139" t="s">
        <v>884</v>
      </c>
      <c r="C379" s="139"/>
      <c r="D379" s="139" t="str">
        <f t="shared" si="1"/>
        <v>O</v>
      </c>
      <c r="E379" s="139" t="s">
        <v>57</v>
      </c>
      <c r="F379" s="141" t="s">
        <v>875</v>
      </c>
      <c r="G379" s="143">
        <v>7.140400339999999E7</v>
      </c>
      <c r="H379" s="144"/>
      <c r="I379" s="144">
        <f t="shared" si="5"/>
        <v>377</v>
      </c>
      <c r="J379" s="146" t="str">
        <f t="shared" si="2"/>
        <v>#N/A</v>
      </c>
      <c r="K379" s="146"/>
      <c r="L379" s="147"/>
      <c r="M379" s="147"/>
    </row>
    <row r="380">
      <c r="A380" s="139" t="s">
        <v>874</v>
      </c>
      <c r="B380" s="139" t="s">
        <v>888</v>
      </c>
      <c r="C380" s="139"/>
      <c r="D380" s="139" t="str">
        <f t="shared" si="1"/>
        <v>O</v>
      </c>
      <c r="E380" s="139" t="s">
        <v>57</v>
      </c>
      <c r="F380" s="141" t="s">
        <v>875</v>
      </c>
      <c r="G380" s="143">
        <v>7.14040035E7</v>
      </c>
      <c r="H380" s="144"/>
      <c r="I380" s="144">
        <f t="shared" si="5"/>
        <v>378</v>
      </c>
      <c r="J380" s="146" t="str">
        <f t="shared" si="2"/>
        <v>#N/A</v>
      </c>
      <c r="K380" s="146"/>
      <c r="L380" s="147"/>
      <c r="M380" s="147"/>
    </row>
    <row r="381">
      <c r="A381" s="139" t="s">
        <v>874</v>
      </c>
      <c r="B381" s="139" t="s">
        <v>891</v>
      </c>
      <c r="C381" s="139"/>
      <c r="D381" s="139" t="str">
        <f t="shared" si="1"/>
        <v>O</v>
      </c>
      <c r="E381" s="139" t="s">
        <v>57</v>
      </c>
      <c r="F381" s="141" t="s">
        <v>875</v>
      </c>
      <c r="G381" s="143">
        <v>7.14040036E7</v>
      </c>
      <c r="H381" s="144"/>
      <c r="I381" s="144">
        <f t="shared" si="5"/>
        <v>379</v>
      </c>
      <c r="J381" s="146" t="str">
        <f t="shared" si="2"/>
        <v>#N/A</v>
      </c>
      <c r="K381" s="146"/>
      <c r="L381" s="147"/>
      <c r="M381" s="147"/>
    </row>
    <row r="382">
      <c r="A382" s="74" t="s">
        <v>898</v>
      </c>
      <c r="B382" s="74" t="s">
        <v>898</v>
      </c>
      <c r="C382" s="77" t="s">
        <v>83</v>
      </c>
      <c r="D382" s="74" t="str">
        <f t="shared" si="1"/>
        <v>L</v>
      </c>
      <c r="E382" s="74" t="s">
        <v>34</v>
      </c>
      <c r="F382" s="79">
        <v>2.39944008E8</v>
      </c>
      <c r="G382" s="80">
        <v>2.39944008E8</v>
      </c>
      <c r="H382" s="81">
        <v>4344495.0</v>
      </c>
      <c r="I382" s="81">
        <f t="shared" si="5"/>
        <v>380</v>
      </c>
      <c r="J382" s="82" t="str">
        <f t="shared" si="2"/>
        <v>#N/A</v>
      </c>
      <c r="K382" s="82"/>
      <c r="L382" s="83"/>
      <c r="M382" s="83"/>
    </row>
    <row r="383">
      <c r="A383" s="103" t="s">
        <v>900</v>
      </c>
      <c r="B383" s="103" t="s">
        <v>900</v>
      </c>
      <c r="C383" s="297" t="s">
        <v>83</v>
      </c>
      <c r="D383" s="103" t="str">
        <f t="shared" si="1"/>
        <v>L</v>
      </c>
      <c r="E383" s="103" t="s">
        <v>34</v>
      </c>
      <c r="F383" s="105" t="s">
        <v>902</v>
      </c>
      <c r="G383" s="106" t="s">
        <v>902</v>
      </c>
      <c r="H383" s="378">
        <v>4212192.0</v>
      </c>
      <c r="I383" s="107">
        <f t="shared" si="5"/>
        <v>381</v>
      </c>
      <c r="J383" s="108" t="str">
        <f t="shared" si="2"/>
        <v>#N/A</v>
      </c>
      <c r="K383" s="108"/>
      <c r="L383" s="109"/>
      <c r="M383" s="109"/>
    </row>
    <row r="384">
      <c r="A384" s="103" t="s">
        <v>900</v>
      </c>
      <c r="B384" s="103" t="s">
        <v>908</v>
      </c>
      <c r="C384" s="297" t="s">
        <v>83</v>
      </c>
      <c r="D384" s="103" t="str">
        <f t="shared" si="1"/>
        <v>O</v>
      </c>
      <c r="E384" s="103" t="s">
        <v>57</v>
      </c>
      <c r="F384" s="105" t="s">
        <v>902</v>
      </c>
      <c r="G384" s="106" t="s">
        <v>910</v>
      </c>
      <c r="H384" s="378">
        <v>4212192.0</v>
      </c>
      <c r="I384" s="107">
        <f t="shared" si="5"/>
        <v>382</v>
      </c>
      <c r="J384" s="108" t="str">
        <f t="shared" si="2"/>
        <v>#N/A</v>
      </c>
      <c r="K384" s="108"/>
      <c r="L384" s="109"/>
      <c r="M384" s="109"/>
    </row>
    <row r="385">
      <c r="A385" s="232" t="s">
        <v>766</v>
      </c>
      <c r="B385" s="232" t="s">
        <v>766</v>
      </c>
      <c r="C385" s="239" t="s">
        <v>83</v>
      </c>
      <c r="D385" s="232" t="str">
        <f t="shared" si="1"/>
        <v>L</v>
      </c>
      <c r="E385" s="232" t="s">
        <v>34</v>
      </c>
      <c r="F385" s="233">
        <v>2.35753003E8</v>
      </c>
      <c r="G385" s="234">
        <v>2.35753003E8</v>
      </c>
      <c r="H385" s="235">
        <v>4340799.0</v>
      </c>
      <c r="I385" s="235">
        <f t="shared" si="5"/>
        <v>383</v>
      </c>
      <c r="J385" s="236" t="str">
        <f t="shared" si="2"/>
        <v>#N/A</v>
      </c>
      <c r="K385" s="236"/>
      <c r="L385" s="237"/>
      <c r="M385" s="237"/>
    </row>
    <row r="386">
      <c r="A386" s="74" t="s">
        <v>918</v>
      </c>
      <c r="B386" s="74" t="s">
        <v>918</v>
      </c>
      <c r="C386" s="74"/>
      <c r="D386" s="74" t="str">
        <f t="shared" si="1"/>
        <v>L</v>
      </c>
      <c r="E386" s="74" t="s">
        <v>34</v>
      </c>
      <c r="F386" s="79">
        <v>1.144805008E9</v>
      </c>
      <c r="G386" s="80">
        <v>1.144805008E9</v>
      </c>
      <c r="H386" s="81">
        <v>606328.0</v>
      </c>
      <c r="I386" s="81">
        <f t="shared" si="5"/>
        <v>384</v>
      </c>
      <c r="J386" s="82" t="str">
        <f t="shared" si="2"/>
        <v>#N/A</v>
      </c>
      <c r="K386" s="82"/>
      <c r="L386" s="83"/>
      <c r="M386" s="83"/>
    </row>
    <row r="387">
      <c r="A387" s="74" t="s">
        <v>918</v>
      </c>
      <c r="B387" s="74" t="s">
        <v>919</v>
      </c>
      <c r="C387" s="74"/>
      <c r="D387" s="74" t="str">
        <f t="shared" si="1"/>
        <v>O</v>
      </c>
      <c r="E387" s="74" t="s">
        <v>54</v>
      </c>
      <c r="F387" s="79">
        <v>1.144805008E9</v>
      </c>
      <c r="G387" s="80">
        <v>1.144805008E9</v>
      </c>
      <c r="H387" s="81"/>
      <c r="I387" s="81">
        <f t="shared" si="5"/>
        <v>385</v>
      </c>
      <c r="J387" s="82" t="str">
        <f t="shared" si="2"/>
        <v>#N/A</v>
      </c>
      <c r="K387" s="82"/>
      <c r="L387" s="83"/>
      <c r="M387" s="83"/>
    </row>
    <row r="388">
      <c r="A388" s="74" t="s">
        <v>918</v>
      </c>
      <c r="B388" s="74" t="s">
        <v>920</v>
      </c>
      <c r="C388" s="74"/>
      <c r="D388" s="74" t="str">
        <f t="shared" si="1"/>
        <v>O</v>
      </c>
      <c r="E388" s="74" t="s">
        <v>57</v>
      </c>
      <c r="F388" s="79">
        <v>1.144805008E9</v>
      </c>
      <c r="G388" s="80">
        <v>1.1448050081E9</v>
      </c>
      <c r="H388" s="81">
        <v>606328.0</v>
      </c>
      <c r="I388" s="81">
        <f t="shared" si="5"/>
        <v>386</v>
      </c>
      <c r="J388" s="82" t="str">
        <f t="shared" si="2"/>
        <v>#N/A</v>
      </c>
      <c r="K388" s="82"/>
      <c r="L388" s="83"/>
      <c r="M388" s="83"/>
    </row>
    <row r="389">
      <c r="A389" s="191" t="s">
        <v>924</v>
      </c>
      <c r="B389" s="191" t="s">
        <v>925</v>
      </c>
      <c r="C389" s="191"/>
      <c r="D389" s="191" t="str">
        <f t="shared" si="1"/>
        <v>O</v>
      </c>
      <c r="E389" s="191" t="s">
        <v>54</v>
      </c>
      <c r="F389" s="195">
        <v>3.98049005E8</v>
      </c>
      <c r="G389" s="197">
        <v>3.98049005E8</v>
      </c>
      <c r="H389" s="198"/>
      <c r="I389" s="198">
        <f t="shared" si="5"/>
        <v>387</v>
      </c>
      <c r="J389" s="200" t="str">
        <f t="shared" si="2"/>
        <v>#N/A</v>
      </c>
      <c r="K389" s="200"/>
      <c r="L389" s="202"/>
      <c r="M389" s="202"/>
    </row>
    <row r="390">
      <c r="A390" s="191" t="s">
        <v>924</v>
      </c>
      <c r="B390" s="191" t="s">
        <v>924</v>
      </c>
      <c r="C390" s="193" t="s">
        <v>83</v>
      </c>
      <c r="D390" s="191" t="str">
        <f t="shared" si="1"/>
        <v>L</v>
      </c>
      <c r="E390" s="191" t="s">
        <v>34</v>
      </c>
      <c r="F390" s="195">
        <v>3.98049005E8</v>
      </c>
      <c r="G390" s="197">
        <v>3.98049005E8</v>
      </c>
      <c r="H390" s="198">
        <v>4134867.0</v>
      </c>
      <c r="I390" s="198">
        <f t="shared" si="5"/>
        <v>388</v>
      </c>
      <c r="J390" s="200" t="str">
        <f t="shared" si="2"/>
        <v>#N/A</v>
      </c>
      <c r="K390" s="200"/>
      <c r="L390" s="202"/>
      <c r="M390" s="202"/>
    </row>
    <row r="391">
      <c r="A391" s="191" t="s">
        <v>924</v>
      </c>
      <c r="B391" s="191" t="s">
        <v>930</v>
      </c>
      <c r="C391" s="193" t="s">
        <v>83</v>
      </c>
      <c r="D391" s="191" t="str">
        <f t="shared" si="1"/>
        <v>O</v>
      </c>
      <c r="E391" s="191" t="s">
        <v>57</v>
      </c>
      <c r="F391" s="195">
        <v>3.98049005E8</v>
      </c>
      <c r="G391" s="197">
        <v>3.980490051E8</v>
      </c>
      <c r="H391" s="198">
        <v>4134867.0</v>
      </c>
      <c r="I391" s="198">
        <f t="shared" si="5"/>
        <v>389</v>
      </c>
      <c r="J391" s="200" t="str">
        <f t="shared" si="2"/>
        <v>#N/A</v>
      </c>
      <c r="K391" s="200"/>
      <c r="L391" s="202"/>
      <c r="M391" s="202"/>
    </row>
    <row r="392">
      <c r="A392" s="191" t="s">
        <v>924</v>
      </c>
      <c r="B392" s="191" t="s">
        <v>932</v>
      </c>
      <c r="C392" s="191"/>
      <c r="D392" s="191" t="str">
        <f t="shared" si="1"/>
        <v>O</v>
      </c>
      <c r="E392" s="191" t="s">
        <v>57</v>
      </c>
      <c r="F392" s="195">
        <v>3.98049005E8</v>
      </c>
      <c r="G392" s="197">
        <v>3.9804900520000005E8</v>
      </c>
      <c r="H392" s="198"/>
      <c r="I392" s="198">
        <f t="shared" si="5"/>
        <v>390</v>
      </c>
      <c r="J392" s="200" t="str">
        <f t="shared" si="2"/>
        <v>#N/A</v>
      </c>
      <c r="K392" s="200"/>
      <c r="L392" s="202"/>
      <c r="M392" s="202"/>
    </row>
    <row r="393">
      <c r="A393" s="214" t="s">
        <v>939</v>
      </c>
      <c r="B393" s="214" t="s">
        <v>939</v>
      </c>
      <c r="C393" s="222" t="s">
        <v>83</v>
      </c>
      <c r="D393" s="214" t="str">
        <f t="shared" si="1"/>
        <v>L</v>
      </c>
      <c r="E393" s="214" t="s">
        <v>34</v>
      </c>
      <c r="F393" s="215">
        <v>2.2440001E7</v>
      </c>
      <c r="G393" s="216">
        <v>2.2440001E7</v>
      </c>
      <c r="H393" s="218">
        <v>435271.0</v>
      </c>
      <c r="I393" s="218">
        <f t="shared" si="5"/>
        <v>391</v>
      </c>
      <c r="J393" s="219" t="str">
        <f t="shared" si="2"/>
        <v>#N/A</v>
      </c>
      <c r="K393" s="219"/>
      <c r="L393" s="220"/>
      <c r="M393" s="220"/>
    </row>
    <row r="394">
      <c r="A394" s="214" t="s">
        <v>939</v>
      </c>
      <c r="B394" s="214" t="s">
        <v>942</v>
      </c>
      <c r="C394" s="214"/>
      <c r="D394" s="214" t="str">
        <f t="shared" si="1"/>
        <v>O</v>
      </c>
      <c r="E394" s="214" t="s">
        <v>57</v>
      </c>
      <c r="F394" s="215">
        <v>2.2440001E7</v>
      </c>
      <c r="G394" s="216">
        <v>2.24400011E7</v>
      </c>
      <c r="H394" s="218"/>
      <c r="I394" s="218">
        <f t="shared" si="5"/>
        <v>392</v>
      </c>
      <c r="J394" s="219" t="str">
        <f t="shared" si="2"/>
        <v>#N/A</v>
      </c>
      <c r="K394" s="219"/>
      <c r="L394" s="220"/>
      <c r="M394" s="220"/>
    </row>
    <row r="395">
      <c r="A395" s="214" t="s">
        <v>939</v>
      </c>
      <c r="B395" s="214" t="s">
        <v>943</v>
      </c>
      <c r="C395" s="214"/>
      <c r="D395" s="214" t="str">
        <f t="shared" si="1"/>
        <v>O</v>
      </c>
      <c r="E395" s="214" t="s">
        <v>57</v>
      </c>
      <c r="F395" s="215">
        <v>2.2440001E7</v>
      </c>
      <c r="G395" s="216">
        <v>2.2440001200000003E7</v>
      </c>
      <c r="H395" s="218"/>
      <c r="I395" s="218">
        <f t="shared" si="5"/>
        <v>393</v>
      </c>
      <c r="J395" s="219" t="str">
        <f t="shared" si="2"/>
        <v>#N/A</v>
      </c>
      <c r="K395" s="219"/>
      <c r="L395" s="220"/>
      <c r="M395" s="220"/>
    </row>
    <row r="396">
      <c r="A396" s="383" t="s">
        <v>944</v>
      </c>
      <c r="B396" s="383" t="s">
        <v>949</v>
      </c>
      <c r="C396" s="384" t="s">
        <v>83</v>
      </c>
      <c r="D396" s="383" t="str">
        <f t="shared" si="1"/>
        <v>O</v>
      </c>
      <c r="E396" s="383" t="s">
        <v>72</v>
      </c>
      <c r="F396" s="385">
        <v>2.01048007E8</v>
      </c>
      <c r="G396" s="386">
        <v>2.01048007E8</v>
      </c>
      <c r="H396" s="387">
        <v>441928.0</v>
      </c>
      <c r="I396" s="387">
        <f t="shared" si="5"/>
        <v>394</v>
      </c>
      <c r="J396" s="388" t="str">
        <f t="shared" si="2"/>
        <v>#N/A</v>
      </c>
      <c r="K396" s="388"/>
      <c r="L396" s="389"/>
      <c r="M396" s="389"/>
    </row>
    <row r="397">
      <c r="A397" s="383" t="s">
        <v>944</v>
      </c>
      <c r="B397" s="383" t="s">
        <v>944</v>
      </c>
      <c r="C397" s="384" t="s">
        <v>83</v>
      </c>
      <c r="D397" s="383" t="str">
        <f t="shared" si="1"/>
        <v>L</v>
      </c>
      <c r="E397" s="383" t="s">
        <v>34</v>
      </c>
      <c r="F397" s="385">
        <v>2.01049004E8</v>
      </c>
      <c r="G397" s="386">
        <v>2.01049004E8</v>
      </c>
      <c r="H397" s="387">
        <v>4066845.0</v>
      </c>
      <c r="I397" s="387">
        <f t="shared" si="5"/>
        <v>395</v>
      </c>
      <c r="J397" s="388" t="str">
        <f t="shared" si="2"/>
        <v>#N/A</v>
      </c>
      <c r="K397" s="388"/>
      <c r="L397" s="389"/>
      <c r="M397" s="389"/>
    </row>
    <row r="398">
      <c r="A398" s="74" t="s">
        <v>960</v>
      </c>
      <c r="B398" s="74" t="s">
        <v>960</v>
      </c>
      <c r="C398" s="74"/>
      <c r="D398" s="74" t="str">
        <f t="shared" si="1"/>
        <v>L</v>
      </c>
      <c r="E398" s="74" t="s">
        <v>34</v>
      </c>
      <c r="F398" s="79" t="s">
        <v>961</v>
      </c>
      <c r="G398" s="80" t="s">
        <v>961</v>
      </c>
      <c r="H398" s="81">
        <v>378774.0</v>
      </c>
      <c r="I398" s="81">
        <f t="shared" si="5"/>
        <v>396</v>
      </c>
      <c r="J398" s="82" t="str">
        <f t="shared" si="2"/>
        <v>#N/A</v>
      </c>
      <c r="K398" s="82"/>
      <c r="L398" s="83"/>
      <c r="M398" s="83"/>
    </row>
    <row r="399">
      <c r="A399" s="74" t="s">
        <v>960</v>
      </c>
      <c r="B399" s="74" t="s">
        <v>962</v>
      </c>
      <c r="C399" s="74"/>
      <c r="D399" s="74" t="str">
        <f t="shared" si="1"/>
        <v>O</v>
      </c>
      <c r="E399" s="74" t="s">
        <v>57</v>
      </c>
      <c r="F399" s="79" t="s">
        <v>961</v>
      </c>
      <c r="G399" s="80">
        <v>6.91160001E7</v>
      </c>
      <c r="H399" s="81"/>
      <c r="I399" s="81">
        <f t="shared" si="5"/>
        <v>397</v>
      </c>
      <c r="J399" s="82" t="str">
        <f t="shared" si="2"/>
        <v>#N/A</v>
      </c>
      <c r="K399" s="82"/>
      <c r="L399" s="83"/>
      <c r="M399" s="83"/>
    </row>
    <row r="400">
      <c r="A400" s="74" t="s">
        <v>960</v>
      </c>
      <c r="B400" s="74" t="s">
        <v>963</v>
      </c>
      <c r="C400" s="74"/>
      <c r="D400" s="74" t="str">
        <f t="shared" si="1"/>
        <v>O</v>
      </c>
      <c r="E400" s="74" t="s">
        <v>57</v>
      </c>
      <c r="F400" s="79" t="s">
        <v>961</v>
      </c>
      <c r="G400" s="80">
        <v>6.911600019999999E7</v>
      </c>
      <c r="H400" s="81"/>
      <c r="I400" s="81">
        <f t="shared" si="5"/>
        <v>398</v>
      </c>
      <c r="J400" s="82" t="str">
        <f t="shared" si="2"/>
        <v>#N/A</v>
      </c>
      <c r="K400" s="82"/>
      <c r="L400" s="83"/>
      <c r="M400" s="83"/>
    </row>
    <row r="401">
      <c r="A401" s="74" t="s">
        <v>960</v>
      </c>
      <c r="B401" s="74" t="s">
        <v>964</v>
      </c>
      <c r="C401" s="74"/>
      <c r="D401" s="74" t="str">
        <f t="shared" si="1"/>
        <v>O</v>
      </c>
      <c r="E401" s="74" t="s">
        <v>57</v>
      </c>
      <c r="F401" s="79" t="s">
        <v>961</v>
      </c>
      <c r="G401" s="80">
        <v>6.91160003E7</v>
      </c>
      <c r="H401" s="81"/>
      <c r="I401" s="81">
        <f t="shared" si="5"/>
        <v>399</v>
      </c>
      <c r="J401" s="82" t="str">
        <f t="shared" si="2"/>
        <v>#N/A</v>
      </c>
      <c r="K401" s="82"/>
      <c r="L401" s="83"/>
      <c r="M401" s="83"/>
    </row>
    <row r="402">
      <c r="A402" s="74" t="s">
        <v>960</v>
      </c>
      <c r="B402" s="74" t="s">
        <v>966</v>
      </c>
      <c r="C402" s="74"/>
      <c r="D402" s="74" t="str">
        <f t="shared" si="1"/>
        <v>O</v>
      </c>
      <c r="E402" s="74" t="s">
        <v>57</v>
      </c>
      <c r="F402" s="79" t="s">
        <v>961</v>
      </c>
      <c r="G402" s="80">
        <v>6.911600039999999E7</v>
      </c>
      <c r="H402" s="81"/>
      <c r="I402" s="81">
        <f t="shared" si="5"/>
        <v>400</v>
      </c>
      <c r="J402" s="82" t="str">
        <f t="shared" si="2"/>
        <v>#N/A</v>
      </c>
      <c r="K402" s="82"/>
      <c r="L402" s="83"/>
      <c r="M402" s="83"/>
    </row>
    <row r="403">
      <c r="A403" s="74" t="s">
        <v>960</v>
      </c>
      <c r="B403" s="74" t="s">
        <v>967</v>
      </c>
      <c r="C403" s="74"/>
      <c r="D403" s="74" t="str">
        <f t="shared" si="1"/>
        <v>O</v>
      </c>
      <c r="E403" s="74" t="s">
        <v>57</v>
      </c>
      <c r="F403" s="79" t="s">
        <v>961</v>
      </c>
      <c r="G403" s="80">
        <v>6.91160005E7</v>
      </c>
      <c r="H403" s="81"/>
      <c r="I403" s="81">
        <f t="shared" si="5"/>
        <v>401</v>
      </c>
      <c r="J403" s="82" t="str">
        <f t="shared" si="2"/>
        <v>#N/A</v>
      </c>
      <c r="K403" s="82"/>
      <c r="L403" s="83"/>
      <c r="M403" s="83"/>
    </row>
    <row r="404">
      <c r="A404" s="214" t="s">
        <v>968</v>
      </c>
      <c r="B404" s="214" t="s">
        <v>969</v>
      </c>
      <c r="C404" s="214"/>
      <c r="D404" s="214" t="str">
        <f t="shared" si="1"/>
        <v>O</v>
      </c>
      <c r="E404" s="214" t="s">
        <v>54</v>
      </c>
      <c r="F404" s="215">
        <v>2.4700007E7</v>
      </c>
      <c r="G404" s="216">
        <v>2.4700007E7</v>
      </c>
      <c r="H404" s="218"/>
      <c r="I404" s="218">
        <f t="shared" si="5"/>
        <v>402</v>
      </c>
      <c r="J404" s="219" t="str">
        <f t="shared" si="2"/>
        <v>#N/A</v>
      </c>
      <c r="K404" s="219"/>
      <c r="L404" s="220"/>
      <c r="M404" s="220"/>
    </row>
    <row r="405">
      <c r="A405" s="214" t="s">
        <v>973</v>
      </c>
      <c r="B405" s="214" t="s">
        <v>973</v>
      </c>
      <c r="C405" s="222" t="s">
        <v>83</v>
      </c>
      <c r="D405" s="214" t="str">
        <f t="shared" si="1"/>
        <v>L</v>
      </c>
      <c r="E405" s="214" t="s">
        <v>34</v>
      </c>
      <c r="F405" s="215">
        <v>2.4700007E7</v>
      </c>
      <c r="G405" s="216">
        <v>2.4700007E7</v>
      </c>
      <c r="H405" s="393">
        <v>374919.0</v>
      </c>
      <c r="I405" s="218">
        <f t="shared" si="5"/>
        <v>403</v>
      </c>
      <c r="J405" s="219" t="str">
        <f t="shared" si="2"/>
        <v>#N/A</v>
      </c>
      <c r="K405" s="219"/>
      <c r="L405" s="220"/>
      <c r="M405" s="220"/>
    </row>
    <row r="406">
      <c r="A406" s="214" t="s">
        <v>973</v>
      </c>
      <c r="B406" s="214" t="s">
        <v>979</v>
      </c>
      <c r="C406" s="222" t="s">
        <v>83</v>
      </c>
      <c r="D406" s="214" t="str">
        <f t="shared" si="1"/>
        <v>O</v>
      </c>
      <c r="E406" s="214" t="s">
        <v>57</v>
      </c>
      <c r="F406" s="215">
        <v>2.4700007E7</v>
      </c>
      <c r="G406" s="216">
        <v>2.47000071E7</v>
      </c>
      <c r="H406" s="393">
        <v>374919.0</v>
      </c>
      <c r="I406" s="218">
        <f t="shared" si="5"/>
        <v>404</v>
      </c>
      <c r="J406" s="219" t="str">
        <f t="shared" si="2"/>
        <v>#N/A</v>
      </c>
      <c r="K406" s="219"/>
      <c r="L406" s="220"/>
      <c r="M406" s="220"/>
    </row>
    <row r="407">
      <c r="A407" s="214" t="s">
        <v>973</v>
      </c>
      <c r="B407" s="214" t="s">
        <v>985</v>
      </c>
      <c r="C407" s="214"/>
      <c r="D407" s="214" t="str">
        <f t="shared" si="1"/>
        <v>O</v>
      </c>
      <c r="E407" s="214" t="s">
        <v>72</v>
      </c>
      <c r="F407" s="215">
        <v>4.9692006E7</v>
      </c>
      <c r="G407" s="216">
        <v>4.9692006E7</v>
      </c>
      <c r="H407" s="218">
        <v>376970.0</v>
      </c>
      <c r="I407" s="218">
        <f t="shared" si="5"/>
        <v>405</v>
      </c>
      <c r="J407" s="219" t="str">
        <f t="shared" si="2"/>
        <v>#N/A</v>
      </c>
      <c r="K407" s="219"/>
      <c r="L407" s="220"/>
      <c r="M407" s="220"/>
    </row>
    <row r="408">
      <c r="A408" s="214" t="s">
        <v>973</v>
      </c>
      <c r="B408" s="214" t="s">
        <v>987</v>
      </c>
      <c r="C408" s="214"/>
      <c r="D408" s="214" t="str">
        <f t="shared" si="1"/>
        <v>O</v>
      </c>
      <c r="E408" s="214" t="s">
        <v>72</v>
      </c>
      <c r="F408" s="215">
        <v>1.2846E8</v>
      </c>
      <c r="G408" s="216">
        <v>1.2846E8</v>
      </c>
      <c r="H408" s="218">
        <v>4027727.0</v>
      </c>
      <c r="I408" s="218">
        <f t="shared" si="5"/>
        <v>406</v>
      </c>
      <c r="J408" s="219" t="str">
        <f t="shared" si="2"/>
        <v>#N/A</v>
      </c>
      <c r="K408" s="219"/>
      <c r="L408" s="220"/>
      <c r="M408" s="220"/>
    </row>
    <row r="409">
      <c r="A409" s="214" t="s">
        <v>973</v>
      </c>
      <c r="B409" s="214" t="s">
        <v>988</v>
      </c>
      <c r="C409" s="214"/>
      <c r="D409" s="214" t="str">
        <f t="shared" si="1"/>
        <v>O</v>
      </c>
      <c r="E409" s="214" t="s">
        <v>72</v>
      </c>
      <c r="F409" s="215">
        <v>4.26373005E8</v>
      </c>
      <c r="G409" s="216">
        <v>4.26373005E8</v>
      </c>
      <c r="H409" s="218">
        <v>4145049.0</v>
      </c>
      <c r="I409" s="218">
        <f t="shared" si="5"/>
        <v>407</v>
      </c>
      <c r="J409" s="219" t="str">
        <f t="shared" si="2"/>
        <v>#N/A</v>
      </c>
      <c r="K409" s="219"/>
      <c r="L409" s="220"/>
      <c r="M409" s="220"/>
    </row>
    <row r="410">
      <c r="A410" s="214" t="s">
        <v>973</v>
      </c>
      <c r="B410" s="214" t="s">
        <v>989</v>
      </c>
      <c r="C410" s="214"/>
      <c r="D410" s="214" t="str">
        <f t="shared" si="1"/>
        <v>O</v>
      </c>
      <c r="E410" s="214" t="s">
        <v>72</v>
      </c>
      <c r="F410" s="215">
        <v>4.28700003E8</v>
      </c>
      <c r="G410" s="216">
        <v>4.28700003E8</v>
      </c>
      <c r="H410" s="218">
        <v>4178929.0</v>
      </c>
      <c r="I410" s="218">
        <f t="shared" si="5"/>
        <v>408</v>
      </c>
      <c r="J410" s="219" t="str">
        <f t="shared" si="2"/>
        <v>#N/A</v>
      </c>
      <c r="K410" s="219"/>
      <c r="L410" s="220"/>
      <c r="M410" s="220"/>
    </row>
    <row r="411">
      <c r="A411" s="139" t="s">
        <v>990</v>
      </c>
      <c r="B411" s="139" t="s">
        <v>991</v>
      </c>
      <c r="C411" s="139"/>
      <c r="D411" s="139" t="str">
        <f t="shared" si="1"/>
        <v>O</v>
      </c>
      <c r="E411" s="139" t="s">
        <v>54</v>
      </c>
      <c r="F411" s="141">
        <v>9.1637004E7</v>
      </c>
      <c r="G411" s="143">
        <v>9.1637004E7</v>
      </c>
      <c r="H411" s="144"/>
      <c r="I411" s="144">
        <f t="shared" si="5"/>
        <v>409</v>
      </c>
      <c r="J411" s="146" t="str">
        <f t="shared" si="2"/>
        <v>#N/A</v>
      </c>
      <c r="K411" s="146"/>
      <c r="L411" s="147"/>
      <c r="M411" s="147"/>
    </row>
    <row r="412">
      <c r="A412" s="342" t="s">
        <v>990</v>
      </c>
      <c r="B412" s="342" t="s">
        <v>990</v>
      </c>
      <c r="C412" s="325" t="s">
        <v>83</v>
      </c>
      <c r="D412" s="342" t="str">
        <f t="shared" si="1"/>
        <v>L</v>
      </c>
      <c r="E412" s="342" t="s">
        <v>34</v>
      </c>
      <c r="F412" s="141">
        <v>9.1637004E7</v>
      </c>
      <c r="G412" s="143">
        <v>9.1637004E7</v>
      </c>
      <c r="H412" s="398">
        <v>76685.0</v>
      </c>
      <c r="I412" s="144">
        <f t="shared" si="5"/>
        <v>410</v>
      </c>
      <c r="J412" s="146" t="str">
        <f t="shared" si="2"/>
        <v>#N/A</v>
      </c>
      <c r="K412" s="146"/>
      <c r="L412" s="147"/>
      <c r="M412" s="147"/>
    </row>
    <row r="413">
      <c r="A413" s="139" t="s">
        <v>990</v>
      </c>
      <c r="B413" s="139" t="s">
        <v>993</v>
      </c>
      <c r="C413" s="139"/>
      <c r="D413" s="139" t="str">
        <f t="shared" si="1"/>
        <v>O</v>
      </c>
      <c r="E413" s="139" t="s">
        <v>57</v>
      </c>
      <c r="F413" s="141">
        <v>9.1637004E7</v>
      </c>
      <c r="G413" s="143">
        <v>9.16370041E7</v>
      </c>
      <c r="H413" s="144"/>
      <c r="I413" s="144">
        <f t="shared" si="5"/>
        <v>411</v>
      </c>
      <c r="J413" s="146" t="str">
        <f t="shared" si="2"/>
        <v>#N/A</v>
      </c>
      <c r="K413" s="146"/>
      <c r="L413" s="147"/>
      <c r="M413" s="147"/>
    </row>
    <row r="414">
      <c r="A414" s="139" t="s">
        <v>990</v>
      </c>
      <c r="B414" s="139" t="s">
        <v>998</v>
      </c>
      <c r="C414" s="139"/>
      <c r="D414" s="139" t="str">
        <f t="shared" si="1"/>
        <v>O</v>
      </c>
      <c r="E414" s="139" t="s">
        <v>57</v>
      </c>
      <c r="F414" s="141">
        <v>9.1637004E7</v>
      </c>
      <c r="G414" s="143">
        <v>9.163700419999999E7</v>
      </c>
      <c r="H414" s="144"/>
      <c r="I414" s="144">
        <f t="shared" si="5"/>
        <v>412</v>
      </c>
      <c r="J414" s="146" t="str">
        <f t="shared" si="2"/>
        <v>#N/A</v>
      </c>
      <c r="K414" s="146"/>
      <c r="L414" s="147"/>
      <c r="M414" s="147"/>
    </row>
    <row r="415">
      <c r="A415" s="214" t="s">
        <v>1001</v>
      </c>
      <c r="B415" s="214" t="s">
        <v>1002</v>
      </c>
      <c r="C415" s="322" t="s">
        <v>83</v>
      </c>
      <c r="D415" s="214" t="str">
        <f t="shared" si="1"/>
        <v>O</v>
      </c>
      <c r="E415" s="214" t="s">
        <v>57</v>
      </c>
      <c r="F415" s="215">
        <v>7.18213001E8</v>
      </c>
      <c r="G415" s="216">
        <v>7.18213001E8</v>
      </c>
      <c r="H415" s="218">
        <v>3.7397549E7</v>
      </c>
      <c r="I415" s="218">
        <f t="shared" si="5"/>
        <v>413</v>
      </c>
      <c r="J415" s="219" t="str">
        <f t="shared" si="2"/>
        <v>#N/A</v>
      </c>
      <c r="K415" s="219"/>
      <c r="L415" s="220"/>
      <c r="M415" s="220"/>
    </row>
    <row r="416">
      <c r="A416" s="214" t="s">
        <v>1001</v>
      </c>
      <c r="B416" s="214" t="s">
        <v>1005</v>
      </c>
      <c r="C416" s="214"/>
      <c r="D416" s="214" t="str">
        <f t="shared" si="1"/>
        <v>O</v>
      </c>
      <c r="E416" s="214" t="s">
        <v>54</v>
      </c>
      <c r="F416" s="215" t="s">
        <v>1007</v>
      </c>
      <c r="G416" s="216" t="s">
        <v>1007</v>
      </c>
      <c r="H416" s="218"/>
      <c r="I416" s="218">
        <f t="shared" si="5"/>
        <v>414</v>
      </c>
      <c r="J416" s="219" t="str">
        <f t="shared" si="2"/>
        <v>#N/A</v>
      </c>
      <c r="K416" s="219"/>
      <c r="L416" s="220"/>
      <c r="M416" s="220"/>
    </row>
    <row r="417">
      <c r="A417" s="214" t="s">
        <v>1001</v>
      </c>
      <c r="B417" s="214" t="s">
        <v>1001</v>
      </c>
      <c r="C417" s="322" t="s">
        <v>83</v>
      </c>
      <c r="D417" s="214" t="str">
        <f t="shared" si="1"/>
        <v>L</v>
      </c>
      <c r="E417" s="214" t="s">
        <v>34</v>
      </c>
      <c r="F417" s="215" t="s">
        <v>1007</v>
      </c>
      <c r="G417" s="216" t="s">
        <v>1007</v>
      </c>
      <c r="H417" s="218">
        <v>3.7164973E7</v>
      </c>
      <c r="I417" s="218">
        <f t="shared" si="5"/>
        <v>415</v>
      </c>
      <c r="J417" s="219" t="str">
        <f t="shared" si="2"/>
        <v>#N/A</v>
      </c>
      <c r="K417" s="219"/>
      <c r="L417" s="220"/>
      <c r="M417" s="220"/>
    </row>
    <row r="418">
      <c r="A418" s="214" t="s">
        <v>1001</v>
      </c>
      <c r="B418" s="214" t="s">
        <v>1013</v>
      </c>
      <c r="C418" s="214"/>
      <c r="D418" s="214" t="str">
        <f t="shared" si="1"/>
        <v>O</v>
      </c>
      <c r="E418" s="214" t="s">
        <v>57</v>
      </c>
      <c r="F418" s="215" t="s">
        <v>1007</v>
      </c>
      <c r="G418" s="216" t="s">
        <v>1014</v>
      </c>
      <c r="H418" s="218"/>
      <c r="I418" s="218">
        <f t="shared" si="5"/>
        <v>416</v>
      </c>
      <c r="J418" s="219" t="str">
        <f t="shared" si="2"/>
        <v>#N/A</v>
      </c>
      <c r="K418" s="219"/>
      <c r="L418" s="220"/>
      <c r="M418" s="220"/>
    </row>
    <row r="419">
      <c r="A419" s="214" t="s">
        <v>1001</v>
      </c>
      <c r="B419" s="214" t="s">
        <v>1015</v>
      </c>
      <c r="C419" s="214"/>
      <c r="D419" s="214" t="str">
        <f t="shared" si="1"/>
        <v>O</v>
      </c>
      <c r="E419" s="214" t="s">
        <v>57</v>
      </c>
      <c r="F419" s="215" t="s">
        <v>1007</v>
      </c>
      <c r="G419" s="216" t="s">
        <v>1016</v>
      </c>
      <c r="H419" s="218"/>
      <c r="I419" s="218">
        <f t="shared" si="5"/>
        <v>417</v>
      </c>
      <c r="J419" s="219" t="str">
        <f t="shared" si="2"/>
        <v>#N/A</v>
      </c>
      <c r="K419" s="219"/>
      <c r="L419" s="220"/>
      <c r="M419" s="220"/>
    </row>
    <row r="420">
      <c r="A420" s="214" t="s">
        <v>1001</v>
      </c>
      <c r="B420" s="214" t="s">
        <v>1017</v>
      </c>
      <c r="C420" s="322"/>
      <c r="D420" s="214" t="str">
        <f t="shared" si="1"/>
        <v>O</v>
      </c>
      <c r="E420" s="214" t="s">
        <v>57</v>
      </c>
      <c r="F420" s="215" t="s">
        <v>1007</v>
      </c>
      <c r="G420" s="216" t="s">
        <v>1018</v>
      </c>
      <c r="H420" s="218"/>
      <c r="I420" s="218">
        <f t="shared" si="5"/>
        <v>418</v>
      </c>
      <c r="J420" s="219" t="str">
        <f t="shared" si="2"/>
        <v>#N/A</v>
      </c>
      <c r="K420" s="219"/>
      <c r="L420" s="220"/>
      <c r="M420" s="220"/>
    </row>
    <row r="421">
      <c r="A421" s="214" t="s">
        <v>1001</v>
      </c>
      <c r="B421" s="214" t="s">
        <v>1019</v>
      </c>
      <c r="C421" s="322"/>
      <c r="D421" s="214" t="str">
        <f t="shared" si="1"/>
        <v>O</v>
      </c>
      <c r="E421" s="214" t="s">
        <v>57</v>
      </c>
      <c r="F421" s="215" t="s">
        <v>1007</v>
      </c>
      <c r="G421" s="216" t="s">
        <v>1020</v>
      </c>
      <c r="H421" s="218"/>
      <c r="I421" s="218">
        <f t="shared" si="5"/>
        <v>419</v>
      </c>
      <c r="J421" s="219" t="str">
        <f t="shared" si="2"/>
        <v>#N/A</v>
      </c>
      <c r="K421" s="219"/>
      <c r="L421" s="220"/>
      <c r="M421" s="220"/>
    </row>
    <row r="422">
      <c r="A422" s="400" t="s">
        <v>1021</v>
      </c>
      <c r="B422" s="400" t="s">
        <v>1022</v>
      </c>
      <c r="C422" s="400"/>
      <c r="D422" s="400" t="str">
        <f t="shared" si="1"/>
        <v>O</v>
      </c>
      <c r="E422" s="400" t="s">
        <v>57</v>
      </c>
      <c r="F422" s="401">
        <v>3.7217002E7</v>
      </c>
      <c r="G422" s="402">
        <v>3.7217002E7</v>
      </c>
      <c r="H422" s="403"/>
      <c r="I422" s="403">
        <f t="shared" si="5"/>
        <v>420</v>
      </c>
      <c r="J422" s="404" t="str">
        <f t="shared" si="2"/>
        <v>#N/A</v>
      </c>
      <c r="K422" s="404"/>
      <c r="L422" s="405"/>
      <c r="M422" s="405"/>
    </row>
    <row r="423">
      <c r="A423" s="400" t="s">
        <v>1021</v>
      </c>
      <c r="B423" s="400" t="s">
        <v>1021</v>
      </c>
      <c r="C423" s="400"/>
      <c r="D423" s="400" t="str">
        <f t="shared" si="1"/>
        <v>L</v>
      </c>
      <c r="E423" s="400" t="s">
        <v>34</v>
      </c>
      <c r="F423" s="401">
        <v>8.71640001E8</v>
      </c>
      <c r="G423" s="402">
        <v>8.71640001E8</v>
      </c>
      <c r="H423" s="403">
        <v>321578.0</v>
      </c>
      <c r="I423" s="403">
        <f t="shared" si="5"/>
        <v>421</v>
      </c>
      <c r="J423" s="404" t="str">
        <f t="shared" si="2"/>
        <v>#N/A</v>
      </c>
      <c r="K423" s="404"/>
      <c r="L423" s="405"/>
      <c r="M423" s="405"/>
    </row>
    <row r="424">
      <c r="A424" s="400" t="s">
        <v>1021</v>
      </c>
      <c r="B424" s="400" t="s">
        <v>1032</v>
      </c>
      <c r="C424" s="400"/>
      <c r="D424" s="400" t="str">
        <f t="shared" si="1"/>
        <v>O</v>
      </c>
      <c r="E424" s="400" t="s">
        <v>57</v>
      </c>
      <c r="F424" s="401">
        <v>8.71640001E8</v>
      </c>
      <c r="G424" s="402">
        <v>8.716400011E8</v>
      </c>
      <c r="H424" s="403"/>
      <c r="I424" s="403">
        <f t="shared" si="5"/>
        <v>422</v>
      </c>
      <c r="J424" s="404" t="str">
        <f t="shared" si="2"/>
        <v>#N/A</v>
      </c>
      <c r="K424" s="404"/>
      <c r="L424" s="405"/>
      <c r="M424" s="405"/>
    </row>
    <row r="425">
      <c r="A425" s="400" t="s">
        <v>1021</v>
      </c>
      <c r="B425" s="400" t="s">
        <v>1035</v>
      </c>
      <c r="C425" s="400" t="s">
        <v>83</v>
      </c>
      <c r="D425" s="400" t="str">
        <f t="shared" si="1"/>
        <v>O</v>
      </c>
      <c r="E425" s="400" t="s">
        <v>57</v>
      </c>
      <c r="F425" s="401">
        <v>8.71640001E8</v>
      </c>
      <c r="G425" s="402">
        <v>8.716400012E8</v>
      </c>
      <c r="H425" s="406">
        <v>3656114.0</v>
      </c>
      <c r="I425" s="403">
        <f t="shared" si="5"/>
        <v>423</v>
      </c>
      <c r="J425" s="404" t="str">
        <f t="shared" si="2"/>
        <v>#N/A</v>
      </c>
      <c r="K425" s="404"/>
      <c r="L425" s="405"/>
      <c r="M425" s="405"/>
    </row>
    <row r="426">
      <c r="A426" s="139" t="s">
        <v>1039</v>
      </c>
      <c r="B426" s="139" t="s">
        <v>1039</v>
      </c>
      <c r="C426" s="325" t="s">
        <v>83</v>
      </c>
      <c r="D426" s="139" t="str">
        <f t="shared" si="1"/>
        <v>L</v>
      </c>
      <c r="E426" s="139" t="s">
        <v>34</v>
      </c>
      <c r="F426" s="141">
        <v>2.6889001E7</v>
      </c>
      <c r="G426" s="143">
        <v>2.6889001E7</v>
      </c>
      <c r="H426" s="144">
        <v>73001.0</v>
      </c>
      <c r="I426" s="144">
        <f t="shared" si="5"/>
        <v>424</v>
      </c>
      <c r="J426" s="146" t="str">
        <f t="shared" si="2"/>
        <v>#N/A</v>
      </c>
      <c r="K426" s="146"/>
      <c r="L426" s="147"/>
      <c r="M426" s="147"/>
    </row>
    <row r="427">
      <c r="A427" s="139" t="s">
        <v>1039</v>
      </c>
      <c r="B427" s="139" t="s">
        <v>1040</v>
      </c>
      <c r="C427" s="139"/>
      <c r="D427" s="139" t="str">
        <f t="shared" si="1"/>
        <v>O</v>
      </c>
      <c r="E427" s="139" t="s">
        <v>57</v>
      </c>
      <c r="F427" s="141">
        <v>2.6889001E7</v>
      </c>
      <c r="G427" s="143">
        <v>2.68890011E7</v>
      </c>
      <c r="H427" s="144"/>
      <c r="I427" s="144">
        <f t="shared" si="5"/>
        <v>425</v>
      </c>
      <c r="J427" s="146" t="str">
        <f t="shared" si="2"/>
        <v>#N/A</v>
      </c>
      <c r="K427" s="146"/>
      <c r="L427" s="147"/>
      <c r="M427" s="147"/>
    </row>
    <row r="428">
      <c r="A428" s="139" t="s">
        <v>1039</v>
      </c>
      <c r="B428" s="139" t="s">
        <v>1041</v>
      </c>
      <c r="C428" s="139"/>
      <c r="D428" s="139" t="str">
        <f t="shared" si="1"/>
        <v>O</v>
      </c>
      <c r="E428" s="139" t="s">
        <v>57</v>
      </c>
      <c r="F428" s="141">
        <v>7.02380008E8</v>
      </c>
      <c r="G428" s="143">
        <v>7.02380008E8</v>
      </c>
      <c r="H428" s="144"/>
      <c r="I428" s="144">
        <f t="shared" si="5"/>
        <v>426</v>
      </c>
      <c r="J428" s="146" t="str">
        <f t="shared" si="2"/>
        <v>#N/A</v>
      </c>
      <c r="K428" s="146"/>
      <c r="L428" s="147"/>
      <c r="M428" s="147"/>
    </row>
    <row r="429">
      <c r="A429" s="139" t="s">
        <v>1039</v>
      </c>
      <c r="B429" s="139" t="s">
        <v>1042</v>
      </c>
      <c r="C429" s="139"/>
      <c r="D429" s="139" t="str">
        <f t="shared" si="1"/>
        <v>O</v>
      </c>
      <c r="E429" s="407" t="s">
        <v>72</v>
      </c>
      <c r="F429" s="141">
        <v>7.02380008E8</v>
      </c>
      <c r="G429" s="143">
        <v>7.023800081E8</v>
      </c>
      <c r="H429" s="144">
        <v>4.5765443E7</v>
      </c>
      <c r="I429" s="144">
        <f t="shared" si="5"/>
        <v>427</v>
      </c>
      <c r="J429" s="146" t="str">
        <f t="shared" si="2"/>
        <v>#N/A</v>
      </c>
      <c r="K429" s="146"/>
      <c r="L429" s="147"/>
      <c r="M429" s="147"/>
    </row>
    <row r="430">
      <c r="A430" s="139" t="s">
        <v>1039</v>
      </c>
      <c r="B430" s="139" t="s">
        <v>1044</v>
      </c>
      <c r="C430" s="139"/>
      <c r="D430" s="139" t="str">
        <f t="shared" si="1"/>
        <v>O</v>
      </c>
      <c r="E430" s="407" t="s">
        <v>72</v>
      </c>
      <c r="F430" s="141">
        <v>7.15863001E8</v>
      </c>
      <c r="G430" s="143">
        <v>7.15863001E8</v>
      </c>
      <c r="H430" s="144">
        <v>3.7396156E7</v>
      </c>
      <c r="I430" s="144">
        <f t="shared" si="5"/>
        <v>428</v>
      </c>
      <c r="J430" s="146" t="str">
        <f t="shared" si="2"/>
        <v>#N/A</v>
      </c>
      <c r="K430" s="146"/>
      <c r="L430" s="147"/>
      <c r="M430" s="147"/>
    </row>
    <row r="431">
      <c r="A431" s="139" t="s">
        <v>1039</v>
      </c>
      <c r="B431" s="139" t="s">
        <v>1045</v>
      </c>
      <c r="C431" s="139"/>
      <c r="D431" s="139" t="str">
        <f t="shared" si="1"/>
        <v>O</v>
      </c>
      <c r="E431" s="407" t="s">
        <v>72</v>
      </c>
      <c r="F431" s="141">
        <v>7.22991004E8</v>
      </c>
      <c r="G431" s="143">
        <v>7.22991004E8</v>
      </c>
      <c r="H431" s="144">
        <v>3.6716807E7</v>
      </c>
      <c r="I431" s="144">
        <f t="shared" si="5"/>
        <v>429</v>
      </c>
      <c r="J431" s="146" t="str">
        <f t="shared" si="2"/>
        <v>#N/A</v>
      </c>
      <c r="K431" s="146"/>
      <c r="L431" s="147"/>
      <c r="M431" s="147"/>
    </row>
    <row r="432">
      <c r="A432" s="74" t="s">
        <v>1046</v>
      </c>
      <c r="B432" s="74" t="s">
        <v>1046</v>
      </c>
      <c r="C432" s="77" t="s">
        <v>22</v>
      </c>
      <c r="D432" s="74" t="str">
        <f t="shared" si="1"/>
        <v>L</v>
      </c>
      <c r="E432" s="74" t="s">
        <v>34</v>
      </c>
      <c r="F432" s="79" t="s">
        <v>1049</v>
      </c>
      <c r="G432" s="74" t="s">
        <v>1049</v>
      </c>
      <c r="H432" s="81">
        <v>4039691.0</v>
      </c>
      <c r="I432" s="81">
        <f t="shared" si="5"/>
        <v>430</v>
      </c>
      <c r="J432" s="82" t="str">
        <f t="shared" si="2"/>
        <v>#N/A</v>
      </c>
      <c r="K432" s="82"/>
      <c r="L432" s="83"/>
      <c r="M432" s="83"/>
    </row>
    <row r="433">
      <c r="A433" s="214" t="s">
        <v>1052</v>
      </c>
      <c r="B433" s="214" t="s">
        <v>1054</v>
      </c>
      <c r="C433" s="214"/>
      <c r="D433" s="214" t="str">
        <f t="shared" si="1"/>
        <v>O</v>
      </c>
      <c r="E433" s="214" t="s">
        <v>57</v>
      </c>
      <c r="F433" s="215">
        <v>3548001.0</v>
      </c>
      <c r="G433" s="216">
        <v>3548001.0</v>
      </c>
      <c r="H433" s="218"/>
      <c r="I433" s="218">
        <f t="shared" si="5"/>
        <v>431</v>
      </c>
      <c r="J433" s="219" t="str">
        <f t="shared" si="2"/>
        <v>#N/A</v>
      </c>
      <c r="K433" s="219"/>
      <c r="L433" s="220"/>
      <c r="M433" s="220"/>
    </row>
    <row r="434">
      <c r="A434" s="214" t="s">
        <v>1052</v>
      </c>
      <c r="B434" s="214" t="s">
        <v>1057</v>
      </c>
      <c r="C434" s="214"/>
      <c r="D434" s="214" t="str">
        <f t="shared" si="1"/>
        <v>O</v>
      </c>
      <c r="E434" s="214" t="s">
        <v>57</v>
      </c>
      <c r="F434" s="215">
        <v>3548001.0</v>
      </c>
      <c r="G434" s="216">
        <v>3548001.1</v>
      </c>
      <c r="H434" s="218"/>
      <c r="I434" s="218">
        <f t="shared" si="5"/>
        <v>432</v>
      </c>
      <c r="J434" s="219" t="str">
        <f t="shared" si="2"/>
        <v>#N/A</v>
      </c>
      <c r="K434" s="219"/>
      <c r="L434" s="220"/>
      <c r="M434" s="220"/>
    </row>
    <row r="435">
      <c r="A435" s="214" t="s">
        <v>1052</v>
      </c>
      <c r="B435" s="214" t="s">
        <v>1060</v>
      </c>
      <c r="C435" s="222" t="s">
        <v>83</v>
      </c>
      <c r="D435" s="214" t="str">
        <f t="shared" si="1"/>
        <v>O</v>
      </c>
      <c r="E435" s="214" t="s">
        <v>57</v>
      </c>
      <c r="F435" s="215">
        <v>3548001.0</v>
      </c>
      <c r="G435" s="216">
        <v>3548001.2</v>
      </c>
      <c r="H435" s="218">
        <v>377271.0</v>
      </c>
      <c r="I435" s="218">
        <f t="shared" si="5"/>
        <v>433</v>
      </c>
      <c r="J435" s="219" t="str">
        <f t="shared" si="2"/>
        <v>#N/A</v>
      </c>
      <c r="K435" s="219"/>
      <c r="L435" s="220"/>
      <c r="M435" s="220"/>
    </row>
    <row r="436">
      <c r="A436" s="214" t="s">
        <v>1052</v>
      </c>
      <c r="B436" s="214" t="s">
        <v>1065</v>
      </c>
      <c r="C436" s="214"/>
      <c r="D436" s="214" t="str">
        <f t="shared" si="1"/>
        <v>O</v>
      </c>
      <c r="E436" s="214" t="s">
        <v>57</v>
      </c>
      <c r="F436" s="215">
        <v>3548001.0</v>
      </c>
      <c r="G436" s="216">
        <v>3548001.3000000003</v>
      </c>
      <c r="H436" s="218"/>
      <c r="I436" s="218">
        <f t="shared" si="5"/>
        <v>434</v>
      </c>
      <c r="J436" s="219" t="str">
        <f t="shared" si="2"/>
        <v>#N/A</v>
      </c>
      <c r="K436" s="219"/>
      <c r="L436" s="220"/>
      <c r="M436" s="220"/>
    </row>
    <row r="437">
      <c r="A437" s="214" t="s">
        <v>1052</v>
      </c>
      <c r="B437" s="214" t="s">
        <v>1067</v>
      </c>
      <c r="C437" s="222" t="s">
        <v>83</v>
      </c>
      <c r="D437" s="214" t="str">
        <f t="shared" si="1"/>
        <v>O</v>
      </c>
      <c r="E437" s="214" t="s">
        <v>57</v>
      </c>
      <c r="F437" s="215">
        <v>3548001.0</v>
      </c>
      <c r="G437" s="216">
        <v>3548001.4</v>
      </c>
      <c r="H437" s="218">
        <v>378741.0</v>
      </c>
      <c r="I437" s="218">
        <f t="shared" si="5"/>
        <v>435</v>
      </c>
      <c r="J437" s="219" t="str">
        <f t="shared" si="2"/>
        <v>#N/A</v>
      </c>
      <c r="K437" s="219"/>
      <c r="L437" s="220"/>
      <c r="M437" s="220"/>
    </row>
    <row r="438">
      <c r="A438" s="214" t="s">
        <v>1052</v>
      </c>
      <c r="B438" s="214" t="s">
        <v>1068</v>
      </c>
      <c r="C438" s="214"/>
      <c r="D438" s="214" t="str">
        <f t="shared" si="1"/>
        <v>O</v>
      </c>
      <c r="E438" s="214" t="s">
        <v>57</v>
      </c>
      <c r="F438" s="215">
        <v>3548001.0</v>
      </c>
      <c r="G438" s="216">
        <v>3548001.5</v>
      </c>
      <c r="H438" s="218"/>
      <c r="I438" s="218">
        <f t="shared" si="5"/>
        <v>436</v>
      </c>
      <c r="J438" s="219" t="str">
        <f t="shared" si="2"/>
        <v>#N/A</v>
      </c>
      <c r="K438" s="219"/>
      <c r="L438" s="220"/>
      <c r="M438" s="220"/>
    </row>
    <row r="439">
      <c r="A439" s="214" t="s">
        <v>1052</v>
      </c>
      <c r="B439" s="214" t="s">
        <v>1069</v>
      </c>
      <c r="C439" s="214"/>
      <c r="D439" s="214" t="str">
        <f t="shared" si="1"/>
        <v>O</v>
      </c>
      <c r="E439" s="214" t="s">
        <v>57</v>
      </c>
      <c r="F439" s="215">
        <v>3548001.0</v>
      </c>
      <c r="G439" s="216">
        <v>3548001.6</v>
      </c>
      <c r="H439" s="218"/>
      <c r="I439" s="218">
        <f t="shared" si="5"/>
        <v>437</v>
      </c>
      <c r="J439" s="219" t="str">
        <f t="shared" si="2"/>
        <v>#N/A</v>
      </c>
      <c r="K439" s="219"/>
      <c r="L439" s="220"/>
      <c r="M439" s="220"/>
    </row>
    <row r="440">
      <c r="A440" s="214" t="s">
        <v>1052</v>
      </c>
      <c r="B440" s="214" t="s">
        <v>1070</v>
      </c>
      <c r="C440" s="214"/>
      <c r="D440" s="214" t="str">
        <f t="shared" si="1"/>
        <v>O</v>
      </c>
      <c r="E440" s="214" t="s">
        <v>57</v>
      </c>
      <c r="F440" s="215">
        <v>3548001.0</v>
      </c>
      <c r="G440" s="216">
        <v>3548001.7</v>
      </c>
      <c r="H440" s="218"/>
      <c r="I440" s="218">
        <f t="shared" si="5"/>
        <v>438</v>
      </c>
      <c r="J440" s="219" t="str">
        <f t="shared" si="2"/>
        <v>#N/A</v>
      </c>
      <c r="K440" s="219"/>
      <c r="L440" s="220"/>
      <c r="M440" s="220"/>
    </row>
    <row r="441">
      <c r="A441" s="214" t="s">
        <v>1052</v>
      </c>
      <c r="B441" s="214" t="s">
        <v>1071</v>
      </c>
      <c r="C441" s="214"/>
      <c r="D441" s="214" t="str">
        <f t="shared" si="1"/>
        <v>O</v>
      </c>
      <c r="E441" s="214" t="s">
        <v>57</v>
      </c>
      <c r="F441" s="215">
        <v>3548001.0</v>
      </c>
      <c r="G441" s="216">
        <v>3548001.8000000003</v>
      </c>
      <c r="H441" s="218"/>
      <c r="I441" s="218">
        <f t="shared" si="5"/>
        <v>439</v>
      </c>
      <c r="J441" s="219" t="str">
        <f t="shared" si="2"/>
        <v>#N/A</v>
      </c>
      <c r="K441" s="219"/>
      <c r="L441" s="220"/>
      <c r="M441" s="220"/>
    </row>
    <row r="442">
      <c r="A442" s="214" t="s">
        <v>1052</v>
      </c>
      <c r="B442" s="214" t="s">
        <v>1052</v>
      </c>
      <c r="C442" s="214"/>
      <c r="D442" s="214" t="str">
        <f t="shared" si="1"/>
        <v>L</v>
      </c>
      <c r="E442" s="214" t="s">
        <v>34</v>
      </c>
      <c r="F442" s="215" t="s">
        <v>1073</v>
      </c>
      <c r="G442" s="216" t="s">
        <v>1073</v>
      </c>
      <c r="H442" s="218">
        <v>377271.0</v>
      </c>
      <c r="I442" s="218">
        <f t="shared" si="5"/>
        <v>440</v>
      </c>
      <c r="J442" s="219" t="str">
        <f t="shared" si="2"/>
        <v>#N/A</v>
      </c>
      <c r="K442" s="219"/>
      <c r="L442" s="220"/>
      <c r="M442" s="220"/>
    </row>
    <row r="443">
      <c r="A443" s="214" t="s">
        <v>1052</v>
      </c>
      <c r="B443" s="214" t="s">
        <v>1074</v>
      </c>
      <c r="C443" s="214"/>
      <c r="D443" s="214" t="str">
        <f t="shared" si="1"/>
        <v>O</v>
      </c>
      <c r="E443" s="214" t="s">
        <v>57</v>
      </c>
      <c r="F443" s="215" t="s">
        <v>1073</v>
      </c>
      <c r="G443" s="216">
        <v>2.66090021E7</v>
      </c>
      <c r="H443" s="218"/>
      <c r="I443" s="218">
        <f t="shared" si="5"/>
        <v>441</v>
      </c>
      <c r="J443" s="219" t="str">
        <f t="shared" si="2"/>
        <v>#N/A</v>
      </c>
      <c r="K443" s="219"/>
      <c r="L443" s="220"/>
      <c r="M443" s="220"/>
    </row>
    <row r="444">
      <c r="A444" s="214" t="s">
        <v>1075</v>
      </c>
      <c r="B444" s="214" t="s">
        <v>1075</v>
      </c>
      <c r="C444" s="222" t="s">
        <v>83</v>
      </c>
      <c r="D444" s="214" t="str">
        <f t="shared" si="1"/>
        <v>L</v>
      </c>
      <c r="E444" s="214" t="s">
        <v>34</v>
      </c>
      <c r="F444" s="215">
        <v>2.5044007E7</v>
      </c>
      <c r="G444" s="216">
        <v>2.5044007E7</v>
      </c>
      <c r="H444" s="218">
        <v>380995.0</v>
      </c>
      <c r="I444" s="218">
        <f t="shared" si="5"/>
        <v>442</v>
      </c>
      <c r="J444" s="219" t="str">
        <f t="shared" si="2"/>
        <v>#N/A</v>
      </c>
      <c r="K444" s="219"/>
      <c r="L444" s="220"/>
      <c r="M444" s="220"/>
    </row>
    <row r="445">
      <c r="A445" s="214" t="s">
        <v>1075</v>
      </c>
      <c r="B445" s="214" t="s">
        <v>1078</v>
      </c>
      <c r="C445" s="214"/>
      <c r="D445" s="214" t="str">
        <f t="shared" si="1"/>
        <v>O</v>
      </c>
      <c r="E445" s="214" t="s">
        <v>54</v>
      </c>
      <c r="F445" s="215">
        <v>2.5044007E7</v>
      </c>
      <c r="G445" s="216">
        <v>2.5044007E7</v>
      </c>
      <c r="H445" s="218"/>
      <c r="I445" s="218">
        <f t="shared" si="5"/>
        <v>443</v>
      </c>
      <c r="J445" s="219" t="str">
        <f t="shared" si="2"/>
        <v>#N/A</v>
      </c>
      <c r="K445" s="219"/>
      <c r="L445" s="220"/>
      <c r="M445" s="220"/>
    </row>
    <row r="446">
      <c r="A446" s="214" t="s">
        <v>1075</v>
      </c>
      <c r="B446" s="214" t="s">
        <v>1082</v>
      </c>
      <c r="C446" s="214"/>
      <c r="D446" s="214" t="str">
        <f t="shared" si="1"/>
        <v>O</v>
      </c>
      <c r="E446" s="214" t="s">
        <v>54</v>
      </c>
      <c r="F446" s="215">
        <v>2.5044007E7</v>
      </c>
      <c r="G446" s="216">
        <v>2.5044007E7</v>
      </c>
      <c r="H446" s="218"/>
      <c r="I446" s="218">
        <f t="shared" si="5"/>
        <v>444</v>
      </c>
      <c r="J446" s="219" t="str">
        <f t="shared" si="2"/>
        <v>#N/A</v>
      </c>
      <c r="K446" s="219"/>
      <c r="L446" s="220"/>
      <c r="M446" s="220"/>
    </row>
    <row r="447">
      <c r="A447" s="214" t="s">
        <v>1075</v>
      </c>
      <c r="B447" s="214" t="s">
        <v>1086</v>
      </c>
      <c r="C447" s="222" t="s">
        <v>83</v>
      </c>
      <c r="D447" s="214" t="str">
        <f t="shared" si="1"/>
        <v>O</v>
      </c>
      <c r="E447" s="214" t="s">
        <v>57</v>
      </c>
      <c r="F447" s="215">
        <v>2.5044007E7</v>
      </c>
      <c r="G447" s="216">
        <v>2.50440071E7</v>
      </c>
      <c r="H447" s="218">
        <v>380995.0</v>
      </c>
      <c r="I447" s="218">
        <f t="shared" si="5"/>
        <v>445</v>
      </c>
      <c r="J447" s="219" t="str">
        <f t="shared" si="2"/>
        <v>#N/A</v>
      </c>
      <c r="K447" s="219"/>
      <c r="L447" s="220"/>
      <c r="M447" s="220"/>
    </row>
    <row r="448">
      <c r="A448" s="214" t="s">
        <v>1075</v>
      </c>
      <c r="B448" s="214" t="s">
        <v>1090</v>
      </c>
      <c r="C448" s="214"/>
      <c r="D448" s="214" t="str">
        <f t="shared" si="1"/>
        <v>O</v>
      </c>
      <c r="E448" s="214" t="s">
        <v>57</v>
      </c>
      <c r="F448" s="215">
        <v>2.5044007E7</v>
      </c>
      <c r="G448" s="216">
        <v>2.5044007200000003E7</v>
      </c>
      <c r="H448" s="218"/>
      <c r="I448" s="218">
        <f t="shared" si="5"/>
        <v>446</v>
      </c>
      <c r="J448" s="219" t="str">
        <f t="shared" si="2"/>
        <v>#N/A</v>
      </c>
      <c r="K448" s="219"/>
      <c r="L448" s="220"/>
      <c r="M448" s="220"/>
    </row>
    <row r="449">
      <c r="A449" s="214" t="s">
        <v>1075</v>
      </c>
      <c r="B449" s="214" t="s">
        <v>1094</v>
      </c>
      <c r="C449" s="214"/>
      <c r="D449" s="214" t="str">
        <f t="shared" si="1"/>
        <v>O</v>
      </c>
      <c r="E449" s="214" t="s">
        <v>57</v>
      </c>
      <c r="F449" s="215">
        <v>2.5044007E7</v>
      </c>
      <c r="G449" s="216">
        <v>2.50440073E7</v>
      </c>
      <c r="H449" s="218"/>
      <c r="I449" s="218">
        <f t="shared" si="5"/>
        <v>447</v>
      </c>
      <c r="J449" s="219" t="str">
        <f t="shared" si="2"/>
        <v>#N/A</v>
      </c>
      <c r="K449" s="219"/>
      <c r="L449" s="220"/>
      <c r="M449" s="220"/>
    </row>
    <row r="450">
      <c r="A450" s="214" t="s">
        <v>1075</v>
      </c>
      <c r="B450" s="214" t="s">
        <v>1095</v>
      </c>
      <c r="C450" s="214"/>
      <c r="D450" s="214" t="str">
        <f t="shared" si="1"/>
        <v>O</v>
      </c>
      <c r="E450" s="214" t="s">
        <v>57</v>
      </c>
      <c r="F450" s="215">
        <v>2.5044007E7</v>
      </c>
      <c r="G450" s="216">
        <v>2.5044007400000002E7</v>
      </c>
      <c r="H450" s="218"/>
      <c r="I450" s="218">
        <f t="shared" si="5"/>
        <v>448</v>
      </c>
      <c r="J450" s="219" t="str">
        <f t="shared" si="2"/>
        <v>#N/A</v>
      </c>
      <c r="K450" s="219"/>
      <c r="L450" s="220"/>
      <c r="M450" s="220"/>
    </row>
    <row r="451">
      <c r="A451" s="214" t="s">
        <v>1075</v>
      </c>
      <c r="B451" s="214" t="s">
        <v>1096</v>
      </c>
      <c r="C451" s="214"/>
      <c r="D451" s="214" t="str">
        <f t="shared" si="1"/>
        <v>O</v>
      </c>
      <c r="E451" s="214" t="s">
        <v>57</v>
      </c>
      <c r="F451" s="215">
        <v>2.5044007E7</v>
      </c>
      <c r="G451" s="216">
        <v>2.50440075E7</v>
      </c>
      <c r="H451" s="218"/>
      <c r="I451" s="218">
        <f t="shared" si="5"/>
        <v>449</v>
      </c>
      <c r="J451" s="219" t="str">
        <f t="shared" si="2"/>
        <v>#N/A</v>
      </c>
      <c r="K451" s="219"/>
      <c r="L451" s="220"/>
      <c r="M451" s="220"/>
    </row>
    <row r="452">
      <c r="A452" s="214" t="s">
        <v>1075</v>
      </c>
      <c r="B452" s="214" t="s">
        <v>1097</v>
      </c>
      <c r="C452" s="214"/>
      <c r="D452" s="214" t="str">
        <f t="shared" si="1"/>
        <v>O</v>
      </c>
      <c r="E452" s="214" t="s">
        <v>57</v>
      </c>
      <c r="F452" s="215">
        <v>2.5044007E7</v>
      </c>
      <c r="G452" s="216">
        <v>2.50440076E7</v>
      </c>
      <c r="H452" s="218"/>
      <c r="I452" s="218">
        <f t="shared" si="5"/>
        <v>450</v>
      </c>
      <c r="J452" s="219" t="str">
        <f t="shared" si="2"/>
        <v>#N/A</v>
      </c>
      <c r="K452" s="219"/>
      <c r="L452" s="220"/>
      <c r="M452" s="220"/>
    </row>
    <row r="453">
      <c r="A453" s="214" t="s">
        <v>1098</v>
      </c>
      <c r="B453" s="214" t="s">
        <v>1098</v>
      </c>
      <c r="C453" s="222" t="s">
        <v>83</v>
      </c>
      <c r="D453" s="214" t="str">
        <f t="shared" si="1"/>
        <v>L</v>
      </c>
      <c r="E453" s="214" t="s">
        <v>34</v>
      </c>
      <c r="F453" s="215" t="s">
        <v>1100</v>
      </c>
      <c r="G453" s="216" t="s">
        <v>1100</v>
      </c>
      <c r="H453" s="218">
        <v>4125693.0</v>
      </c>
      <c r="I453" s="218">
        <f t="shared" si="5"/>
        <v>451</v>
      </c>
      <c r="J453" s="219" t="str">
        <f t="shared" si="2"/>
        <v>#N/A</v>
      </c>
      <c r="K453" s="219"/>
      <c r="L453" s="220"/>
      <c r="M453" s="220"/>
    </row>
    <row r="454">
      <c r="A454" s="214" t="s">
        <v>1098</v>
      </c>
      <c r="B454" s="214" t="s">
        <v>1101</v>
      </c>
      <c r="C454" s="214"/>
      <c r="D454" s="214" t="str">
        <f t="shared" si="1"/>
        <v>O</v>
      </c>
      <c r="E454" s="214" t="s">
        <v>54</v>
      </c>
      <c r="F454" s="215" t="s">
        <v>1100</v>
      </c>
      <c r="G454" s="216" t="s">
        <v>1100</v>
      </c>
      <c r="H454" s="218"/>
      <c r="I454" s="218">
        <f t="shared" si="5"/>
        <v>452</v>
      </c>
      <c r="J454" s="219" t="str">
        <f t="shared" si="2"/>
        <v>#N/A</v>
      </c>
      <c r="K454" s="219"/>
      <c r="L454" s="220"/>
      <c r="M454" s="220"/>
    </row>
    <row r="455">
      <c r="A455" s="214" t="s">
        <v>1098</v>
      </c>
      <c r="B455" s="214" t="s">
        <v>1098</v>
      </c>
      <c r="C455" s="222" t="s">
        <v>83</v>
      </c>
      <c r="D455" s="214" t="str">
        <f t="shared" si="1"/>
        <v>O</v>
      </c>
      <c r="E455" s="214" t="s">
        <v>388</v>
      </c>
      <c r="F455" s="215" t="s">
        <v>1100</v>
      </c>
      <c r="G455" s="216">
        <v>3.057190021E8</v>
      </c>
      <c r="H455" s="218">
        <v>4.6272949E7</v>
      </c>
      <c r="I455" s="218">
        <f t="shared" si="5"/>
        <v>453</v>
      </c>
      <c r="J455" s="219" t="str">
        <f t="shared" si="2"/>
        <v>#N/A</v>
      </c>
      <c r="K455" s="219"/>
      <c r="L455" s="220"/>
      <c r="M455" s="220"/>
    </row>
    <row r="456">
      <c r="A456" s="214" t="s">
        <v>1098</v>
      </c>
      <c r="B456" s="214" t="s">
        <v>1105</v>
      </c>
      <c r="C456" s="214"/>
      <c r="D456" s="214" t="str">
        <f t="shared" si="1"/>
        <v>O</v>
      </c>
      <c r="E456" s="214" t="s">
        <v>57</v>
      </c>
      <c r="F456" s="215" t="s">
        <v>1100</v>
      </c>
      <c r="G456" s="216">
        <v>3.0571900220000005E8</v>
      </c>
      <c r="H456" s="218"/>
      <c r="I456" s="218">
        <f t="shared" si="5"/>
        <v>454</v>
      </c>
      <c r="J456" s="219" t="str">
        <f t="shared" si="2"/>
        <v>#N/A</v>
      </c>
      <c r="K456" s="219"/>
      <c r="L456" s="220"/>
      <c r="M456" s="220"/>
    </row>
    <row r="457">
      <c r="A457" s="214" t="s">
        <v>1098</v>
      </c>
      <c r="B457" s="214" t="s">
        <v>1108</v>
      </c>
      <c r="C457" s="222" t="s">
        <v>83</v>
      </c>
      <c r="D457" s="214" t="str">
        <f t="shared" si="1"/>
        <v>O</v>
      </c>
      <c r="E457" s="214" t="s">
        <v>57</v>
      </c>
      <c r="F457" s="215" t="s">
        <v>1100</v>
      </c>
      <c r="G457" s="216">
        <v>3.057190023E8</v>
      </c>
      <c r="H457" s="218">
        <v>4.6272949E7</v>
      </c>
      <c r="I457" s="218">
        <f t="shared" si="5"/>
        <v>455</v>
      </c>
      <c r="J457" s="219" t="str">
        <f t="shared" si="2"/>
        <v>#N/A</v>
      </c>
      <c r="K457" s="219"/>
      <c r="L457" s="220"/>
      <c r="M457" s="220"/>
    </row>
    <row r="458">
      <c r="A458" s="214" t="s">
        <v>1098</v>
      </c>
      <c r="B458" s="214" t="s">
        <v>1110</v>
      </c>
      <c r="C458" s="214"/>
      <c r="D458" s="214" t="str">
        <f t="shared" si="1"/>
        <v>O</v>
      </c>
      <c r="E458" s="214" t="s">
        <v>57</v>
      </c>
      <c r="F458" s="215" t="s">
        <v>1100</v>
      </c>
      <c r="G458" s="216">
        <v>3.0571900240000004E8</v>
      </c>
      <c r="H458" s="218"/>
      <c r="I458" s="218">
        <f t="shared" si="5"/>
        <v>456</v>
      </c>
      <c r="J458" s="219" t="str">
        <f t="shared" si="2"/>
        <v>#N/A</v>
      </c>
      <c r="K458" s="219"/>
      <c r="L458" s="220"/>
      <c r="M458" s="220"/>
    </row>
    <row r="459">
      <c r="A459" s="214" t="s">
        <v>1098</v>
      </c>
      <c r="B459" s="214" t="s">
        <v>1111</v>
      </c>
      <c r="C459" s="214"/>
      <c r="D459" s="214" t="str">
        <f t="shared" si="1"/>
        <v>O</v>
      </c>
      <c r="E459" s="214" t="s">
        <v>57</v>
      </c>
      <c r="F459" s="215" t="s">
        <v>1100</v>
      </c>
      <c r="G459" s="216">
        <v>3.057190025E8</v>
      </c>
      <c r="H459" s="218"/>
      <c r="I459" s="218">
        <f t="shared" si="5"/>
        <v>457</v>
      </c>
      <c r="J459" s="219" t="str">
        <f t="shared" si="2"/>
        <v>#N/A</v>
      </c>
      <c r="K459" s="219"/>
      <c r="L459" s="220"/>
      <c r="M459" s="220"/>
    </row>
    <row r="460">
      <c r="A460" s="214" t="s">
        <v>1098</v>
      </c>
      <c r="B460" s="214" t="s">
        <v>1115</v>
      </c>
      <c r="C460" s="214"/>
      <c r="D460" s="214" t="str">
        <f t="shared" si="1"/>
        <v>O</v>
      </c>
      <c r="E460" s="214" t="s">
        <v>57</v>
      </c>
      <c r="F460" s="215" t="s">
        <v>1100</v>
      </c>
      <c r="G460" s="216">
        <v>3.057190026E8</v>
      </c>
      <c r="H460" s="218"/>
      <c r="I460" s="218">
        <f t="shared" si="5"/>
        <v>458</v>
      </c>
      <c r="J460" s="219" t="str">
        <f t="shared" si="2"/>
        <v>#N/A</v>
      </c>
      <c r="K460" s="219"/>
      <c r="L460" s="220"/>
      <c r="M460" s="220"/>
    </row>
    <row r="461">
      <c r="A461" s="214" t="s">
        <v>1118</v>
      </c>
      <c r="B461" s="214" t="s">
        <v>1119</v>
      </c>
      <c r="C461" s="222" t="s">
        <v>83</v>
      </c>
      <c r="D461" s="214" t="str">
        <f t="shared" si="1"/>
        <v>O</v>
      </c>
      <c r="E461" s="214" t="s">
        <v>57</v>
      </c>
      <c r="F461" s="215">
        <v>2.76177E8</v>
      </c>
      <c r="G461" s="216">
        <v>2.76177E8</v>
      </c>
      <c r="H461" s="417">
        <v>4077943.0</v>
      </c>
      <c r="I461" s="218">
        <f t="shared" si="5"/>
        <v>459</v>
      </c>
      <c r="J461" s="219" t="str">
        <f t="shared" si="2"/>
        <v>#N/A</v>
      </c>
      <c r="K461" s="219"/>
      <c r="L461" s="220"/>
      <c r="M461" s="220"/>
    </row>
    <row r="462">
      <c r="A462" s="214" t="s">
        <v>1118</v>
      </c>
      <c r="B462" s="214" t="s">
        <v>1123</v>
      </c>
      <c r="C462" s="214"/>
      <c r="D462" s="214" t="str">
        <f t="shared" si="1"/>
        <v>O</v>
      </c>
      <c r="E462" s="214" t="s">
        <v>57</v>
      </c>
      <c r="F462" s="215" t="s">
        <v>1124</v>
      </c>
      <c r="G462" s="216" t="s">
        <v>1125</v>
      </c>
      <c r="H462" s="417"/>
      <c r="I462" s="218">
        <f t="shared" si="5"/>
        <v>460</v>
      </c>
      <c r="J462" s="219" t="str">
        <f t="shared" si="2"/>
        <v>#N/A</v>
      </c>
      <c r="K462" s="219"/>
      <c r="L462" s="220"/>
      <c r="M462" s="220"/>
    </row>
    <row r="463">
      <c r="A463" s="214" t="s">
        <v>1118</v>
      </c>
      <c r="B463" s="214" t="s">
        <v>1126</v>
      </c>
      <c r="C463" s="222" t="s">
        <v>83</v>
      </c>
      <c r="D463" s="214" t="str">
        <f t="shared" si="1"/>
        <v>O</v>
      </c>
      <c r="E463" s="214" t="s">
        <v>57</v>
      </c>
      <c r="F463" s="215" t="s">
        <v>1124</v>
      </c>
      <c r="G463" s="216" t="s">
        <v>1127</v>
      </c>
      <c r="H463" s="417"/>
      <c r="I463" s="218">
        <f t="shared" si="5"/>
        <v>461</v>
      </c>
      <c r="J463" s="219" t="str">
        <f t="shared" si="2"/>
        <v>#N/A</v>
      </c>
      <c r="K463" s="219"/>
      <c r="L463" s="220"/>
      <c r="M463" s="220"/>
    </row>
    <row r="464">
      <c r="A464" s="214" t="s">
        <v>1118</v>
      </c>
      <c r="B464" s="214" t="s">
        <v>1128</v>
      </c>
      <c r="C464" s="214"/>
      <c r="D464" s="214" t="str">
        <f t="shared" si="1"/>
        <v>O</v>
      </c>
      <c r="E464" s="214" t="s">
        <v>57</v>
      </c>
      <c r="F464" s="215" t="s">
        <v>1124</v>
      </c>
      <c r="G464" s="216" t="s">
        <v>1129</v>
      </c>
      <c r="H464" s="417"/>
      <c r="I464" s="218">
        <f t="shared" si="5"/>
        <v>462</v>
      </c>
      <c r="J464" s="219" t="str">
        <f t="shared" si="2"/>
        <v>#N/A</v>
      </c>
      <c r="K464" s="219"/>
      <c r="L464" s="220"/>
      <c r="M464" s="220"/>
    </row>
    <row r="465">
      <c r="A465" s="214" t="s">
        <v>1118</v>
      </c>
      <c r="B465" s="214" t="s">
        <v>1130</v>
      </c>
      <c r="C465" s="214"/>
      <c r="D465" s="214" t="str">
        <f t="shared" si="1"/>
        <v>O</v>
      </c>
      <c r="E465" s="214" t="s">
        <v>57</v>
      </c>
      <c r="F465" s="215" t="s">
        <v>1124</v>
      </c>
      <c r="G465" s="216" t="s">
        <v>1131</v>
      </c>
      <c r="H465" s="417"/>
      <c r="I465" s="218">
        <f t="shared" si="5"/>
        <v>463</v>
      </c>
      <c r="J465" s="219" t="str">
        <f t="shared" si="2"/>
        <v>#N/A</v>
      </c>
      <c r="K465" s="219"/>
      <c r="L465" s="220"/>
      <c r="M465" s="220"/>
    </row>
    <row r="466">
      <c r="A466" s="214" t="s">
        <v>1118</v>
      </c>
      <c r="B466" s="214" t="s">
        <v>1118</v>
      </c>
      <c r="C466" s="214"/>
      <c r="D466" s="214" t="str">
        <f t="shared" si="1"/>
        <v>L</v>
      </c>
      <c r="E466" s="214" t="s">
        <v>34</v>
      </c>
      <c r="F466" s="215" t="s">
        <v>1124</v>
      </c>
      <c r="G466" s="216" t="s">
        <v>1124</v>
      </c>
      <c r="H466" s="417">
        <v>4.5757069E7</v>
      </c>
      <c r="I466" s="218">
        <f t="shared" si="5"/>
        <v>464</v>
      </c>
      <c r="J466" s="219" t="str">
        <f t="shared" si="2"/>
        <v>#N/A</v>
      </c>
      <c r="K466" s="219"/>
      <c r="L466" s="220"/>
      <c r="M466" s="220"/>
    </row>
    <row r="467">
      <c r="A467" s="214" t="s">
        <v>1118</v>
      </c>
      <c r="B467" s="214" t="s">
        <v>1133</v>
      </c>
      <c r="C467" s="214"/>
      <c r="D467" s="214" t="str">
        <f t="shared" si="1"/>
        <v>O</v>
      </c>
      <c r="E467" s="214" t="s">
        <v>57</v>
      </c>
      <c r="F467" s="215" t="s">
        <v>1124</v>
      </c>
      <c r="G467" s="216" t="s">
        <v>1134</v>
      </c>
      <c r="H467" s="417"/>
      <c r="I467" s="218">
        <f t="shared" si="5"/>
        <v>465</v>
      </c>
      <c r="J467" s="219" t="str">
        <f t="shared" si="2"/>
        <v>#N/A</v>
      </c>
      <c r="K467" s="219"/>
      <c r="L467" s="220"/>
      <c r="M467" s="220"/>
    </row>
    <row r="468">
      <c r="A468" s="214" t="s">
        <v>1135</v>
      </c>
      <c r="B468" s="214" t="s">
        <v>1136</v>
      </c>
      <c r="C468" s="214"/>
      <c r="D468" s="214" t="str">
        <f t="shared" si="1"/>
        <v>O</v>
      </c>
      <c r="E468" s="214" t="s">
        <v>54</v>
      </c>
      <c r="F468" s="215">
        <v>2.3035E8</v>
      </c>
      <c r="G468" s="216">
        <v>2.3035E8</v>
      </c>
      <c r="H468" s="218"/>
      <c r="I468" s="218">
        <f t="shared" si="5"/>
        <v>466</v>
      </c>
      <c r="J468" s="219" t="str">
        <f t="shared" si="2"/>
        <v>#N/A</v>
      </c>
      <c r="K468" s="219"/>
      <c r="L468" s="220"/>
      <c r="M468" s="220"/>
    </row>
    <row r="469">
      <c r="A469" s="214" t="s">
        <v>1135</v>
      </c>
      <c r="B469" s="214" t="s">
        <v>1135</v>
      </c>
      <c r="C469" s="222" t="s">
        <v>83</v>
      </c>
      <c r="D469" s="214" t="str">
        <f t="shared" si="1"/>
        <v>L</v>
      </c>
      <c r="E469" s="214" t="s">
        <v>34</v>
      </c>
      <c r="F469" s="215">
        <v>2.3035E8</v>
      </c>
      <c r="G469" s="216">
        <v>2.3035E8</v>
      </c>
      <c r="H469" s="218">
        <v>4043399.0</v>
      </c>
      <c r="I469" s="218">
        <f t="shared" si="5"/>
        <v>467</v>
      </c>
      <c r="J469" s="219" t="str">
        <f t="shared" si="2"/>
        <v>#N/A</v>
      </c>
      <c r="K469" s="219"/>
      <c r="L469" s="220"/>
      <c r="M469" s="220"/>
    </row>
    <row r="470">
      <c r="A470" s="214" t="s">
        <v>1135</v>
      </c>
      <c r="B470" s="214" t="s">
        <v>1137</v>
      </c>
      <c r="C470" s="214"/>
      <c r="D470" s="214" t="str">
        <f t="shared" si="1"/>
        <v>O</v>
      </c>
      <c r="E470" s="214" t="s">
        <v>57</v>
      </c>
      <c r="F470" s="215">
        <v>2.3035E8</v>
      </c>
      <c r="G470" s="216">
        <v>2.303500001E8</v>
      </c>
      <c r="H470" s="218"/>
      <c r="I470" s="218">
        <f t="shared" si="5"/>
        <v>468</v>
      </c>
      <c r="J470" s="219" t="str">
        <f t="shared" si="2"/>
        <v>#N/A</v>
      </c>
      <c r="K470" s="219"/>
      <c r="L470" s="220"/>
      <c r="M470" s="220"/>
    </row>
    <row r="471">
      <c r="A471" s="214" t="s">
        <v>1135</v>
      </c>
      <c r="B471" s="214" t="s">
        <v>1138</v>
      </c>
      <c r="C471" s="214"/>
      <c r="D471" s="214" t="str">
        <f t="shared" si="1"/>
        <v>O</v>
      </c>
      <c r="E471" s="214" t="s">
        <v>57</v>
      </c>
      <c r="F471" s="215">
        <v>2.3035E8</v>
      </c>
      <c r="G471" s="216">
        <v>2.303500002E8</v>
      </c>
      <c r="H471" s="218"/>
      <c r="I471" s="218">
        <f t="shared" si="5"/>
        <v>469</v>
      </c>
      <c r="J471" s="219" t="str">
        <f t="shared" si="2"/>
        <v>#N/A</v>
      </c>
      <c r="K471" s="219"/>
      <c r="L471" s="220"/>
      <c r="M471" s="220"/>
    </row>
    <row r="472">
      <c r="A472" s="214" t="s">
        <v>1135</v>
      </c>
      <c r="B472" s="214" t="s">
        <v>1141</v>
      </c>
      <c r="C472" s="214"/>
      <c r="D472" s="214" t="str">
        <f t="shared" si="1"/>
        <v>O</v>
      </c>
      <c r="E472" s="214" t="s">
        <v>57</v>
      </c>
      <c r="F472" s="215">
        <v>2.3035E8</v>
      </c>
      <c r="G472" s="216">
        <v>2.3035000029999998E8</v>
      </c>
      <c r="H472" s="218"/>
      <c r="I472" s="218">
        <f t="shared" si="5"/>
        <v>470</v>
      </c>
      <c r="J472" s="219" t="str">
        <f t="shared" si="2"/>
        <v>#N/A</v>
      </c>
      <c r="K472" s="219"/>
      <c r="L472" s="220"/>
      <c r="M472" s="220"/>
    </row>
    <row r="473">
      <c r="A473" s="214" t="s">
        <v>1135</v>
      </c>
      <c r="B473" s="214" t="s">
        <v>1143</v>
      </c>
      <c r="C473" s="214"/>
      <c r="D473" s="214" t="str">
        <f t="shared" si="1"/>
        <v>O</v>
      </c>
      <c r="E473" s="214" t="s">
        <v>57</v>
      </c>
      <c r="F473" s="215">
        <v>2.3035E8</v>
      </c>
      <c r="G473" s="216">
        <v>2.303500004E8</v>
      </c>
      <c r="H473" s="218"/>
      <c r="I473" s="218">
        <f t="shared" si="5"/>
        <v>471</v>
      </c>
      <c r="J473" s="219" t="str">
        <f t="shared" si="2"/>
        <v>#N/A</v>
      </c>
      <c r="K473" s="219"/>
      <c r="L473" s="220"/>
      <c r="M473" s="220"/>
    </row>
    <row r="474">
      <c r="A474" s="214" t="s">
        <v>1135</v>
      </c>
      <c r="B474" s="214" t="s">
        <v>1145</v>
      </c>
      <c r="C474" s="214"/>
      <c r="D474" s="214" t="str">
        <f t="shared" si="1"/>
        <v>O</v>
      </c>
      <c r="E474" s="214" t="s">
        <v>57</v>
      </c>
      <c r="F474" s="215">
        <v>2.3035E8</v>
      </c>
      <c r="G474" s="216">
        <v>2.303500005E8</v>
      </c>
      <c r="H474" s="218"/>
      <c r="I474" s="218">
        <f t="shared" si="5"/>
        <v>472</v>
      </c>
      <c r="J474" s="219" t="str">
        <f t="shared" si="2"/>
        <v>#N/A</v>
      </c>
      <c r="K474" s="219"/>
      <c r="L474" s="220"/>
      <c r="M474" s="220"/>
    </row>
    <row r="475">
      <c r="A475" s="214" t="s">
        <v>1135</v>
      </c>
      <c r="B475" s="214" t="s">
        <v>1148</v>
      </c>
      <c r="C475" s="214"/>
      <c r="D475" s="214" t="str">
        <f t="shared" si="1"/>
        <v>O</v>
      </c>
      <c r="E475" s="214" t="s">
        <v>57</v>
      </c>
      <c r="F475" s="215">
        <v>2.3035E8</v>
      </c>
      <c r="G475" s="216">
        <v>2.303500006E8</v>
      </c>
      <c r="H475" s="218"/>
      <c r="I475" s="218">
        <f t="shared" si="5"/>
        <v>473</v>
      </c>
      <c r="J475" s="219" t="str">
        <f t="shared" si="2"/>
        <v>#N/A</v>
      </c>
      <c r="K475" s="219"/>
      <c r="L475" s="220"/>
      <c r="M475" s="220"/>
    </row>
    <row r="476">
      <c r="A476" s="214" t="s">
        <v>1135</v>
      </c>
      <c r="B476" s="214" t="s">
        <v>1151</v>
      </c>
      <c r="C476" s="214"/>
      <c r="D476" s="214" t="str">
        <f t="shared" si="1"/>
        <v>O</v>
      </c>
      <c r="E476" s="214" t="s">
        <v>57</v>
      </c>
      <c r="F476" s="215">
        <v>2.3035E8</v>
      </c>
      <c r="G476" s="216">
        <v>2.303500007E8</v>
      </c>
      <c r="H476" s="218"/>
      <c r="I476" s="218">
        <f t="shared" si="5"/>
        <v>474</v>
      </c>
      <c r="J476" s="219" t="str">
        <f t="shared" si="2"/>
        <v>#N/A</v>
      </c>
      <c r="K476" s="219"/>
      <c r="L476" s="220"/>
      <c r="M476" s="220"/>
    </row>
    <row r="477">
      <c r="A477" s="214" t="s">
        <v>1135</v>
      </c>
      <c r="B477" s="214" t="s">
        <v>1154</v>
      </c>
      <c r="C477" s="214"/>
      <c r="D477" s="214" t="str">
        <f t="shared" si="1"/>
        <v>O</v>
      </c>
      <c r="E477" s="214" t="s">
        <v>57</v>
      </c>
      <c r="F477" s="215">
        <v>2.3035E8</v>
      </c>
      <c r="G477" s="216">
        <v>2.3035000079999998E8</v>
      </c>
      <c r="H477" s="218"/>
      <c r="I477" s="218">
        <f t="shared" si="5"/>
        <v>475</v>
      </c>
      <c r="J477" s="219" t="str">
        <f t="shared" si="2"/>
        <v>#N/A</v>
      </c>
      <c r="K477" s="219"/>
      <c r="L477" s="220"/>
      <c r="M477" s="220"/>
    </row>
    <row r="478">
      <c r="A478" s="214" t="s">
        <v>1135</v>
      </c>
      <c r="B478" s="214" t="s">
        <v>1156</v>
      </c>
      <c r="C478" s="214"/>
      <c r="D478" s="214" t="str">
        <f t="shared" si="1"/>
        <v>O</v>
      </c>
      <c r="E478" s="214" t="s">
        <v>57</v>
      </c>
      <c r="F478" s="215">
        <v>2.3035E8</v>
      </c>
      <c r="G478" s="216">
        <v>2.303500009E8</v>
      </c>
      <c r="H478" s="218"/>
      <c r="I478" s="218">
        <f t="shared" si="5"/>
        <v>476</v>
      </c>
      <c r="J478" s="219" t="str">
        <f t="shared" si="2"/>
        <v>#N/A</v>
      </c>
      <c r="K478" s="219"/>
      <c r="L478" s="220"/>
      <c r="M478" s="220"/>
    </row>
    <row r="479">
      <c r="A479" s="214" t="s">
        <v>1135</v>
      </c>
      <c r="B479" s="214" t="s">
        <v>1159</v>
      </c>
      <c r="C479" s="214"/>
      <c r="D479" s="214" t="str">
        <f t="shared" si="1"/>
        <v>O</v>
      </c>
      <c r="E479" s="214" t="s">
        <v>57</v>
      </c>
      <c r="F479" s="215">
        <v>2.3035E8</v>
      </c>
      <c r="G479" s="216">
        <v>2.30350001E8</v>
      </c>
      <c r="H479" s="218"/>
      <c r="I479" s="218">
        <f t="shared" si="5"/>
        <v>477</v>
      </c>
      <c r="J479" s="219" t="str">
        <f t="shared" si="2"/>
        <v>#N/A</v>
      </c>
      <c r="K479" s="219"/>
      <c r="L479" s="220"/>
      <c r="M479" s="220"/>
    </row>
    <row r="480">
      <c r="A480" s="139" t="s">
        <v>1160</v>
      </c>
      <c r="B480" s="139" t="s">
        <v>1160</v>
      </c>
      <c r="C480" s="139" t="s">
        <v>83</v>
      </c>
      <c r="D480" s="139" t="str">
        <f t="shared" si="1"/>
        <v>L</v>
      </c>
      <c r="E480" s="139" t="s">
        <v>34</v>
      </c>
      <c r="F480" s="141">
        <v>5.0442003E7</v>
      </c>
      <c r="G480" s="143">
        <v>5.0442003E7</v>
      </c>
      <c r="H480" s="144">
        <v>76196.0</v>
      </c>
      <c r="I480" s="144">
        <f t="shared" si="5"/>
        <v>478</v>
      </c>
      <c r="J480" s="146" t="str">
        <f t="shared" si="2"/>
        <v>#N/A</v>
      </c>
      <c r="K480" s="146"/>
      <c r="L480" s="147"/>
      <c r="M480" s="147"/>
    </row>
    <row r="481">
      <c r="A481" s="139" t="s">
        <v>1160</v>
      </c>
      <c r="B481" s="139" t="s">
        <v>1161</v>
      </c>
      <c r="C481" s="139" t="s">
        <v>83</v>
      </c>
      <c r="D481" s="139" t="str">
        <f t="shared" si="1"/>
        <v>O</v>
      </c>
      <c r="E481" s="139" t="s">
        <v>57</v>
      </c>
      <c r="F481" s="141">
        <v>5.0442003E7</v>
      </c>
      <c r="G481" s="143">
        <v>5.04420031E7</v>
      </c>
      <c r="H481" s="144">
        <v>76196.0</v>
      </c>
      <c r="I481" s="144">
        <f t="shared" si="5"/>
        <v>479</v>
      </c>
      <c r="J481" s="146" t="str">
        <f t="shared" si="2"/>
        <v>#N/A</v>
      </c>
      <c r="K481" s="146"/>
      <c r="L481" s="147"/>
      <c r="M481" s="147"/>
    </row>
    <row r="482">
      <c r="A482" s="139" t="s">
        <v>1160</v>
      </c>
      <c r="B482" s="139" t="s">
        <v>1162</v>
      </c>
      <c r="C482" s="139"/>
      <c r="D482" s="139" t="str">
        <f t="shared" si="1"/>
        <v>O</v>
      </c>
      <c r="E482" s="139" t="s">
        <v>57</v>
      </c>
      <c r="F482" s="141">
        <v>5.0442003E7</v>
      </c>
      <c r="G482" s="143">
        <v>5.04420032E7</v>
      </c>
      <c r="H482" s="144"/>
      <c r="I482" s="144">
        <f t="shared" si="5"/>
        <v>480</v>
      </c>
      <c r="J482" s="146" t="str">
        <f t="shared" si="2"/>
        <v>#N/A</v>
      </c>
      <c r="K482" s="146"/>
      <c r="L482" s="147"/>
      <c r="M482" s="147"/>
    </row>
    <row r="483">
      <c r="A483" s="139" t="s">
        <v>1160</v>
      </c>
      <c r="B483" s="139" t="s">
        <v>1163</v>
      </c>
      <c r="C483" s="139"/>
      <c r="D483" s="139" t="str">
        <f t="shared" si="1"/>
        <v>O</v>
      </c>
      <c r="E483" s="139" t="s">
        <v>57</v>
      </c>
      <c r="F483" s="141">
        <v>5.0442003E7</v>
      </c>
      <c r="G483" s="143">
        <v>5.0442003300000004E7</v>
      </c>
      <c r="H483" s="144"/>
      <c r="I483" s="144">
        <f t="shared" si="5"/>
        <v>481</v>
      </c>
      <c r="J483" s="146" t="str">
        <f t="shared" si="2"/>
        <v>#N/A</v>
      </c>
      <c r="K483" s="146"/>
      <c r="L483" s="147"/>
      <c r="M483" s="147"/>
    </row>
    <row r="484">
      <c r="A484" s="214" t="s">
        <v>1165</v>
      </c>
      <c r="B484" s="214" t="s">
        <v>1165</v>
      </c>
      <c r="C484" s="222" t="s">
        <v>83</v>
      </c>
      <c r="D484" s="214" t="str">
        <f t="shared" si="1"/>
        <v>L</v>
      </c>
      <c r="E484" s="214" t="s">
        <v>34</v>
      </c>
      <c r="F484" s="215">
        <v>1.92877007E8</v>
      </c>
      <c r="G484" s="216">
        <v>1.92877007E8</v>
      </c>
      <c r="H484" s="218">
        <v>4102330.0</v>
      </c>
      <c r="I484" s="218">
        <f t="shared" si="5"/>
        <v>482</v>
      </c>
      <c r="J484" s="219" t="str">
        <f t="shared" si="2"/>
        <v>#N/A</v>
      </c>
      <c r="K484" s="219"/>
      <c r="L484" s="220"/>
      <c r="M484" s="220"/>
    </row>
    <row r="485">
      <c r="A485" s="214" t="s">
        <v>1165</v>
      </c>
      <c r="B485" s="214" t="s">
        <v>1166</v>
      </c>
      <c r="C485" s="214"/>
      <c r="D485" s="214" t="str">
        <f t="shared" si="1"/>
        <v>O</v>
      </c>
      <c r="E485" s="214" t="s">
        <v>54</v>
      </c>
      <c r="F485" s="215">
        <v>1.92877007E8</v>
      </c>
      <c r="G485" s="216">
        <v>1.92877007E8</v>
      </c>
      <c r="H485" s="218"/>
      <c r="I485" s="218">
        <f t="shared" si="5"/>
        <v>483</v>
      </c>
      <c r="J485" s="219" t="str">
        <f t="shared" si="2"/>
        <v>#N/A</v>
      </c>
      <c r="K485" s="219"/>
      <c r="L485" s="220"/>
      <c r="M485" s="220"/>
    </row>
    <row r="486">
      <c r="A486" s="214" t="s">
        <v>1165</v>
      </c>
      <c r="B486" s="214" t="s">
        <v>1167</v>
      </c>
      <c r="C486" s="214"/>
      <c r="D486" s="214" t="str">
        <f t="shared" si="1"/>
        <v>O</v>
      </c>
      <c r="E486" s="214" t="s">
        <v>54</v>
      </c>
      <c r="F486" s="215">
        <v>1.92877007E8</v>
      </c>
      <c r="G486" s="216">
        <v>1.92877007E8</v>
      </c>
      <c r="H486" s="218"/>
      <c r="I486" s="218">
        <f t="shared" si="5"/>
        <v>484</v>
      </c>
      <c r="J486" s="219" t="str">
        <f t="shared" si="2"/>
        <v>#N/A</v>
      </c>
      <c r="K486" s="219"/>
      <c r="L486" s="220"/>
      <c r="M486" s="220"/>
    </row>
    <row r="487">
      <c r="A487" s="214" t="s">
        <v>1165</v>
      </c>
      <c r="B487" s="214" t="s">
        <v>1168</v>
      </c>
      <c r="C487" s="214"/>
      <c r="D487" s="214" t="str">
        <f t="shared" si="1"/>
        <v>O</v>
      </c>
      <c r="E487" s="214" t="s">
        <v>54</v>
      </c>
      <c r="F487" s="215">
        <v>1.92877007E8</v>
      </c>
      <c r="G487" s="216">
        <v>1.92877007E8</v>
      </c>
      <c r="H487" s="218"/>
      <c r="I487" s="218">
        <f t="shared" si="5"/>
        <v>485</v>
      </c>
      <c r="J487" s="219" t="str">
        <f t="shared" si="2"/>
        <v>#N/A</v>
      </c>
      <c r="K487" s="219"/>
      <c r="L487" s="220"/>
      <c r="M487" s="220"/>
    </row>
    <row r="488">
      <c r="A488" s="214" t="s">
        <v>1165</v>
      </c>
      <c r="B488" s="214" t="s">
        <v>1172</v>
      </c>
      <c r="C488" s="214"/>
      <c r="D488" s="214" t="str">
        <f t="shared" si="1"/>
        <v>O</v>
      </c>
      <c r="E488" s="214" t="s">
        <v>57</v>
      </c>
      <c r="F488" s="215">
        <v>1.92877007E8</v>
      </c>
      <c r="G488" s="216">
        <v>1.928770071E8</v>
      </c>
      <c r="H488" s="218"/>
      <c r="I488" s="218">
        <f t="shared" si="5"/>
        <v>486</v>
      </c>
      <c r="J488" s="219" t="str">
        <f t="shared" si="2"/>
        <v>#N/A</v>
      </c>
      <c r="K488" s="219"/>
      <c r="L488" s="220"/>
      <c r="M488" s="220"/>
    </row>
    <row r="489">
      <c r="A489" s="214" t="s">
        <v>1165</v>
      </c>
      <c r="B489" s="214" t="s">
        <v>1175</v>
      </c>
      <c r="C489" s="214"/>
      <c r="D489" s="214" t="str">
        <f t="shared" si="1"/>
        <v>O</v>
      </c>
      <c r="E489" s="214" t="s">
        <v>57</v>
      </c>
      <c r="F489" s="215">
        <v>1.92877007E8</v>
      </c>
      <c r="G489" s="216">
        <v>1.928770072E8</v>
      </c>
      <c r="H489" s="218"/>
      <c r="I489" s="218">
        <f t="shared" si="5"/>
        <v>487</v>
      </c>
      <c r="J489" s="219" t="str">
        <f t="shared" si="2"/>
        <v>#N/A</v>
      </c>
      <c r="K489" s="219"/>
      <c r="L489" s="220"/>
      <c r="M489" s="220"/>
    </row>
    <row r="490">
      <c r="A490" s="214" t="s">
        <v>1165</v>
      </c>
      <c r="B490" s="214" t="s">
        <v>1179</v>
      </c>
      <c r="C490" s="214"/>
      <c r="D490" s="214" t="str">
        <f t="shared" si="1"/>
        <v>O</v>
      </c>
      <c r="E490" s="214" t="s">
        <v>57</v>
      </c>
      <c r="F490" s="215">
        <v>1.92877007E8</v>
      </c>
      <c r="G490" s="216">
        <v>1.9287700729999998E8</v>
      </c>
      <c r="H490" s="218"/>
      <c r="I490" s="218">
        <f t="shared" si="5"/>
        <v>488</v>
      </c>
      <c r="J490" s="219" t="str">
        <f t="shared" si="2"/>
        <v>#N/A</v>
      </c>
      <c r="K490" s="219"/>
      <c r="L490" s="220"/>
      <c r="M490" s="220"/>
    </row>
    <row r="491">
      <c r="A491" s="50" t="s">
        <v>1184</v>
      </c>
      <c r="B491" s="50" t="s">
        <v>1184</v>
      </c>
      <c r="C491" s="329" t="s">
        <v>83</v>
      </c>
      <c r="D491" s="50" t="str">
        <f t="shared" si="1"/>
        <v>O</v>
      </c>
      <c r="E491" s="50" t="s">
        <v>1186</v>
      </c>
      <c r="F491" s="437">
        <v>1963002.0</v>
      </c>
      <c r="G491" s="54">
        <v>1963002.0</v>
      </c>
      <c r="H491" s="251">
        <v>4024671.0</v>
      </c>
      <c r="I491" s="251">
        <f t="shared" si="5"/>
        <v>489</v>
      </c>
      <c r="J491" s="256" t="str">
        <f t="shared" si="2"/>
        <v>#N/A</v>
      </c>
      <c r="K491" s="256"/>
      <c r="L491" s="256"/>
      <c r="M491" s="256"/>
    </row>
    <row r="492">
      <c r="A492" s="214" t="s">
        <v>1187</v>
      </c>
      <c r="B492" s="214" t="s">
        <v>1188</v>
      </c>
      <c r="C492" s="214"/>
      <c r="D492" s="214" t="str">
        <f t="shared" si="1"/>
        <v>O</v>
      </c>
      <c r="E492" s="214" t="s">
        <v>54</v>
      </c>
      <c r="F492" s="215">
        <v>4.46682003E8</v>
      </c>
      <c r="G492" s="216">
        <v>4.46682003E8</v>
      </c>
      <c r="H492" s="218"/>
      <c r="I492" s="218">
        <f t="shared" si="5"/>
        <v>490</v>
      </c>
      <c r="J492" s="219" t="str">
        <f t="shared" si="2"/>
        <v>#N/A</v>
      </c>
      <c r="K492" s="219"/>
      <c r="L492" s="220"/>
      <c r="M492" s="220"/>
    </row>
    <row r="493">
      <c r="A493" s="214" t="s">
        <v>1187</v>
      </c>
      <c r="B493" s="214" t="s">
        <v>1189</v>
      </c>
      <c r="C493" s="214"/>
      <c r="D493" s="214" t="str">
        <f t="shared" si="1"/>
        <v>O</v>
      </c>
      <c r="E493" s="214" t="s">
        <v>54</v>
      </c>
      <c r="F493" s="215">
        <v>4.46682003E8</v>
      </c>
      <c r="G493" s="216">
        <v>4.46682003E8</v>
      </c>
      <c r="H493" s="218"/>
      <c r="I493" s="218">
        <f t="shared" si="5"/>
        <v>491</v>
      </c>
      <c r="J493" s="219" t="str">
        <f t="shared" si="2"/>
        <v>#N/A</v>
      </c>
      <c r="K493" s="219"/>
      <c r="L493" s="220"/>
      <c r="M493" s="220"/>
    </row>
    <row r="494">
      <c r="A494" s="214" t="s">
        <v>1187</v>
      </c>
      <c r="B494" s="214" t="s">
        <v>1187</v>
      </c>
      <c r="C494" s="222" t="s">
        <v>83</v>
      </c>
      <c r="D494" s="214" t="str">
        <f t="shared" si="1"/>
        <v>L</v>
      </c>
      <c r="E494" s="214" t="s">
        <v>34</v>
      </c>
      <c r="F494" s="215">
        <v>4.46682003E8</v>
      </c>
      <c r="G494" s="216">
        <v>4.46682003E8</v>
      </c>
      <c r="H494" s="218">
        <v>4.0488855E7</v>
      </c>
      <c r="I494" s="218">
        <f t="shared" si="5"/>
        <v>492</v>
      </c>
      <c r="J494" s="219" t="str">
        <f t="shared" si="2"/>
        <v>#N/A</v>
      </c>
      <c r="K494" s="219"/>
      <c r="L494" s="220"/>
      <c r="M494" s="220"/>
    </row>
    <row r="495">
      <c r="A495" s="214" t="s">
        <v>1187</v>
      </c>
      <c r="B495" s="214" t="s">
        <v>1192</v>
      </c>
      <c r="C495" s="214"/>
      <c r="D495" s="214" t="str">
        <f t="shared" si="1"/>
        <v>O</v>
      </c>
      <c r="E495" s="214" t="s">
        <v>57</v>
      </c>
      <c r="F495" s="215">
        <v>4.46682003E8</v>
      </c>
      <c r="G495" s="216">
        <v>4.466820031E8</v>
      </c>
      <c r="H495" s="218"/>
      <c r="I495" s="218">
        <f t="shared" si="5"/>
        <v>493</v>
      </c>
      <c r="J495" s="219" t="str">
        <f t="shared" si="2"/>
        <v>#N/A</v>
      </c>
      <c r="K495" s="219"/>
      <c r="L495" s="220"/>
      <c r="M495" s="220"/>
    </row>
    <row r="496">
      <c r="A496" s="22" t="s">
        <v>1193</v>
      </c>
      <c r="B496" s="22" t="s">
        <v>1194</v>
      </c>
      <c r="C496" s="95" t="s">
        <v>83</v>
      </c>
      <c r="D496" s="22" t="str">
        <f t="shared" si="1"/>
        <v>O</v>
      </c>
      <c r="E496" s="22" t="s">
        <v>72</v>
      </c>
      <c r="F496" s="34">
        <v>3.5154004E7</v>
      </c>
      <c r="G496" s="35">
        <v>3.5154004E7</v>
      </c>
      <c r="H496" s="37">
        <v>4148690.0</v>
      </c>
      <c r="I496" s="37">
        <f t="shared" si="5"/>
        <v>494</v>
      </c>
      <c r="J496" s="41" t="str">
        <f t="shared" si="2"/>
        <v>#N/A</v>
      </c>
      <c r="K496" s="41"/>
      <c r="L496" s="45"/>
      <c r="M496" s="45"/>
    </row>
    <row r="497">
      <c r="A497" s="22" t="s">
        <v>1193</v>
      </c>
      <c r="B497" s="22" t="s">
        <v>1199</v>
      </c>
      <c r="C497" s="95" t="s">
        <v>83</v>
      </c>
      <c r="D497" s="22" t="str">
        <f t="shared" si="1"/>
        <v>O</v>
      </c>
      <c r="E497" s="22" t="s">
        <v>72</v>
      </c>
      <c r="F497" s="34">
        <v>3.6739006E7</v>
      </c>
      <c r="G497" s="35">
        <v>3.6739006E7</v>
      </c>
      <c r="H497" s="37">
        <v>4279526.0</v>
      </c>
      <c r="I497" s="37">
        <f t="shared" si="5"/>
        <v>495</v>
      </c>
      <c r="J497" s="41" t="str">
        <f t="shared" si="2"/>
        <v>#N/A</v>
      </c>
      <c r="K497" s="41"/>
      <c r="L497" s="45"/>
      <c r="M497" s="45"/>
    </row>
    <row r="498">
      <c r="A498" s="22" t="s">
        <v>1193</v>
      </c>
      <c r="B498" s="22" t="s">
        <v>1201</v>
      </c>
      <c r="C498" s="95" t="s">
        <v>83</v>
      </c>
      <c r="D498" s="22" t="str">
        <f t="shared" si="1"/>
        <v>O</v>
      </c>
      <c r="E498" s="22" t="s">
        <v>72</v>
      </c>
      <c r="F498" s="34">
        <v>4.6459009E7</v>
      </c>
      <c r="G498" s="35">
        <v>4.6459009E7</v>
      </c>
      <c r="H498" s="37">
        <v>4262682.0</v>
      </c>
      <c r="I498" s="37">
        <f t="shared" si="5"/>
        <v>496</v>
      </c>
      <c r="J498" s="41" t="str">
        <f t="shared" si="2"/>
        <v>#N/A</v>
      </c>
      <c r="K498" s="41"/>
      <c r="L498" s="45"/>
      <c r="M498" s="45"/>
    </row>
    <row r="499">
      <c r="A499" s="22" t="s">
        <v>1193</v>
      </c>
      <c r="B499" s="22" t="s">
        <v>1205</v>
      </c>
      <c r="C499" s="95" t="s">
        <v>83</v>
      </c>
      <c r="D499" s="22" t="str">
        <f t="shared" si="1"/>
        <v>O</v>
      </c>
      <c r="E499" s="22" t="s">
        <v>72</v>
      </c>
      <c r="F499" s="34">
        <v>4.9420001E7</v>
      </c>
      <c r="G499" s="35">
        <v>4.9420001E7</v>
      </c>
      <c r="H499" s="37">
        <v>4170723.0</v>
      </c>
      <c r="I499" s="37">
        <f t="shared" si="5"/>
        <v>497</v>
      </c>
      <c r="J499" s="41" t="str">
        <f t="shared" si="2"/>
        <v>#N/A</v>
      </c>
      <c r="K499" s="41"/>
      <c r="L499" s="45"/>
      <c r="M499" s="45"/>
    </row>
    <row r="500">
      <c r="A500" s="22" t="s">
        <v>1193</v>
      </c>
      <c r="B500" s="22" t="s">
        <v>1193</v>
      </c>
      <c r="C500" s="95" t="s">
        <v>83</v>
      </c>
      <c r="D500" s="22" t="str">
        <f t="shared" si="1"/>
        <v>L</v>
      </c>
      <c r="E500" s="22" t="s">
        <v>34</v>
      </c>
      <c r="F500" s="34">
        <v>6.5172003E7</v>
      </c>
      <c r="G500" s="35">
        <v>6.5172003E7</v>
      </c>
      <c r="H500" s="37">
        <v>135338.0</v>
      </c>
      <c r="I500" s="37">
        <f t="shared" si="5"/>
        <v>498</v>
      </c>
      <c r="J500" s="41" t="str">
        <f t="shared" si="2"/>
        <v>#N/A</v>
      </c>
      <c r="K500" s="41"/>
      <c r="L500" s="45"/>
      <c r="M500" s="45"/>
    </row>
    <row r="501">
      <c r="A501" s="22" t="s">
        <v>1193</v>
      </c>
      <c r="B501" s="22" t="s">
        <v>1211</v>
      </c>
      <c r="C501" s="95" t="s">
        <v>83</v>
      </c>
      <c r="D501" s="22" t="str">
        <f t="shared" si="1"/>
        <v>O</v>
      </c>
      <c r="E501" s="22" t="s">
        <v>72</v>
      </c>
      <c r="F501" s="34">
        <v>2.00907003E8</v>
      </c>
      <c r="G501" s="35">
        <v>2.00907003E8</v>
      </c>
      <c r="H501" s="37">
        <v>4066821.0</v>
      </c>
      <c r="I501" s="37">
        <f t="shared" si="5"/>
        <v>499</v>
      </c>
      <c r="J501" s="41" t="str">
        <f t="shared" si="2"/>
        <v>#N/A</v>
      </c>
      <c r="K501" s="41"/>
      <c r="L501" s="45"/>
      <c r="M501" s="45"/>
    </row>
    <row r="502">
      <c r="A502" s="22" t="s">
        <v>1193</v>
      </c>
      <c r="B502" s="22" t="s">
        <v>1212</v>
      </c>
      <c r="C502" s="95" t="s">
        <v>83</v>
      </c>
      <c r="D502" s="22" t="str">
        <f t="shared" si="1"/>
        <v>O</v>
      </c>
      <c r="E502" s="22" t="s">
        <v>72</v>
      </c>
      <c r="F502" s="34">
        <v>4.02718003E8</v>
      </c>
      <c r="G502" s="35">
        <v>4.02718003E8</v>
      </c>
      <c r="H502" s="37">
        <v>4291435.0</v>
      </c>
      <c r="I502" s="37">
        <f t="shared" si="5"/>
        <v>500</v>
      </c>
      <c r="J502" s="41" t="str">
        <f t="shared" si="2"/>
        <v>#N/A</v>
      </c>
      <c r="K502" s="41"/>
      <c r="L502" s="45"/>
      <c r="M502" s="45"/>
    </row>
    <row r="503">
      <c r="A503" s="214" t="s">
        <v>1214</v>
      </c>
      <c r="B503" s="214" t="s">
        <v>1214</v>
      </c>
      <c r="C503" s="222" t="s">
        <v>83</v>
      </c>
      <c r="D503" s="214" t="str">
        <f t="shared" si="1"/>
        <v>L</v>
      </c>
      <c r="E503" s="214" t="s">
        <v>34</v>
      </c>
      <c r="F503" s="215">
        <v>7.9268002E7</v>
      </c>
      <c r="G503" s="216">
        <v>7.9268002E7</v>
      </c>
      <c r="H503" s="218">
        <v>4193776.0</v>
      </c>
      <c r="I503" s="218">
        <f t="shared" si="5"/>
        <v>501</v>
      </c>
      <c r="J503" s="219" t="str">
        <f t="shared" si="2"/>
        <v>#N/A</v>
      </c>
      <c r="K503" s="219"/>
      <c r="L503" s="220"/>
      <c r="M503" s="220"/>
    </row>
    <row r="504">
      <c r="A504" s="214" t="s">
        <v>1214</v>
      </c>
      <c r="B504" s="214" t="s">
        <v>1216</v>
      </c>
      <c r="C504" s="214"/>
      <c r="D504" s="214" t="str">
        <f t="shared" si="1"/>
        <v>O</v>
      </c>
      <c r="E504" s="214" t="s">
        <v>57</v>
      </c>
      <c r="F504" s="215">
        <v>7.9268002E7</v>
      </c>
      <c r="G504" s="216">
        <v>7.92680021E7</v>
      </c>
      <c r="H504" s="218"/>
      <c r="I504" s="218">
        <f t="shared" si="5"/>
        <v>502</v>
      </c>
      <c r="J504" s="219" t="str">
        <f t="shared" si="2"/>
        <v>#N/A</v>
      </c>
      <c r="K504" s="219"/>
      <c r="L504" s="220"/>
      <c r="M504" s="220"/>
    </row>
    <row r="505">
      <c r="A505" s="214" t="s">
        <v>1214</v>
      </c>
      <c r="B505" s="214" t="s">
        <v>1217</v>
      </c>
      <c r="C505" s="214"/>
      <c r="D505" s="214" t="str">
        <f t="shared" si="1"/>
        <v>O</v>
      </c>
      <c r="E505" s="214" t="s">
        <v>57</v>
      </c>
      <c r="F505" s="215">
        <v>7.9268002E7</v>
      </c>
      <c r="G505" s="216">
        <v>7.926800219999999E7</v>
      </c>
      <c r="H505" s="218"/>
      <c r="I505" s="218">
        <f t="shared" si="5"/>
        <v>503</v>
      </c>
      <c r="J505" s="219" t="str">
        <f t="shared" si="2"/>
        <v>#N/A</v>
      </c>
      <c r="K505" s="219"/>
      <c r="L505" s="220"/>
      <c r="M505" s="220"/>
    </row>
    <row r="506">
      <c r="A506" s="214" t="s">
        <v>1214</v>
      </c>
      <c r="B506" s="214" t="s">
        <v>1223</v>
      </c>
      <c r="C506" s="214"/>
      <c r="D506" s="214" t="str">
        <f t="shared" si="1"/>
        <v>O</v>
      </c>
      <c r="E506" s="214" t="s">
        <v>57</v>
      </c>
      <c r="F506" s="215">
        <v>7.9268002E7</v>
      </c>
      <c r="G506" s="216">
        <v>7.92680023E7</v>
      </c>
      <c r="H506" s="218"/>
      <c r="I506" s="218">
        <f t="shared" si="5"/>
        <v>504</v>
      </c>
      <c r="J506" s="219" t="str">
        <f t="shared" si="2"/>
        <v>#N/A</v>
      </c>
      <c r="K506" s="219"/>
      <c r="L506" s="220"/>
      <c r="M506" s="220"/>
    </row>
    <row r="507">
      <c r="A507" s="214" t="s">
        <v>1214</v>
      </c>
      <c r="B507" s="214" t="s">
        <v>1225</v>
      </c>
      <c r="C507" s="214"/>
      <c r="D507" s="214" t="str">
        <f t="shared" si="1"/>
        <v>O</v>
      </c>
      <c r="E507" s="214" t="s">
        <v>57</v>
      </c>
      <c r="F507" s="215">
        <v>7.9268002E7</v>
      </c>
      <c r="G507" s="216">
        <v>7.926800239999999E7</v>
      </c>
      <c r="H507" s="218"/>
      <c r="I507" s="218">
        <f t="shared" si="5"/>
        <v>505</v>
      </c>
      <c r="J507" s="219" t="str">
        <f t="shared" si="2"/>
        <v>#N/A</v>
      </c>
      <c r="K507" s="219"/>
      <c r="L507" s="220"/>
      <c r="M507" s="220"/>
    </row>
    <row r="508">
      <c r="A508" s="214" t="s">
        <v>1214</v>
      </c>
      <c r="B508" s="214" t="s">
        <v>1229</v>
      </c>
      <c r="C508" s="214"/>
      <c r="D508" s="214" t="str">
        <f t="shared" si="1"/>
        <v>O</v>
      </c>
      <c r="E508" s="214" t="s">
        <v>57</v>
      </c>
      <c r="F508" s="215">
        <v>7.9268002E7</v>
      </c>
      <c r="G508" s="216">
        <v>7.92680025E7</v>
      </c>
      <c r="H508" s="218"/>
      <c r="I508" s="218">
        <f t="shared" si="5"/>
        <v>506</v>
      </c>
      <c r="J508" s="219" t="str">
        <f t="shared" si="2"/>
        <v>#N/A</v>
      </c>
      <c r="K508" s="219"/>
      <c r="L508" s="220"/>
      <c r="M508" s="220"/>
    </row>
    <row r="509">
      <c r="A509" s="214" t="s">
        <v>1214</v>
      </c>
      <c r="B509" s="214" t="s">
        <v>1234</v>
      </c>
      <c r="C509" s="214"/>
      <c r="D509" s="214" t="str">
        <f t="shared" si="1"/>
        <v>O</v>
      </c>
      <c r="E509" s="214" t="s">
        <v>57</v>
      </c>
      <c r="F509" s="215">
        <v>7.9268002E7</v>
      </c>
      <c r="G509" s="216">
        <v>7.92680026E7</v>
      </c>
      <c r="H509" s="218"/>
      <c r="I509" s="218">
        <f t="shared" si="5"/>
        <v>507</v>
      </c>
      <c r="J509" s="219" t="str">
        <f t="shared" si="2"/>
        <v>#N/A</v>
      </c>
      <c r="K509" s="219"/>
      <c r="L509" s="220"/>
      <c r="M509" s="220"/>
    </row>
    <row r="510">
      <c r="A510" s="74" t="s">
        <v>1235</v>
      </c>
      <c r="B510" s="74" t="s">
        <v>1236</v>
      </c>
      <c r="C510" s="74"/>
      <c r="D510" s="74" t="str">
        <f t="shared" si="1"/>
        <v>O</v>
      </c>
      <c r="E510" s="74" t="s">
        <v>54</v>
      </c>
      <c r="F510" s="79">
        <v>1.55441006E8</v>
      </c>
      <c r="G510" s="80">
        <v>1.55441006E8</v>
      </c>
      <c r="H510" s="81"/>
      <c r="I510" s="81">
        <f t="shared" si="5"/>
        <v>508</v>
      </c>
      <c r="J510" s="82" t="str">
        <f t="shared" si="2"/>
        <v>#N/A</v>
      </c>
      <c r="K510" s="82"/>
      <c r="L510" s="83"/>
      <c r="M510" s="83"/>
    </row>
    <row r="511">
      <c r="A511" s="74" t="s">
        <v>1235</v>
      </c>
      <c r="B511" s="74" t="s">
        <v>1237</v>
      </c>
      <c r="C511" s="74"/>
      <c r="D511" s="74" t="str">
        <f t="shared" si="1"/>
        <v>O</v>
      </c>
      <c r="E511" s="74" t="s">
        <v>54</v>
      </c>
      <c r="F511" s="79">
        <v>1.55441006E8</v>
      </c>
      <c r="G511" s="80">
        <v>1.55441006E8</v>
      </c>
      <c r="H511" s="81"/>
      <c r="I511" s="81">
        <f t="shared" si="5"/>
        <v>509</v>
      </c>
      <c r="J511" s="82" t="str">
        <f t="shared" si="2"/>
        <v>#N/A</v>
      </c>
      <c r="K511" s="82"/>
      <c r="L511" s="83"/>
      <c r="M511" s="83"/>
    </row>
    <row r="512">
      <c r="A512" s="74" t="s">
        <v>1235</v>
      </c>
      <c r="B512" s="74" t="s">
        <v>1235</v>
      </c>
      <c r="C512" s="77" t="s">
        <v>83</v>
      </c>
      <c r="D512" s="74" t="str">
        <f t="shared" si="1"/>
        <v>L</v>
      </c>
      <c r="E512" s="74" t="s">
        <v>34</v>
      </c>
      <c r="F512" s="79">
        <v>1.55441006E8</v>
      </c>
      <c r="G512" s="80">
        <v>1.55441006E8</v>
      </c>
      <c r="H512" s="81">
        <v>320749.0</v>
      </c>
      <c r="I512" s="81">
        <f t="shared" si="5"/>
        <v>510</v>
      </c>
      <c r="J512" s="82" t="str">
        <f t="shared" si="2"/>
        <v>#N/A</v>
      </c>
      <c r="K512" s="82"/>
      <c r="L512" s="83"/>
      <c r="M512" s="83"/>
    </row>
    <row r="513">
      <c r="A513" s="74" t="s">
        <v>1235</v>
      </c>
      <c r="B513" s="74" t="s">
        <v>1240</v>
      </c>
      <c r="C513" s="74"/>
      <c r="D513" s="74" t="str">
        <f t="shared" si="1"/>
        <v>O</v>
      </c>
      <c r="E513" s="74" t="s">
        <v>57</v>
      </c>
      <c r="F513" s="79">
        <v>1.55441006E8</v>
      </c>
      <c r="G513" s="80">
        <v>1.554410061E8</v>
      </c>
      <c r="H513" s="81"/>
      <c r="I513" s="81">
        <f t="shared" si="5"/>
        <v>511</v>
      </c>
      <c r="J513" s="82" t="str">
        <f t="shared" si="2"/>
        <v>#N/A</v>
      </c>
      <c r="K513" s="82"/>
      <c r="L513" s="83"/>
      <c r="M513" s="83"/>
    </row>
    <row r="514">
      <c r="A514" s="74" t="s">
        <v>1235</v>
      </c>
      <c r="B514" s="74" t="s">
        <v>1242</v>
      </c>
      <c r="C514" s="77" t="s">
        <v>83</v>
      </c>
      <c r="D514" s="74" t="str">
        <f t="shared" si="1"/>
        <v>O</v>
      </c>
      <c r="E514" s="74" t="s">
        <v>57</v>
      </c>
      <c r="F514" s="79">
        <v>1.55441006E8</v>
      </c>
      <c r="G514" s="80">
        <v>1.554410062E8</v>
      </c>
      <c r="H514" s="81">
        <v>320749.0</v>
      </c>
      <c r="I514" s="81">
        <f t="shared" si="5"/>
        <v>512</v>
      </c>
      <c r="J514" s="82" t="str">
        <f t="shared" si="2"/>
        <v>#N/A</v>
      </c>
      <c r="K514" s="82"/>
      <c r="L514" s="83"/>
      <c r="M514" s="83"/>
    </row>
    <row r="515">
      <c r="A515" s="74" t="s">
        <v>1235</v>
      </c>
      <c r="B515" s="74" t="s">
        <v>1248</v>
      </c>
      <c r="C515" s="74"/>
      <c r="D515" s="74" t="str">
        <f t="shared" si="1"/>
        <v>O</v>
      </c>
      <c r="E515" s="74" t="s">
        <v>57</v>
      </c>
      <c r="F515" s="79">
        <v>1.55441006E8</v>
      </c>
      <c r="G515" s="80">
        <v>1.5544100629999998E8</v>
      </c>
      <c r="H515" s="81"/>
      <c r="I515" s="81">
        <f t="shared" si="5"/>
        <v>513</v>
      </c>
      <c r="J515" s="82" t="str">
        <f t="shared" si="2"/>
        <v>#N/A</v>
      </c>
      <c r="K515" s="82"/>
      <c r="L515" s="83"/>
      <c r="M515" s="83"/>
    </row>
    <row r="516">
      <c r="A516" s="103" t="s">
        <v>1249</v>
      </c>
      <c r="B516" s="103" t="s">
        <v>1250</v>
      </c>
      <c r="C516" s="103"/>
      <c r="D516" s="103" t="str">
        <f t="shared" si="1"/>
        <v>O</v>
      </c>
      <c r="E516" s="103" t="s">
        <v>54</v>
      </c>
      <c r="F516" s="105">
        <v>1.1244009E7</v>
      </c>
      <c r="G516" s="106">
        <v>1.1244009E7</v>
      </c>
      <c r="H516" s="107"/>
      <c r="I516" s="107">
        <f t="shared" si="5"/>
        <v>514</v>
      </c>
      <c r="J516" s="108" t="str">
        <f t="shared" si="2"/>
        <v>#N/A</v>
      </c>
      <c r="K516" s="108"/>
      <c r="L516" s="109"/>
      <c r="M516" s="109"/>
    </row>
    <row r="517">
      <c r="A517" s="103" t="s">
        <v>1249</v>
      </c>
      <c r="B517" s="103" t="s">
        <v>1253</v>
      </c>
      <c r="C517" s="103"/>
      <c r="D517" s="103" t="str">
        <f t="shared" si="1"/>
        <v>O</v>
      </c>
      <c r="E517" s="103" t="s">
        <v>54</v>
      </c>
      <c r="F517" s="105">
        <v>1.1244009E7</v>
      </c>
      <c r="G517" s="106">
        <v>1.1244009E7</v>
      </c>
      <c r="H517" s="107"/>
      <c r="I517" s="107">
        <f t="shared" si="5"/>
        <v>515</v>
      </c>
      <c r="J517" s="108" t="str">
        <f t="shared" si="2"/>
        <v>#N/A</v>
      </c>
      <c r="K517" s="108"/>
      <c r="L517" s="109"/>
      <c r="M517" s="109"/>
    </row>
    <row r="518">
      <c r="A518" s="103" t="s">
        <v>1249</v>
      </c>
      <c r="B518" s="103" t="s">
        <v>1249</v>
      </c>
      <c r="C518" s="297" t="s">
        <v>83</v>
      </c>
      <c r="D518" s="103" t="str">
        <f t="shared" si="1"/>
        <v>L</v>
      </c>
      <c r="E518" s="274" t="s">
        <v>34</v>
      </c>
      <c r="F518" s="105">
        <v>1.1244009E7</v>
      </c>
      <c r="G518" s="106">
        <v>1.1244009E7</v>
      </c>
      <c r="H518" s="107">
        <v>4008545.0</v>
      </c>
      <c r="I518" s="107">
        <f t="shared" si="5"/>
        <v>516</v>
      </c>
      <c r="J518" s="108" t="str">
        <f t="shared" si="2"/>
        <v>#N/A</v>
      </c>
      <c r="K518" s="108"/>
      <c r="L518" s="109"/>
      <c r="M518" s="109"/>
    </row>
    <row r="519">
      <c r="A519" s="103" t="s">
        <v>1249</v>
      </c>
      <c r="B519" s="103" t="s">
        <v>1259</v>
      </c>
      <c r="C519" s="297"/>
      <c r="D519" s="103" t="str">
        <f t="shared" si="1"/>
        <v>O</v>
      </c>
      <c r="E519" s="103" t="s">
        <v>57</v>
      </c>
      <c r="F519" s="105">
        <v>1.1244009E7</v>
      </c>
      <c r="G519" s="106">
        <v>1.12440091E7</v>
      </c>
      <c r="H519" s="107"/>
      <c r="I519" s="107">
        <f t="shared" si="5"/>
        <v>517</v>
      </c>
      <c r="J519" s="108" t="str">
        <f t="shared" si="2"/>
        <v>#N/A</v>
      </c>
      <c r="K519" s="108"/>
      <c r="L519" s="109"/>
      <c r="M519" s="109"/>
    </row>
    <row r="520">
      <c r="A520" s="103" t="s">
        <v>1249</v>
      </c>
      <c r="B520" s="103" t="s">
        <v>1262</v>
      </c>
      <c r="C520" s="297"/>
      <c r="D520" s="103" t="str">
        <f t="shared" si="1"/>
        <v>O</v>
      </c>
      <c r="E520" s="103" t="s">
        <v>57</v>
      </c>
      <c r="F520" s="105">
        <v>1.1244009E7</v>
      </c>
      <c r="G520" s="106">
        <v>1.12440092E7</v>
      </c>
      <c r="H520" s="107"/>
      <c r="I520" s="107">
        <f t="shared" si="5"/>
        <v>518</v>
      </c>
      <c r="J520" s="108" t="str">
        <f t="shared" si="2"/>
        <v>#N/A</v>
      </c>
      <c r="K520" s="108"/>
      <c r="L520" s="109"/>
      <c r="M520" s="109"/>
    </row>
    <row r="521">
      <c r="A521" s="103" t="s">
        <v>1249</v>
      </c>
      <c r="B521" s="103" t="s">
        <v>1263</v>
      </c>
      <c r="C521" s="103"/>
      <c r="D521" s="103" t="str">
        <f t="shared" si="1"/>
        <v>O</v>
      </c>
      <c r="E521" s="103" t="s">
        <v>57</v>
      </c>
      <c r="F521" s="105">
        <v>1.1244009E7</v>
      </c>
      <c r="G521" s="106">
        <v>1.1244009299999999E7</v>
      </c>
      <c r="H521" s="107"/>
      <c r="I521" s="107">
        <f t="shared" si="5"/>
        <v>519</v>
      </c>
      <c r="J521" s="108" t="str">
        <f t="shared" si="2"/>
        <v>#N/A</v>
      </c>
      <c r="K521" s="108"/>
      <c r="L521" s="109"/>
      <c r="M521" s="109"/>
    </row>
    <row r="522">
      <c r="A522" s="103" t="s">
        <v>1249</v>
      </c>
      <c r="B522" s="103" t="s">
        <v>1264</v>
      </c>
      <c r="C522" s="297"/>
      <c r="D522" s="103" t="str">
        <f t="shared" si="1"/>
        <v>O</v>
      </c>
      <c r="E522" s="103" t="s">
        <v>57</v>
      </c>
      <c r="F522" s="105">
        <v>1.1244009E7</v>
      </c>
      <c r="G522" s="106">
        <v>1.12440094E7</v>
      </c>
      <c r="H522" s="107"/>
      <c r="I522" s="107">
        <f t="shared" si="5"/>
        <v>520</v>
      </c>
      <c r="J522" s="108" t="str">
        <f t="shared" si="2"/>
        <v>#N/A</v>
      </c>
      <c r="K522" s="108"/>
      <c r="L522" s="109"/>
      <c r="M522" s="109"/>
    </row>
    <row r="523">
      <c r="A523" s="103" t="s">
        <v>1265</v>
      </c>
      <c r="B523" s="103" t="s">
        <v>1266</v>
      </c>
      <c r="C523" s="103"/>
      <c r="D523" s="103" t="str">
        <f t="shared" si="1"/>
        <v>O</v>
      </c>
      <c r="E523" s="103" t="s">
        <v>54</v>
      </c>
      <c r="F523" s="105">
        <v>8.3728E7</v>
      </c>
      <c r="G523" s="106">
        <v>8.3728E7</v>
      </c>
      <c r="H523" s="107"/>
      <c r="I523" s="107">
        <f t="shared" si="5"/>
        <v>521</v>
      </c>
      <c r="J523" s="108" t="str">
        <f t="shared" si="2"/>
        <v>#N/A</v>
      </c>
      <c r="K523" s="108"/>
      <c r="L523" s="109"/>
      <c r="M523" s="109"/>
    </row>
    <row r="524">
      <c r="A524" s="103" t="s">
        <v>1265</v>
      </c>
      <c r="B524" s="103" t="s">
        <v>1267</v>
      </c>
      <c r="C524" s="103"/>
      <c r="D524" s="103" t="str">
        <f t="shared" si="1"/>
        <v>O</v>
      </c>
      <c r="E524" s="103" t="s">
        <v>54</v>
      </c>
      <c r="F524" s="105">
        <v>8.3728E7</v>
      </c>
      <c r="G524" s="106">
        <v>8.3728E7</v>
      </c>
      <c r="H524" s="107"/>
      <c r="I524" s="107">
        <f t="shared" si="5"/>
        <v>522</v>
      </c>
      <c r="J524" s="108" t="str">
        <f t="shared" si="2"/>
        <v>#N/A</v>
      </c>
      <c r="K524" s="108"/>
      <c r="L524" s="109"/>
      <c r="M524" s="109"/>
    </row>
    <row r="525">
      <c r="A525" s="103" t="s">
        <v>1265</v>
      </c>
      <c r="B525" s="103" t="s">
        <v>1268</v>
      </c>
      <c r="C525" s="103"/>
      <c r="D525" s="103" t="str">
        <f t="shared" si="1"/>
        <v>O</v>
      </c>
      <c r="E525" s="103" t="s">
        <v>54</v>
      </c>
      <c r="F525" s="105">
        <v>8.3728E7</v>
      </c>
      <c r="G525" s="106">
        <v>8.3728E7</v>
      </c>
      <c r="H525" s="107"/>
      <c r="I525" s="107">
        <f t="shared" si="5"/>
        <v>523</v>
      </c>
      <c r="J525" s="108" t="str">
        <f t="shared" si="2"/>
        <v>#N/A</v>
      </c>
      <c r="K525" s="108"/>
      <c r="L525" s="109"/>
      <c r="M525" s="109"/>
    </row>
    <row r="526">
      <c r="A526" s="103" t="s">
        <v>1265</v>
      </c>
      <c r="B526" s="103" t="s">
        <v>1265</v>
      </c>
      <c r="C526" s="297" t="s">
        <v>83</v>
      </c>
      <c r="D526" s="103" t="str">
        <f t="shared" si="1"/>
        <v>L</v>
      </c>
      <c r="E526" s="274" t="s">
        <v>34</v>
      </c>
      <c r="F526" s="105">
        <v>8.3728E7</v>
      </c>
      <c r="G526" s="106">
        <v>8.3728E7</v>
      </c>
      <c r="H526" s="107">
        <v>4308266.0</v>
      </c>
      <c r="I526" s="107">
        <f t="shared" si="5"/>
        <v>524</v>
      </c>
      <c r="J526" s="108" t="str">
        <f t="shared" si="2"/>
        <v>#N/A</v>
      </c>
      <c r="K526" s="108"/>
      <c r="L526" s="109"/>
      <c r="M526" s="109"/>
    </row>
    <row r="527">
      <c r="A527" s="103" t="s">
        <v>1265</v>
      </c>
      <c r="B527" s="103" t="s">
        <v>1270</v>
      </c>
      <c r="C527" s="297"/>
      <c r="D527" s="103" t="str">
        <f t="shared" si="1"/>
        <v>O</v>
      </c>
      <c r="E527" s="103" t="s">
        <v>57</v>
      </c>
      <c r="F527" s="105">
        <v>8.3728E7</v>
      </c>
      <c r="G527" s="106">
        <v>8.37280001E7</v>
      </c>
      <c r="H527" s="107"/>
      <c r="I527" s="107">
        <f t="shared" si="5"/>
        <v>525</v>
      </c>
      <c r="J527" s="108" t="str">
        <f t="shared" si="2"/>
        <v>#N/A</v>
      </c>
      <c r="K527" s="108"/>
      <c r="L527" s="109"/>
      <c r="M527" s="109"/>
    </row>
    <row r="528">
      <c r="A528" s="103" t="s">
        <v>1265</v>
      </c>
      <c r="B528" s="103" t="s">
        <v>1271</v>
      </c>
      <c r="C528" s="103"/>
      <c r="D528" s="103" t="str">
        <f t="shared" si="1"/>
        <v>O</v>
      </c>
      <c r="E528" s="103" t="s">
        <v>57</v>
      </c>
      <c r="F528" s="105">
        <v>8.3728E7</v>
      </c>
      <c r="G528" s="106">
        <v>8.372800019999999E7</v>
      </c>
      <c r="H528" s="107"/>
      <c r="I528" s="107">
        <f t="shared" si="5"/>
        <v>526</v>
      </c>
      <c r="J528" s="108" t="str">
        <f t="shared" si="2"/>
        <v>#N/A</v>
      </c>
      <c r="K528" s="108"/>
      <c r="L528" s="109"/>
      <c r="M528" s="109"/>
    </row>
    <row r="529">
      <c r="A529" s="103" t="s">
        <v>1265</v>
      </c>
      <c r="B529" s="103" t="s">
        <v>1274</v>
      </c>
      <c r="C529" s="103"/>
      <c r="D529" s="103" t="str">
        <f t="shared" si="1"/>
        <v>O</v>
      </c>
      <c r="E529" s="103" t="s">
        <v>57</v>
      </c>
      <c r="F529" s="105">
        <v>8.3728E7</v>
      </c>
      <c r="G529" s="106">
        <v>8.37280003E7</v>
      </c>
      <c r="H529" s="107"/>
      <c r="I529" s="107">
        <f t="shared" si="5"/>
        <v>527</v>
      </c>
      <c r="J529" s="108" t="str">
        <f t="shared" si="2"/>
        <v>#N/A</v>
      </c>
      <c r="K529" s="108"/>
      <c r="L529" s="109"/>
      <c r="M529" s="109"/>
    </row>
    <row r="530">
      <c r="A530" s="103" t="s">
        <v>1265</v>
      </c>
      <c r="B530" s="103" t="s">
        <v>1277</v>
      </c>
      <c r="C530" s="103"/>
      <c r="D530" s="103" t="str">
        <f t="shared" si="1"/>
        <v>O</v>
      </c>
      <c r="E530" s="103" t="s">
        <v>57</v>
      </c>
      <c r="F530" s="105">
        <v>8.3728E7</v>
      </c>
      <c r="G530" s="106">
        <v>8.372800039999999E7</v>
      </c>
      <c r="H530" s="107"/>
      <c r="I530" s="107">
        <f t="shared" si="5"/>
        <v>528</v>
      </c>
      <c r="J530" s="108" t="str">
        <f t="shared" si="2"/>
        <v>#N/A</v>
      </c>
      <c r="K530" s="108"/>
      <c r="L530" s="109"/>
      <c r="M530" s="109"/>
    </row>
    <row r="531">
      <c r="A531" s="103" t="s">
        <v>1265</v>
      </c>
      <c r="B531" s="103" t="s">
        <v>1279</v>
      </c>
      <c r="C531" s="103"/>
      <c r="D531" s="103" t="str">
        <f t="shared" si="1"/>
        <v>O</v>
      </c>
      <c r="E531" s="103" t="s">
        <v>57</v>
      </c>
      <c r="F531" s="105">
        <v>8.3728E7</v>
      </c>
      <c r="G531" s="106">
        <v>8.37280005E7</v>
      </c>
      <c r="H531" s="107"/>
      <c r="I531" s="107">
        <f t="shared" si="5"/>
        <v>529</v>
      </c>
      <c r="J531" s="108" t="str">
        <f t="shared" si="2"/>
        <v>#N/A</v>
      </c>
      <c r="K531" s="108"/>
      <c r="L531" s="109"/>
      <c r="M531" s="109"/>
    </row>
    <row r="532">
      <c r="A532" s="103" t="s">
        <v>1265</v>
      </c>
      <c r="B532" s="103" t="s">
        <v>1282</v>
      </c>
      <c r="C532" s="103"/>
      <c r="D532" s="103" t="str">
        <f t="shared" si="1"/>
        <v>O</v>
      </c>
      <c r="E532" s="103" t="s">
        <v>57</v>
      </c>
      <c r="F532" s="105">
        <v>8.3728E7</v>
      </c>
      <c r="G532" s="106">
        <v>8.37280006E7</v>
      </c>
      <c r="H532" s="107"/>
      <c r="I532" s="107">
        <f t="shared" si="5"/>
        <v>530</v>
      </c>
      <c r="J532" s="108" t="str">
        <f t="shared" si="2"/>
        <v>#N/A</v>
      </c>
      <c r="K532" s="108"/>
      <c r="L532" s="109"/>
      <c r="M532" s="109"/>
    </row>
    <row r="533">
      <c r="A533" s="103" t="s">
        <v>1286</v>
      </c>
      <c r="B533" s="103" t="s">
        <v>1287</v>
      </c>
      <c r="C533" s="103"/>
      <c r="D533" s="103" t="str">
        <f t="shared" si="1"/>
        <v>O</v>
      </c>
      <c r="E533" s="103" t="s">
        <v>54</v>
      </c>
      <c r="F533" s="105">
        <v>4.49731009E8</v>
      </c>
      <c r="G533" s="106">
        <v>4.49731009E8</v>
      </c>
      <c r="H533" s="107"/>
      <c r="I533" s="107">
        <f t="shared" si="5"/>
        <v>531</v>
      </c>
      <c r="J533" s="108" t="str">
        <f t="shared" si="2"/>
        <v>#N/A</v>
      </c>
      <c r="K533" s="108"/>
      <c r="L533" s="109"/>
      <c r="M533" s="109"/>
    </row>
    <row r="534">
      <c r="A534" s="103" t="s">
        <v>1286</v>
      </c>
      <c r="B534" s="103" t="s">
        <v>1291</v>
      </c>
      <c r="C534" s="103"/>
      <c r="D534" s="103" t="str">
        <f t="shared" si="1"/>
        <v>O</v>
      </c>
      <c r="E534" s="103" t="s">
        <v>54</v>
      </c>
      <c r="F534" s="105">
        <v>4.49731009E8</v>
      </c>
      <c r="G534" s="106">
        <v>4.49731009E8</v>
      </c>
      <c r="H534" s="107"/>
      <c r="I534" s="107">
        <f t="shared" si="5"/>
        <v>532</v>
      </c>
      <c r="J534" s="108" t="str">
        <f t="shared" si="2"/>
        <v>#N/A</v>
      </c>
      <c r="K534" s="108"/>
      <c r="L534" s="109"/>
      <c r="M534" s="109"/>
    </row>
    <row r="535">
      <c r="A535" s="103" t="s">
        <v>1286</v>
      </c>
      <c r="B535" s="103" t="s">
        <v>1286</v>
      </c>
      <c r="C535" s="297" t="s">
        <v>83</v>
      </c>
      <c r="D535" s="103" t="str">
        <f t="shared" si="1"/>
        <v>L</v>
      </c>
      <c r="E535" s="274" t="s">
        <v>34</v>
      </c>
      <c r="F535" s="105">
        <v>4.49731009E8</v>
      </c>
      <c r="G535" s="106">
        <v>4.49731009E8</v>
      </c>
      <c r="H535" s="107">
        <v>4.2709859E7</v>
      </c>
      <c r="I535" s="107">
        <f t="shared" si="5"/>
        <v>533</v>
      </c>
      <c r="J535" s="108" t="str">
        <f t="shared" si="2"/>
        <v>#N/A</v>
      </c>
      <c r="K535" s="108"/>
      <c r="L535" s="109"/>
      <c r="M535" s="109"/>
    </row>
    <row r="536">
      <c r="A536" s="103" t="s">
        <v>1286</v>
      </c>
      <c r="B536" s="103" t="s">
        <v>1294</v>
      </c>
      <c r="C536" s="297"/>
      <c r="D536" s="103" t="str">
        <f t="shared" si="1"/>
        <v>O</v>
      </c>
      <c r="E536" s="103" t="s">
        <v>57</v>
      </c>
      <c r="F536" s="105">
        <v>4.49731009E8</v>
      </c>
      <c r="G536" s="106">
        <v>4.497310091E8</v>
      </c>
      <c r="H536" s="107"/>
      <c r="I536" s="107">
        <f t="shared" si="5"/>
        <v>534</v>
      </c>
      <c r="J536" s="108" t="str">
        <f t="shared" si="2"/>
        <v>#N/A</v>
      </c>
      <c r="K536" s="108"/>
      <c r="L536" s="109"/>
      <c r="M536" s="109"/>
    </row>
    <row r="537">
      <c r="A537" s="103" t="s">
        <v>1286</v>
      </c>
      <c r="B537" s="103" t="s">
        <v>1297</v>
      </c>
      <c r="C537" s="103"/>
      <c r="D537" s="103" t="str">
        <f t="shared" si="1"/>
        <v>O</v>
      </c>
      <c r="E537" s="103" t="s">
        <v>57</v>
      </c>
      <c r="F537" s="105">
        <v>4.49731009E8</v>
      </c>
      <c r="G537" s="106">
        <v>4.4973100920000005E8</v>
      </c>
      <c r="H537" s="107"/>
      <c r="I537" s="107">
        <f t="shared" si="5"/>
        <v>535</v>
      </c>
      <c r="J537" s="108" t="str">
        <f t="shared" si="2"/>
        <v>#N/A</v>
      </c>
      <c r="K537" s="108"/>
      <c r="L537" s="109"/>
      <c r="M537" s="109"/>
    </row>
    <row r="538">
      <c r="A538" s="103" t="s">
        <v>1286</v>
      </c>
      <c r="B538" s="103" t="s">
        <v>1299</v>
      </c>
      <c r="C538" s="103"/>
      <c r="D538" s="103" t="str">
        <f t="shared" si="1"/>
        <v>O</v>
      </c>
      <c r="E538" s="103" t="s">
        <v>57</v>
      </c>
      <c r="F538" s="105">
        <v>4.49731009E8</v>
      </c>
      <c r="G538" s="106">
        <v>4.497310093E8</v>
      </c>
      <c r="H538" s="107"/>
      <c r="I538" s="107">
        <f t="shared" si="5"/>
        <v>536</v>
      </c>
      <c r="J538" s="108" t="str">
        <f t="shared" si="2"/>
        <v>#N/A</v>
      </c>
      <c r="K538" s="108"/>
      <c r="L538" s="109"/>
      <c r="M538" s="109"/>
    </row>
    <row r="539">
      <c r="A539" s="103" t="s">
        <v>1301</v>
      </c>
      <c r="B539" s="103" t="s">
        <v>1301</v>
      </c>
      <c r="C539" s="297" t="s">
        <v>83</v>
      </c>
      <c r="D539" s="103" t="str">
        <f t="shared" si="1"/>
        <v>L</v>
      </c>
      <c r="E539" s="274" t="s">
        <v>34</v>
      </c>
      <c r="F539" s="105">
        <v>4.49730005E8</v>
      </c>
      <c r="G539" s="106">
        <v>4.49730005E8</v>
      </c>
      <c r="H539" s="107">
        <v>4.2709858E7</v>
      </c>
      <c r="I539" s="107">
        <f t="shared" si="5"/>
        <v>537</v>
      </c>
      <c r="J539" s="108" t="str">
        <f t="shared" si="2"/>
        <v>#N/A</v>
      </c>
      <c r="K539" s="108"/>
      <c r="L539" s="109"/>
      <c r="M539" s="109"/>
    </row>
    <row r="540">
      <c r="A540" s="103" t="s">
        <v>1301</v>
      </c>
      <c r="B540" s="103" t="s">
        <v>1306</v>
      </c>
      <c r="C540" s="297" t="s">
        <v>83</v>
      </c>
      <c r="D540" s="103" t="str">
        <f t="shared" si="1"/>
        <v>O</v>
      </c>
      <c r="E540" s="103" t="s">
        <v>57</v>
      </c>
      <c r="F540" s="105">
        <v>4.49730005E8</v>
      </c>
      <c r="G540" s="106">
        <v>4.497300051E8</v>
      </c>
      <c r="H540" s="107">
        <v>4.2709858E7</v>
      </c>
      <c r="I540" s="107">
        <f t="shared" si="5"/>
        <v>538</v>
      </c>
      <c r="J540" s="108" t="str">
        <f t="shared" si="2"/>
        <v>#N/A</v>
      </c>
      <c r="K540" s="108"/>
      <c r="L540" s="109"/>
      <c r="M540" s="109"/>
    </row>
    <row r="541">
      <c r="A541" s="103" t="s">
        <v>1301</v>
      </c>
      <c r="B541" s="103" t="s">
        <v>1311</v>
      </c>
      <c r="C541" s="297" t="s">
        <v>83</v>
      </c>
      <c r="D541" s="103" t="str">
        <f t="shared" si="1"/>
        <v>O</v>
      </c>
      <c r="E541" s="103" t="s">
        <v>57</v>
      </c>
      <c r="F541" s="105">
        <v>4.49730005E8</v>
      </c>
      <c r="G541" s="106">
        <v>4.4973000520000005E8</v>
      </c>
      <c r="H541" s="107">
        <v>4.2709858E7</v>
      </c>
      <c r="I541" s="107">
        <f t="shared" si="5"/>
        <v>539</v>
      </c>
      <c r="J541" s="108" t="str">
        <f t="shared" si="2"/>
        <v>#N/A</v>
      </c>
      <c r="K541" s="108"/>
      <c r="L541" s="109"/>
      <c r="M541" s="109"/>
    </row>
    <row r="542">
      <c r="A542" s="74" t="s">
        <v>1317</v>
      </c>
      <c r="B542" s="74" t="s">
        <v>1317</v>
      </c>
      <c r="C542" s="77" t="s">
        <v>83</v>
      </c>
      <c r="D542" s="74" t="str">
        <f t="shared" si="1"/>
        <v>L</v>
      </c>
      <c r="E542" s="74" t="s">
        <v>34</v>
      </c>
      <c r="F542" s="79">
        <v>6.5323003E7</v>
      </c>
      <c r="G542" s="80">
        <v>6.5323003E7</v>
      </c>
      <c r="H542" s="81">
        <v>255348.0</v>
      </c>
      <c r="I542" s="81">
        <f t="shared" si="5"/>
        <v>540</v>
      </c>
      <c r="J542" s="82" t="str">
        <f t="shared" si="2"/>
        <v>#N/A</v>
      </c>
      <c r="K542" s="82"/>
      <c r="L542" s="83"/>
      <c r="M542" s="83"/>
    </row>
    <row r="543">
      <c r="A543" s="139" t="s">
        <v>1319</v>
      </c>
      <c r="B543" s="139" t="s">
        <v>1319</v>
      </c>
      <c r="C543" s="325" t="s">
        <v>83</v>
      </c>
      <c r="D543" s="139" t="str">
        <f t="shared" si="1"/>
        <v>L</v>
      </c>
      <c r="E543" s="139" t="s">
        <v>34</v>
      </c>
      <c r="F543" s="141">
        <v>3.1384009E7</v>
      </c>
      <c r="G543" s="143">
        <v>3.1384009E7</v>
      </c>
      <c r="H543" s="144">
        <v>80800.0</v>
      </c>
      <c r="I543" s="144">
        <f t="shared" si="5"/>
        <v>541</v>
      </c>
      <c r="J543" s="146" t="str">
        <f t="shared" si="2"/>
        <v>#N/A</v>
      </c>
      <c r="K543" s="146"/>
      <c r="L543" s="147"/>
      <c r="M543" s="147"/>
    </row>
    <row r="544">
      <c r="A544" s="400" t="s">
        <v>1320</v>
      </c>
      <c r="B544" s="400" t="s">
        <v>1321</v>
      </c>
      <c r="C544" s="400"/>
      <c r="D544" s="400" t="str">
        <f t="shared" si="1"/>
        <v>O</v>
      </c>
      <c r="E544" s="400" t="s">
        <v>72</v>
      </c>
      <c r="F544" s="401">
        <v>5.8600007E7</v>
      </c>
      <c r="G544" s="402">
        <v>5.8600007E7</v>
      </c>
      <c r="H544" s="403">
        <v>4239311.0</v>
      </c>
      <c r="I544" s="403">
        <f t="shared" si="5"/>
        <v>542</v>
      </c>
      <c r="J544" s="404" t="str">
        <f t="shared" si="2"/>
        <v>#N/A</v>
      </c>
      <c r="K544" s="404"/>
      <c r="L544" s="405"/>
      <c r="M544" s="405"/>
    </row>
    <row r="545">
      <c r="A545" s="400" t="s">
        <v>1320</v>
      </c>
      <c r="B545" s="400" t="s">
        <v>1320</v>
      </c>
      <c r="C545" s="400" t="s">
        <v>22</v>
      </c>
      <c r="D545" s="400" t="str">
        <f t="shared" si="1"/>
        <v>L</v>
      </c>
      <c r="E545" s="400" t="s">
        <v>34</v>
      </c>
      <c r="F545" s="401">
        <v>6.6189004E7</v>
      </c>
      <c r="G545" s="402">
        <v>6.6189004E7</v>
      </c>
      <c r="H545" s="403">
        <v>319038.0</v>
      </c>
      <c r="I545" s="403">
        <f t="shared" si="5"/>
        <v>543</v>
      </c>
      <c r="J545" s="404" t="str">
        <f t="shared" si="2"/>
        <v>#N/A</v>
      </c>
      <c r="K545" s="404"/>
      <c r="L545" s="405"/>
      <c r="M545" s="405"/>
    </row>
    <row r="546">
      <c r="A546" s="400" t="s">
        <v>1320</v>
      </c>
      <c r="B546" s="400" t="s">
        <v>1322</v>
      </c>
      <c r="C546" s="400"/>
      <c r="D546" s="400" t="str">
        <f t="shared" si="1"/>
        <v>O</v>
      </c>
      <c r="E546" s="400" t="s">
        <v>57</v>
      </c>
      <c r="F546" s="401">
        <v>6.6189004E7</v>
      </c>
      <c r="G546" s="402">
        <v>6.61890041E7</v>
      </c>
      <c r="H546" s="403"/>
      <c r="I546" s="403">
        <f t="shared" si="5"/>
        <v>544</v>
      </c>
      <c r="J546" s="404" t="str">
        <f t="shared" si="2"/>
        <v>#N/A</v>
      </c>
      <c r="K546" s="404"/>
      <c r="L546" s="405"/>
      <c r="M546" s="405"/>
    </row>
    <row r="547">
      <c r="A547" s="400" t="s">
        <v>1320</v>
      </c>
      <c r="B547" s="400" t="s">
        <v>1325</v>
      </c>
      <c r="C547" s="400"/>
      <c r="D547" s="400" t="str">
        <f t="shared" si="1"/>
        <v>O</v>
      </c>
      <c r="E547" s="400" t="s">
        <v>57</v>
      </c>
      <c r="F547" s="401">
        <v>6.6189004E7</v>
      </c>
      <c r="G547" s="402">
        <v>6.61890042E7</v>
      </c>
      <c r="H547" s="403"/>
      <c r="I547" s="403">
        <f t="shared" si="5"/>
        <v>545</v>
      </c>
      <c r="J547" s="404" t="str">
        <f t="shared" si="2"/>
        <v>#N/A</v>
      </c>
      <c r="K547" s="404"/>
      <c r="L547" s="405"/>
      <c r="M547" s="405"/>
    </row>
    <row r="548">
      <c r="A548" s="400" t="s">
        <v>1320</v>
      </c>
      <c r="B548" s="400" t="s">
        <v>1326</v>
      </c>
      <c r="C548" s="400"/>
      <c r="D548" s="400" t="str">
        <f t="shared" si="1"/>
        <v>O</v>
      </c>
      <c r="E548" s="400" t="s">
        <v>72</v>
      </c>
      <c r="F548" s="401">
        <v>2.78536002E8</v>
      </c>
      <c r="G548" s="402">
        <v>2.78536002E8</v>
      </c>
      <c r="H548" s="403">
        <v>4150305.0</v>
      </c>
      <c r="I548" s="403">
        <f t="shared" si="5"/>
        <v>546</v>
      </c>
      <c r="J548" s="404" t="str">
        <f t="shared" si="2"/>
        <v>#N/A</v>
      </c>
      <c r="K548" s="404"/>
      <c r="L548" s="405"/>
      <c r="M548" s="405"/>
    </row>
    <row r="549">
      <c r="A549" s="400" t="s">
        <v>1320</v>
      </c>
      <c r="B549" s="400" t="s">
        <v>1327</v>
      </c>
      <c r="C549" s="400"/>
      <c r="D549" s="400" t="str">
        <f t="shared" si="1"/>
        <v>O</v>
      </c>
      <c r="E549" s="400" t="s">
        <v>57</v>
      </c>
      <c r="F549" s="401">
        <v>8.27164008E8</v>
      </c>
      <c r="G549" s="402">
        <v>8.27164008E8</v>
      </c>
      <c r="H549" s="403">
        <v>3.7311078E7</v>
      </c>
      <c r="I549" s="403">
        <f t="shared" si="5"/>
        <v>547</v>
      </c>
      <c r="J549" s="404" t="str">
        <f t="shared" si="2"/>
        <v>#N/A</v>
      </c>
      <c r="K549" s="404"/>
      <c r="L549" s="405"/>
      <c r="M549" s="405"/>
    </row>
    <row r="550">
      <c r="A550" s="400" t="s">
        <v>1320</v>
      </c>
      <c r="B550" s="400" t="s">
        <v>1332</v>
      </c>
      <c r="C550" s="400"/>
      <c r="D550" s="400" t="str">
        <f t="shared" si="1"/>
        <v>O</v>
      </c>
      <c r="E550" s="400" t="s">
        <v>72</v>
      </c>
      <c r="F550" s="401">
        <v>8.27164008E8</v>
      </c>
      <c r="G550" s="402">
        <v>8.271640081E8</v>
      </c>
      <c r="H550" s="403">
        <v>3.7311078E7</v>
      </c>
      <c r="I550" s="403">
        <f t="shared" si="5"/>
        <v>548</v>
      </c>
      <c r="J550" s="404" t="str">
        <f t="shared" si="2"/>
        <v>#N/A</v>
      </c>
      <c r="K550" s="404"/>
      <c r="L550" s="405"/>
      <c r="M550" s="405"/>
    </row>
    <row r="551">
      <c r="A551" s="257" t="s">
        <v>1337</v>
      </c>
      <c r="B551" s="257" t="s">
        <v>1338</v>
      </c>
      <c r="C551" s="257"/>
      <c r="D551" s="257" t="str">
        <f t="shared" si="1"/>
        <v>O</v>
      </c>
      <c r="E551" s="257" t="s">
        <v>54</v>
      </c>
      <c r="F551" s="259">
        <v>3.1712002E7</v>
      </c>
      <c r="G551" s="260">
        <v>3.1712002E7</v>
      </c>
      <c r="H551" s="261"/>
      <c r="I551" s="261">
        <f t="shared" si="5"/>
        <v>549</v>
      </c>
      <c r="J551" s="263" t="str">
        <f t="shared" si="2"/>
        <v>#N/A</v>
      </c>
      <c r="K551" s="263"/>
      <c r="L551" s="264"/>
      <c r="M551" s="264"/>
    </row>
    <row r="552">
      <c r="A552" s="257" t="s">
        <v>1337</v>
      </c>
      <c r="B552" s="257" t="s">
        <v>1337</v>
      </c>
      <c r="C552" s="464" t="s">
        <v>83</v>
      </c>
      <c r="D552" s="257" t="str">
        <f t="shared" si="1"/>
        <v>L</v>
      </c>
      <c r="E552" s="257" t="s">
        <v>34</v>
      </c>
      <c r="F552" s="259">
        <v>3.1712002E7</v>
      </c>
      <c r="G552" s="260">
        <v>3.1712002E7</v>
      </c>
      <c r="H552" s="261">
        <v>4135822.0</v>
      </c>
      <c r="I552" s="261">
        <f t="shared" si="5"/>
        <v>550</v>
      </c>
      <c r="J552" s="263" t="str">
        <f t="shared" si="2"/>
        <v>#N/A</v>
      </c>
      <c r="K552" s="263"/>
      <c r="L552" s="264"/>
      <c r="M552" s="264"/>
    </row>
    <row r="553">
      <c r="A553" s="257" t="s">
        <v>1337</v>
      </c>
      <c r="B553" s="257" t="s">
        <v>1345</v>
      </c>
      <c r="C553" s="464" t="s">
        <v>83</v>
      </c>
      <c r="D553" s="257" t="str">
        <f t="shared" si="1"/>
        <v>O</v>
      </c>
      <c r="E553" s="257" t="s">
        <v>57</v>
      </c>
      <c r="F553" s="259">
        <v>3.1712002E7</v>
      </c>
      <c r="G553" s="260">
        <v>3.17120021E7</v>
      </c>
      <c r="H553" s="261">
        <v>4135822.0</v>
      </c>
      <c r="I553" s="261">
        <f t="shared" si="5"/>
        <v>551</v>
      </c>
      <c r="J553" s="263" t="str">
        <f t="shared" si="2"/>
        <v>#N/A</v>
      </c>
      <c r="K553" s="263"/>
      <c r="L553" s="264"/>
      <c r="M553" s="264"/>
    </row>
    <row r="554">
      <c r="A554" s="400" t="s">
        <v>1347</v>
      </c>
      <c r="B554" s="400" t="s">
        <v>1347</v>
      </c>
      <c r="C554" s="465" t="s">
        <v>83</v>
      </c>
      <c r="D554" s="400" t="str">
        <f t="shared" si="1"/>
        <v>L</v>
      </c>
      <c r="E554" s="400" t="s">
        <v>34</v>
      </c>
      <c r="F554" s="401">
        <v>5.3043001E7</v>
      </c>
      <c r="G554" s="402">
        <v>5.3043001E7</v>
      </c>
      <c r="H554" s="403">
        <v>4203149.0</v>
      </c>
      <c r="I554" s="403">
        <f t="shared" si="5"/>
        <v>552</v>
      </c>
      <c r="J554" s="404" t="str">
        <f t="shared" si="2"/>
        <v>#N/A</v>
      </c>
      <c r="K554" s="404"/>
      <c r="L554" s="405"/>
      <c r="M554" s="405"/>
    </row>
    <row r="555">
      <c r="A555" s="400" t="s">
        <v>1347</v>
      </c>
      <c r="B555" s="400" t="s">
        <v>1353</v>
      </c>
      <c r="C555" s="400"/>
      <c r="D555" s="400" t="str">
        <f t="shared" si="1"/>
        <v>O</v>
      </c>
      <c r="E555" s="400" t="s">
        <v>57</v>
      </c>
      <c r="F555" s="401">
        <v>5.3043001E7</v>
      </c>
      <c r="G555" s="402">
        <v>5.30430011E7</v>
      </c>
      <c r="H555" s="403"/>
      <c r="I555" s="403">
        <f t="shared" si="5"/>
        <v>553</v>
      </c>
      <c r="J555" s="404" t="str">
        <f t="shared" si="2"/>
        <v>#N/A</v>
      </c>
      <c r="K555" s="404"/>
      <c r="L555" s="405"/>
      <c r="M555" s="405"/>
    </row>
    <row r="556">
      <c r="A556" s="400" t="s">
        <v>1347</v>
      </c>
      <c r="B556" s="400" t="s">
        <v>1355</v>
      </c>
      <c r="C556" s="400"/>
      <c r="D556" s="400" t="str">
        <f t="shared" si="1"/>
        <v>O</v>
      </c>
      <c r="E556" s="400" t="s">
        <v>57</v>
      </c>
      <c r="F556" s="401">
        <v>5.3043001E7</v>
      </c>
      <c r="G556" s="402">
        <v>5.30430012E7</v>
      </c>
      <c r="H556" s="403"/>
      <c r="I556" s="403">
        <f t="shared" si="5"/>
        <v>554</v>
      </c>
      <c r="J556" s="404" t="str">
        <f t="shared" si="2"/>
        <v>#N/A</v>
      </c>
      <c r="K556" s="404"/>
      <c r="L556" s="405"/>
      <c r="M556" s="405"/>
    </row>
    <row r="557">
      <c r="A557" s="257" t="s">
        <v>1359</v>
      </c>
      <c r="B557" s="257" t="s">
        <v>1359</v>
      </c>
      <c r="C557" s="464" t="s">
        <v>83</v>
      </c>
      <c r="D557" s="257" t="str">
        <f t="shared" si="1"/>
        <v>L</v>
      </c>
      <c r="E557" s="257" t="s">
        <v>34</v>
      </c>
      <c r="F557" s="259">
        <v>1.97441003E8</v>
      </c>
      <c r="G557" s="260">
        <v>1.97441003E8</v>
      </c>
      <c r="H557" s="261">
        <v>4058821.0</v>
      </c>
      <c r="I557" s="261">
        <f t="shared" si="5"/>
        <v>555</v>
      </c>
      <c r="J557" s="263" t="str">
        <f t="shared" si="2"/>
        <v>#N/A</v>
      </c>
      <c r="K557" s="263"/>
      <c r="L557" s="264"/>
      <c r="M557" s="264"/>
    </row>
    <row r="558">
      <c r="A558" s="257" t="s">
        <v>1359</v>
      </c>
      <c r="B558" s="257" t="s">
        <v>1364</v>
      </c>
      <c r="C558" s="257"/>
      <c r="D558" s="257" t="str">
        <f t="shared" si="1"/>
        <v>O</v>
      </c>
      <c r="E558" s="257" t="s">
        <v>54</v>
      </c>
      <c r="F558" s="259">
        <v>1.97441003E8</v>
      </c>
      <c r="G558" s="260">
        <v>1.97441003E8</v>
      </c>
      <c r="H558" s="261"/>
      <c r="I558" s="261">
        <f t="shared" si="5"/>
        <v>556</v>
      </c>
      <c r="J558" s="263" t="str">
        <f t="shared" si="2"/>
        <v>#N/A</v>
      </c>
      <c r="K558" s="263"/>
      <c r="L558" s="264"/>
      <c r="M558" s="264"/>
    </row>
    <row r="559">
      <c r="A559" s="257" t="s">
        <v>1359</v>
      </c>
      <c r="B559" s="257" t="s">
        <v>1365</v>
      </c>
      <c r="C559" s="257"/>
      <c r="D559" s="257" t="str">
        <f t="shared" si="1"/>
        <v>O</v>
      </c>
      <c r="E559" s="257" t="s">
        <v>57</v>
      </c>
      <c r="F559" s="259">
        <v>1.97441003E8</v>
      </c>
      <c r="G559" s="260">
        <v>1.974410031E8</v>
      </c>
      <c r="H559" s="261"/>
      <c r="I559" s="261">
        <f t="shared" si="5"/>
        <v>557</v>
      </c>
      <c r="J559" s="263" t="str">
        <f t="shared" si="2"/>
        <v>#N/A</v>
      </c>
      <c r="K559" s="263"/>
      <c r="L559" s="264"/>
      <c r="M559" s="264"/>
    </row>
    <row r="560">
      <c r="A560" s="257" t="s">
        <v>1359</v>
      </c>
      <c r="B560" s="257" t="s">
        <v>1366</v>
      </c>
      <c r="C560" s="257"/>
      <c r="D560" s="257" t="str">
        <f t="shared" si="1"/>
        <v>O</v>
      </c>
      <c r="E560" s="257" t="s">
        <v>57</v>
      </c>
      <c r="F560" s="259">
        <v>1.97441003E8</v>
      </c>
      <c r="G560" s="260">
        <v>1.974410032E8</v>
      </c>
      <c r="H560" s="261"/>
      <c r="I560" s="261">
        <f t="shared" si="5"/>
        <v>558</v>
      </c>
      <c r="J560" s="263" t="str">
        <f t="shared" si="2"/>
        <v>#N/A</v>
      </c>
      <c r="K560" s="263"/>
      <c r="L560" s="263"/>
      <c r="M560" s="263"/>
    </row>
    <row r="561">
      <c r="A561" s="257" t="s">
        <v>1359</v>
      </c>
      <c r="B561" s="257" t="s">
        <v>1367</v>
      </c>
      <c r="C561" s="257"/>
      <c r="D561" s="257" t="str">
        <f t="shared" si="1"/>
        <v>O</v>
      </c>
      <c r="E561" s="257" t="s">
        <v>57</v>
      </c>
      <c r="F561" s="259">
        <v>1.97441003E8</v>
      </c>
      <c r="G561" s="260">
        <v>1.9744100329999998E8</v>
      </c>
      <c r="H561" s="261"/>
      <c r="I561" s="261">
        <f t="shared" si="5"/>
        <v>559</v>
      </c>
      <c r="J561" s="263" t="str">
        <f t="shared" si="2"/>
        <v>#N/A</v>
      </c>
      <c r="K561" s="263"/>
      <c r="L561" s="264"/>
      <c r="M561" s="264"/>
    </row>
    <row r="562">
      <c r="A562" s="22" t="s">
        <v>1369</v>
      </c>
      <c r="B562" s="22" t="s">
        <v>1369</v>
      </c>
      <c r="C562" s="95" t="s">
        <v>83</v>
      </c>
      <c r="D562" s="22" t="str">
        <f t="shared" si="1"/>
        <v>L</v>
      </c>
      <c r="E562" s="22" t="s">
        <v>34</v>
      </c>
      <c r="F562" s="34">
        <v>7.18224004E8</v>
      </c>
      <c r="G562" s="35">
        <v>7.18224004E8</v>
      </c>
      <c r="H562" s="37">
        <v>3.7397558E7</v>
      </c>
      <c r="I562" s="37">
        <f t="shared" si="5"/>
        <v>560</v>
      </c>
      <c r="J562" s="41" t="str">
        <f t="shared" si="2"/>
        <v>#N/A</v>
      </c>
      <c r="K562" s="41"/>
      <c r="L562" s="45"/>
      <c r="M562" s="45"/>
    </row>
    <row r="563">
      <c r="A563" s="22" t="s">
        <v>1369</v>
      </c>
      <c r="B563" s="22" t="s">
        <v>1371</v>
      </c>
      <c r="C563" s="22"/>
      <c r="D563" s="22" t="str">
        <f t="shared" si="1"/>
        <v>O</v>
      </c>
      <c r="E563" s="22" t="s">
        <v>57</v>
      </c>
      <c r="F563" s="34">
        <v>7.18224004E8</v>
      </c>
      <c r="G563" s="35">
        <v>7.182240041E8</v>
      </c>
      <c r="H563" s="37"/>
      <c r="I563" s="37">
        <f t="shared" si="5"/>
        <v>561</v>
      </c>
      <c r="J563" s="41" t="str">
        <f t="shared" si="2"/>
        <v>#N/A</v>
      </c>
      <c r="K563" s="41"/>
      <c r="L563" s="45"/>
      <c r="M563" s="45"/>
    </row>
    <row r="564">
      <c r="A564" s="22" t="s">
        <v>1369</v>
      </c>
      <c r="B564" s="22" t="s">
        <v>1372</v>
      </c>
      <c r="C564" s="95" t="s">
        <v>83</v>
      </c>
      <c r="D564" s="22" t="str">
        <f t="shared" si="1"/>
        <v>O</v>
      </c>
      <c r="E564" s="22" t="s">
        <v>57</v>
      </c>
      <c r="F564" s="34">
        <v>7.18224004E8</v>
      </c>
      <c r="G564" s="35">
        <v>7.182240042E8</v>
      </c>
      <c r="H564" s="37">
        <v>3.7397558E7</v>
      </c>
      <c r="I564" s="37">
        <f t="shared" si="5"/>
        <v>562</v>
      </c>
      <c r="J564" s="41" t="str">
        <f t="shared" si="2"/>
        <v>#N/A</v>
      </c>
      <c r="K564" s="41"/>
      <c r="L564" s="45"/>
      <c r="M564" s="45"/>
    </row>
    <row r="565">
      <c r="A565" s="22" t="s">
        <v>1369</v>
      </c>
      <c r="B565" s="22" t="s">
        <v>1373</v>
      </c>
      <c r="C565" s="22"/>
      <c r="D565" s="22" t="str">
        <f t="shared" si="1"/>
        <v>O</v>
      </c>
      <c r="E565" s="22" t="s">
        <v>57</v>
      </c>
      <c r="F565" s="34">
        <v>7.18224004E8</v>
      </c>
      <c r="G565" s="35">
        <v>7.182240043000001E8</v>
      </c>
      <c r="H565" s="37"/>
      <c r="I565" s="37">
        <f t="shared" si="5"/>
        <v>563</v>
      </c>
      <c r="J565" s="41" t="str">
        <f t="shared" si="2"/>
        <v>#N/A</v>
      </c>
      <c r="K565" s="41"/>
      <c r="L565" s="45"/>
      <c r="M565" s="45"/>
    </row>
    <row r="566">
      <c r="A566" s="22" t="s">
        <v>1369</v>
      </c>
      <c r="B566" s="22" t="s">
        <v>1377</v>
      </c>
      <c r="C566" s="22"/>
      <c r="D566" s="22" t="str">
        <f t="shared" si="1"/>
        <v>O</v>
      </c>
      <c r="E566" s="22" t="s">
        <v>57</v>
      </c>
      <c r="F566" s="34">
        <v>7.18224004E8</v>
      </c>
      <c r="G566" s="35">
        <v>7.182240044E8</v>
      </c>
      <c r="H566" s="37"/>
      <c r="I566" s="37">
        <f t="shared" si="5"/>
        <v>564</v>
      </c>
      <c r="J566" s="41" t="str">
        <f t="shared" si="2"/>
        <v>#N/A</v>
      </c>
      <c r="K566" s="41"/>
      <c r="L566" s="45"/>
      <c r="M566" s="45"/>
    </row>
    <row r="567">
      <c r="A567" s="22" t="s">
        <v>1380</v>
      </c>
      <c r="B567" s="22" t="s">
        <v>1380</v>
      </c>
      <c r="C567" s="95" t="s">
        <v>83</v>
      </c>
      <c r="D567" s="22" t="str">
        <f t="shared" si="1"/>
        <v>L</v>
      </c>
      <c r="E567" s="22" t="s">
        <v>34</v>
      </c>
      <c r="F567" s="34">
        <v>9014002.0</v>
      </c>
      <c r="G567" s="35">
        <v>9014002.0</v>
      </c>
      <c r="H567" s="37">
        <v>140168.0</v>
      </c>
      <c r="I567" s="37">
        <f t="shared" si="5"/>
        <v>565</v>
      </c>
      <c r="J567" s="41" t="str">
        <f t="shared" si="2"/>
        <v>#N/A</v>
      </c>
      <c r="K567" s="41"/>
      <c r="L567" s="45"/>
      <c r="M567" s="45"/>
    </row>
    <row r="568">
      <c r="A568" s="22" t="s">
        <v>1380</v>
      </c>
      <c r="B568" s="22" t="s">
        <v>1384</v>
      </c>
      <c r="C568" s="22"/>
      <c r="D568" s="22" t="str">
        <f t="shared" si="1"/>
        <v>O</v>
      </c>
      <c r="E568" s="22" t="s">
        <v>72</v>
      </c>
      <c r="F568" s="34">
        <v>3.7042E7</v>
      </c>
      <c r="G568" s="35">
        <v>3.7042E7</v>
      </c>
      <c r="H568" s="37">
        <v>4284492.0</v>
      </c>
      <c r="I568" s="37">
        <f t="shared" si="5"/>
        <v>566</v>
      </c>
      <c r="J568" s="41" t="str">
        <f t="shared" si="2"/>
        <v>#N/A</v>
      </c>
      <c r="K568" s="41"/>
      <c r="L568" s="45"/>
      <c r="M568" s="45"/>
    </row>
    <row r="569">
      <c r="A569" s="139" t="s">
        <v>1389</v>
      </c>
      <c r="B569" s="139" t="s">
        <v>1391</v>
      </c>
      <c r="C569" s="325"/>
      <c r="D569" s="139" t="str">
        <f t="shared" si="1"/>
        <v>O</v>
      </c>
      <c r="E569" s="139" t="s">
        <v>177</v>
      </c>
      <c r="F569" s="141">
        <v>3.3339001E7</v>
      </c>
      <c r="G569" s="143">
        <v>3.3339001E7</v>
      </c>
      <c r="H569" s="468">
        <v>81931.0</v>
      </c>
      <c r="I569" s="144">
        <f t="shared" si="5"/>
        <v>567</v>
      </c>
      <c r="J569" s="146" t="str">
        <f t="shared" si="2"/>
        <v>#N/A</v>
      </c>
      <c r="K569" s="146"/>
      <c r="L569" s="147"/>
      <c r="M569" s="147"/>
    </row>
    <row r="570">
      <c r="A570" s="139" t="s">
        <v>1389</v>
      </c>
      <c r="B570" s="139" t="s">
        <v>1401</v>
      </c>
      <c r="C570" s="139"/>
      <c r="D570" s="139" t="str">
        <f t="shared" si="1"/>
        <v>O</v>
      </c>
      <c r="E570" s="139" t="s">
        <v>54</v>
      </c>
      <c r="F570" s="141">
        <v>1.56370009E8</v>
      </c>
      <c r="G570" s="143">
        <v>1.56370009E8</v>
      </c>
      <c r="H570" s="144"/>
      <c r="I570" s="144">
        <f t="shared" si="5"/>
        <v>568</v>
      </c>
      <c r="J570" s="146" t="str">
        <f t="shared" si="2"/>
        <v>#N/A</v>
      </c>
      <c r="K570" s="146"/>
      <c r="L570" s="147"/>
      <c r="M570" s="147"/>
    </row>
    <row r="571">
      <c r="A571" s="139" t="s">
        <v>1389</v>
      </c>
      <c r="B571" s="139" t="s">
        <v>1389</v>
      </c>
      <c r="C571" s="325" t="s">
        <v>83</v>
      </c>
      <c r="D571" s="139" t="str">
        <f t="shared" si="1"/>
        <v>L</v>
      </c>
      <c r="E571" s="139" t="s">
        <v>34</v>
      </c>
      <c r="F571" s="141">
        <v>1.56370009E8</v>
      </c>
      <c r="G571" s="143">
        <v>1.56370009E8</v>
      </c>
      <c r="H571" s="144">
        <v>4.0319772E7</v>
      </c>
      <c r="I571" s="144">
        <f t="shared" si="5"/>
        <v>569</v>
      </c>
      <c r="J571" s="146" t="str">
        <f t="shared" si="2"/>
        <v>#N/A</v>
      </c>
      <c r="K571" s="146"/>
      <c r="L571" s="147"/>
      <c r="M571" s="147"/>
    </row>
    <row r="572">
      <c r="A572" s="50" t="s">
        <v>1405</v>
      </c>
      <c r="B572" s="50" t="s">
        <v>1406</v>
      </c>
      <c r="C572" s="50"/>
      <c r="D572" s="50" t="str">
        <f t="shared" si="1"/>
        <v>O</v>
      </c>
      <c r="E572" s="50" t="s">
        <v>54</v>
      </c>
      <c r="F572" s="52">
        <v>5.0715003E7</v>
      </c>
      <c r="G572" s="54">
        <v>5.0715003E7</v>
      </c>
      <c r="H572" s="55"/>
      <c r="I572" s="55">
        <f t="shared" si="5"/>
        <v>570</v>
      </c>
      <c r="J572" s="57" t="str">
        <f t="shared" si="2"/>
        <v>#N/A</v>
      </c>
      <c r="K572" s="57"/>
      <c r="L572" s="59"/>
      <c r="M572" s="59"/>
    </row>
    <row r="573">
      <c r="A573" s="50" t="s">
        <v>1405</v>
      </c>
      <c r="B573" s="50" t="s">
        <v>1405</v>
      </c>
      <c r="C573" s="185" t="s">
        <v>22</v>
      </c>
      <c r="D573" s="50" t="str">
        <f t="shared" si="1"/>
        <v>L</v>
      </c>
      <c r="E573" s="50" t="s">
        <v>34</v>
      </c>
      <c r="F573" s="52">
        <v>5.0715003E7</v>
      </c>
      <c r="G573" s="54">
        <v>5.0715003E7</v>
      </c>
      <c r="H573" s="55">
        <v>140065.0</v>
      </c>
      <c r="I573" s="55">
        <f t="shared" si="5"/>
        <v>571</v>
      </c>
      <c r="J573" s="57" t="str">
        <f t="shared" si="2"/>
        <v>#N/A</v>
      </c>
      <c r="K573" s="57"/>
      <c r="L573" s="59"/>
      <c r="M573" s="59"/>
    </row>
    <row r="574">
      <c r="A574" s="50" t="s">
        <v>1405</v>
      </c>
      <c r="B574" s="50" t="s">
        <v>1411</v>
      </c>
      <c r="C574" s="50"/>
      <c r="D574" s="50" t="str">
        <f t="shared" si="1"/>
        <v>O</v>
      </c>
      <c r="E574" s="50" t="s">
        <v>57</v>
      </c>
      <c r="F574" s="52">
        <v>5.0715003E7</v>
      </c>
      <c r="G574" s="54">
        <v>5.07150031E7</v>
      </c>
      <c r="H574" s="55"/>
      <c r="I574" s="55">
        <f t="shared" si="5"/>
        <v>572</v>
      </c>
      <c r="J574" s="57" t="str">
        <f t="shared" si="2"/>
        <v>#N/A</v>
      </c>
      <c r="K574" s="57"/>
      <c r="L574" s="59"/>
      <c r="M574" s="59"/>
    </row>
    <row r="575">
      <c r="A575" s="50" t="s">
        <v>1405</v>
      </c>
      <c r="B575" s="50" t="s">
        <v>1413</v>
      </c>
      <c r="C575" s="50"/>
      <c r="D575" s="50" t="str">
        <f t="shared" si="1"/>
        <v>O</v>
      </c>
      <c r="E575" s="50" t="s">
        <v>57</v>
      </c>
      <c r="F575" s="52">
        <v>5.0715003E7</v>
      </c>
      <c r="G575" s="54">
        <v>5.07150032E7</v>
      </c>
      <c r="H575" s="55"/>
      <c r="I575" s="55">
        <f t="shared" si="5"/>
        <v>573</v>
      </c>
      <c r="J575" s="57" t="str">
        <f t="shared" si="2"/>
        <v>#N/A</v>
      </c>
      <c r="K575" s="57"/>
      <c r="L575" s="59"/>
      <c r="M575" s="59"/>
    </row>
    <row r="576">
      <c r="A576" s="50" t="s">
        <v>1405</v>
      </c>
      <c r="B576" s="50" t="s">
        <v>1414</v>
      </c>
      <c r="C576" s="50"/>
      <c r="D576" s="50" t="str">
        <f t="shared" si="1"/>
        <v>O</v>
      </c>
      <c r="E576" s="50" t="s">
        <v>57</v>
      </c>
      <c r="F576" s="52">
        <v>5.0715003E7</v>
      </c>
      <c r="G576" s="54">
        <v>5.0715003300000004E7</v>
      </c>
      <c r="H576" s="55"/>
      <c r="I576" s="55">
        <f t="shared" si="5"/>
        <v>574</v>
      </c>
      <c r="J576" s="57" t="str">
        <f t="shared" si="2"/>
        <v>#N/A</v>
      </c>
      <c r="K576" s="57"/>
      <c r="L576" s="59"/>
      <c r="M576" s="59"/>
    </row>
    <row r="577">
      <c r="A577" s="50" t="s">
        <v>1405</v>
      </c>
      <c r="B577" s="50" t="s">
        <v>1415</v>
      </c>
      <c r="C577" s="50"/>
      <c r="D577" s="50" t="str">
        <f t="shared" si="1"/>
        <v>O</v>
      </c>
      <c r="E577" s="50" t="s">
        <v>57</v>
      </c>
      <c r="F577" s="52">
        <v>5.0715003E7</v>
      </c>
      <c r="G577" s="54">
        <v>5.07150034E7</v>
      </c>
      <c r="H577" s="55"/>
      <c r="I577" s="55">
        <f t="shared" si="5"/>
        <v>575</v>
      </c>
      <c r="J577" s="57" t="str">
        <f t="shared" si="2"/>
        <v>#N/A</v>
      </c>
      <c r="K577" s="57"/>
      <c r="L577" s="59"/>
      <c r="M577" s="59"/>
    </row>
    <row r="578">
      <c r="A578" s="50" t="s">
        <v>1405</v>
      </c>
      <c r="B578" s="50" t="s">
        <v>1416</v>
      </c>
      <c r="C578" s="50"/>
      <c r="D578" s="50" t="str">
        <f t="shared" si="1"/>
        <v>O</v>
      </c>
      <c r="E578" s="50" t="s">
        <v>57</v>
      </c>
      <c r="F578" s="52">
        <v>5.0715003E7</v>
      </c>
      <c r="G578" s="54">
        <v>5.07150035E7</v>
      </c>
      <c r="H578" s="55"/>
      <c r="I578" s="55">
        <f t="shared" si="5"/>
        <v>576</v>
      </c>
      <c r="J578" s="57" t="str">
        <f t="shared" si="2"/>
        <v>#N/A</v>
      </c>
      <c r="K578" s="57"/>
      <c r="L578" s="59"/>
      <c r="M578" s="59"/>
    </row>
    <row r="579">
      <c r="A579" s="22" t="s">
        <v>1417</v>
      </c>
      <c r="B579" s="22" t="s">
        <v>1417</v>
      </c>
      <c r="C579" s="95" t="s">
        <v>83</v>
      </c>
      <c r="D579" s="22" t="str">
        <f t="shared" si="1"/>
        <v>L</v>
      </c>
      <c r="E579" s="22" t="s">
        <v>34</v>
      </c>
      <c r="F579" s="34">
        <v>7.4578003E7</v>
      </c>
      <c r="G579" s="35">
        <v>7.4578003E7</v>
      </c>
      <c r="H579" s="37">
        <v>133283.0</v>
      </c>
      <c r="I579" s="37">
        <f t="shared" si="5"/>
        <v>577</v>
      </c>
      <c r="J579" s="41" t="str">
        <f t="shared" si="2"/>
        <v>#N/A</v>
      </c>
      <c r="K579" s="41"/>
      <c r="L579" s="45"/>
      <c r="M579" s="45"/>
    </row>
    <row r="580">
      <c r="A580" s="61" t="s">
        <v>1419</v>
      </c>
      <c r="B580" s="61" t="s">
        <v>1419</v>
      </c>
      <c r="C580" s="484" t="s">
        <v>22</v>
      </c>
      <c r="D580" s="61" t="str">
        <f t="shared" si="1"/>
        <v>L</v>
      </c>
      <c r="E580" s="61" t="s">
        <v>34</v>
      </c>
      <c r="F580" s="64">
        <v>2.30191005E8</v>
      </c>
      <c r="G580" s="66">
        <v>2.30191005E8</v>
      </c>
      <c r="H580" s="67">
        <v>4041672.0</v>
      </c>
      <c r="I580" s="67">
        <f t="shared" si="5"/>
        <v>578</v>
      </c>
      <c r="J580" s="68" t="str">
        <f t="shared" si="2"/>
        <v>#N/A</v>
      </c>
      <c r="K580" s="68"/>
      <c r="L580" s="69"/>
      <c r="M580" s="69"/>
    </row>
    <row r="581">
      <c r="A581" s="61" t="s">
        <v>1419</v>
      </c>
      <c r="B581" s="61" t="s">
        <v>1419</v>
      </c>
      <c r="C581" s="484"/>
      <c r="D581" s="61" t="str">
        <f t="shared" si="1"/>
        <v>O</v>
      </c>
      <c r="E581" s="61" t="s">
        <v>388</v>
      </c>
      <c r="F581" s="64" t="s">
        <v>1425</v>
      </c>
      <c r="G581" s="66" t="s">
        <v>1425</v>
      </c>
      <c r="H581" s="67">
        <v>763040.0</v>
      </c>
      <c r="I581" s="67">
        <f t="shared" si="5"/>
        <v>579</v>
      </c>
      <c r="J581" s="68" t="str">
        <f t="shared" si="2"/>
        <v>#N/A</v>
      </c>
      <c r="K581" s="68"/>
      <c r="L581" s="69"/>
      <c r="M581" s="69"/>
    </row>
    <row r="582">
      <c r="A582" s="74" t="s">
        <v>1428</v>
      </c>
      <c r="B582" s="74" t="s">
        <v>1428</v>
      </c>
      <c r="C582" s="77" t="s">
        <v>83</v>
      </c>
      <c r="D582" s="74" t="str">
        <f t="shared" si="1"/>
        <v>O</v>
      </c>
      <c r="E582" s="74" t="s">
        <v>125</v>
      </c>
      <c r="F582" s="79">
        <v>2.66261006E8</v>
      </c>
      <c r="G582" s="80">
        <v>2.66261006E8</v>
      </c>
      <c r="H582" s="489">
        <v>4143972.0</v>
      </c>
      <c r="I582" s="81">
        <f t="shared" si="5"/>
        <v>580</v>
      </c>
      <c r="J582" s="82" t="str">
        <f t="shared" si="2"/>
        <v>#N/A</v>
      </c>
      <c r="K582" s="82"/>
      <c r="L582" s="83"/>
      <c r="M582" s="83"/>
    </row>
    <row r="583">
      <c r="A583" s="74" t="s">
        <v>1428</v>
      </c>
      <c r="B583" s="74" t="s">
        <v>1440</v>
      </c>
      <c r="C583" s="74"/>
      <c r="D583" s="74" t="str">
        <f t="shared" si="1"/>
        <v>O</v>
      </c>
      <c r="E583" s="74" t="s">
        <v>57</v>
      </c>
      <c r="F583" s="79">
        <v>3.56198E8</v>
      </c>
      <c r="G583" s="80">
        <v>3.56198E8</v>
      </c>
      <c r="H583" s="81"/>
      <c r="I583" s="81">
        <f t="shared" si="5"/>
        <v>581</v>
      </c>
      <c r="J583" s="82" t="str">
        <f t="shared" si="2"/>
        <v>#N/A</v>
      </c>
      <c r="K583" s="82"/>
      <c r="L583" s="83"/>
      <c r="M583" s="83"/>
    </row>
    <row r="584">
      <c r="A584" s="74" t="s">
        <v>1428</v>
      </c>
      <c r="B584" s="74" t="s">
        <v>1441</v>
      </c>
      <c r="C584" s="74"/>
      <c r="D584" s="74" t="str">
        <f t="shared" si="1"/>
        <v>O</v>
      </c>
      <c r="E584" s="74" t="s">
        <v>57</v>
      </c>
      <c r="F584" s="79">
        <v>3.56198E8</v>
      </c>
      <c r="G584" s="80">
        <v>3.561980001E8</v>
      </c>
      <c r="H584" s="81"/>
      <c r="I584" s="81">
        <f t="shared" si="5"/>
        <v>582</v>
      </c>
      <c r="J584" s="82" t="str">
        <f t="shared" si="2"/>
        <v>#N/A</v>
      </c>
      <c r="K584" s="82"/>
      <c r="L584" s="83"/>
      <c r="M584" s="83"/>
    </row>
    <row r="585">
      <c r="A585" s="74" t="s">
        <v>1428</v>
      </c>
      <c r="B585" s="74" t="s">
        <v>1442</v>
      </c>
      <c r="C585" s="74"/>
      <c r="D585" s="74" t="str">
        <f t="shared" si="1"/>
        <v>O</v>
      </c>
      <c r="E585" s="74" t="s">
        <v>57</v>
      </c>
      <c r="F585" s="79">
        <v>3.56198E8</v>
      </c>
      <c r="G585" s="80">
        <v>3.5619800020000005E8</v>
      </c>
      <c r="H585" s="81"/>
      <c r="I585" s="81">
        <f t="shared" si="5"/>
        <v>583</v>
      </c>
      <c r="J585" s="82" t="str">
        <f t="shared" si="2"/>
        <v>#N/A</v>
      </c>
      <c r="K585" s="82"/>
      <c r="L585" s="83"/>
      <c r="M585" s="83"/>
    </row>
    <row r="586">
      <c r="A586" s="74" t="s">
        <v>1428</v>
      </c>
      <c r="B586" s="74" t="s">
        <v>1444</v>
      </c>
      <c r="C586" s="77" t="s">
        <v>83</v>
      </c>
      <c r="D586" s="74" t="str">
        <f t="shared" si="1"/>
        <v>O</v>
      </c>
      <c r="E586" s="74" t="s">
        <v>34</v>
      </c>
      <c r="F586" s="79">
        <v>3.56198E8</v>
      </c>
      <c r="G586" s="80">
        <v>3.561980003E8</v>
      </c>
      <c r="H586" s="81">
        <v>4229162.0</v>
      </c>
      <c r="I586" s="81">
        <f t="shared" si="5"/>
        <v>584</v>
      </c>
      <c r="J586" s="82" t="str">
        <f t="shared" si="2"/>
        <v>#N/A</v>
      </c>
      <c r="K586" s="82"/>
      <c r="L586" s="83"/>
      <c r="M586" s="83"/>
    </row>
    <row r="587">
      <c r="A587" s="139" t="s">
        <v>1445</v>
      </c>
      <c r="B587" s="139" t="s">
        <v>1446</v>
      </c>
      <c r="C587" s="139"/>
      <c r="D587" s="139" t="str">
        <f t="shared" si="1"/>
        <v>O</v>
      </c>
      <c r="E587" s="139" t="s">
        <v>57</v>
      </c>
      <c r="F587" s="141">
        <v>6.7224007E7</v>
      </c>
      <c r="G587" s="143">
        <v>6.7224007E7</v>
      </c>
      <c r="H587" s="147">
        <v>78357.0</v>
      </c>
      <c r="I587" s="144">
        <f t="shared" si="5"/>
        <v>585</v>
      </c>
      <c r="J587" s="146" t="str">
        <f t="shared" si="2"/>
        <v>#N/A</v>
      </c>
      <c r="K587" s="146"/>
      <c r="L587" s="147"/>
      <c r="M587" s="147"/>
    </row>
    <row r="588">
      <c r="A588" s="139" t="s">
        <v>1445</v>
      </c>
      <c r="B588" s="139" t="s">
        <v>1447</v>
      </c>
      <c r="C588" s="139"/>
      <c r="D588" s="139" t="str">
        <f t="shared" si="1"/>
        <v>O</v>
      </c>
      <c r="E588" s="139" t="s">
        <v>54</v>
      </c>
      <c r="F588" s="141">
        <v>2.01736002E8</v>
      </c>
      <c r="G588" s="143">
        <v>2.01736002E8</v>
      </c>
      <c r="H588" s="144"/>
      <c r="I588" s="144">
        <f t="shared" si="5"/>
        <v>586</v>
      </c>
      <c r="J588" s="146" t="str">
        <f t="shared" si="2"/>
        <v>#N/A</v>
      </c>
      <c r="K588" s="146"/>
      <c r="L588" s="147"/>
      <c r="M588" s="147"/>
    </row>
    <row r="589">
      <c r="A589" s="139" t="s">
        <v>1445</v>
      </c>
      <c r="B589" s="139" t="s">
        <v>1445</v>
      </c>
      <c r="C589" s="325" t="s">
        <v>83</v>
      </c>
      <c r="D589" s="139" t="str">
        <f t="shared" si="1"/>
        <v>L</v>
      </c>
      <c r="E589" s="139" t="s">
        <v>34</v>
      </c>
      <c r="F589" s="141">
        <v>2.01736002E8</v>
      </c>
      <c r="G589" s="143">
        <v>2.01736002E8</v>
      </c>
      <c r="H589" s="144">
        <v>4.0399768E7</v>
      </c>
      <c r="I589" s="144">
        <f t="shared" si="5"/>
        <v>587</v>
      </c>
      <c r="J589" s="146" t="str">
        <f t="shared" si="2"/>
        <v>#N/A</v>
      </c>
      <c r="K589" s="146"/>
      <c r="L589" s="147"/>
      <c r="M589" s="147"/>
    </row>
    <row r="590">
      <c r="A590" s="139" t="s">
        <v>1445</v>
      </c>
      <c r="B590" s="139" t="s">
        <v>1453</v>
      </c>
      <c r="C590" s="139"/>
      <c r="D590" s="139" t="str">
        <f t="shared" si="1"/>
        <v>O</v>
      </c>
      <c r="E590" s="139" t="s">
        <v>57</v>
      </c>
      <c r="F590" s="141">
        <v>2.01736002E8</v>
      </c>
      <c r="G590" s="143">
        <v>2.017360021E8</v>
      </c>
      <c r="H590" s="144"/>
      <c r="I590" s="144">
        <f t="shared" si="5"/>
        <v>588</v>
      </c>
      <c r="J590" s="146" t="str">
        <f t="shared" si="2"/>
        <v>#N/A</v>
      </c>
      <c r="K590" s="146"/>
      <c r="L590" s="147"/>
      <c r="M590" s="147"/>
    </row>
    <row r="591">
      <c r="A591" s="139" t="s">
        <v>1445</v>
      </c>
      <c r="B591" s="139" t="s">
        <v>1457</v>
      </c>
      <c r="C591" s="139"/>
      <c r="D591" s="139" t="str">
        <f t="shared" si="1"/>
        <v>O</v>
      </c>
      <c r="E591" s="139" t="s">
        <v>57</v>
      </c>
      <c r="F591" s="141">
        <v>2.01736002E8</v>
      </c>
      <c r="G591" s="143">
        <v>2.017360022E8</v>
      </c>
      <c r="H591" s="144"/>
      <c r="I591" s="144">
        <f t="shared" si="5"/>
        <v>589</v>
      </c>
      <c r="J591" s="146" t="str">
        <f t="shared" si="2"/>
        <v>#N/A</v>
      </c>
      <c r="K591" s="146"/>
      <c r="L591" s="147"/>
      <c r="M591" s="147"/>
    </row>
    <row r="592">
      <c r="A592" s="139" t="s">
        <v>1462</v>
      </c>
      <c r="B592" s="139" t="s">
        <v>1462</v>
      </c>
      <c r="C592" s="325" t="s">
        <v>83</v>
      </c>
      <c r="D592" s="139" t="str">
        <f t="shared" si="1"/>
        <v>L</v>
      </c>
      <c r="E592" s="139" t="s">
        <v>34</v>
      </c>
      <c r="F592" s="141">
        <v>7.2275E7</v>
      </c>
      <c r="G592" s="143">
        <v>7.2275E7</v>
      </c>
      <c r="H592" s="144">
        <v>4216873.0</v>
      </c>
      <c r="I592" s="144">
        <f t="shared" si="5"/>
        <v>590</v>
      </c>
      <c r="J592" s="146" t="str">
        <f t="shared" si="2"/>
        <v>#N/A</v>
      </c>
      <c r="K592" s="146"/>
      <c r="L592" s="147"/>
      <c r="M592" s="147"/>
    </row>
    <row r="593">
      <c r="A593" s="139" t="s">
        <v>1462</v>
      </c>
      <c r="B593" s="139" t="s">
        <v>1465</v>
      </c>
      <c r="C593" s="325" t="s">
        <v>83</v>
      </c>
      <c r="D593" s="139" t="str">
        <f t="shared" si="1"/>
        <v>O</v>
      </c>
      <c r="E593" s="139" t="s">
        <v>57</v>
      </c>
      <c r="F593" s="141">
        <v>7.2275E7</v>
      </c>
      <c r="G593" s="143">
        <v>7.22750001E7</v>
      </c>
      <c r="H593" s="144">
        <v>4216873.0</v>
      </c>
      <c r="I593" s="144">
        <f t="shared" si="5"/>
        <v>591</v>
      </c>
      <c r="J593" s="146" t="str">
        <f t="shared" si="2"/>
        <v>#N/A</v>
      </c>
      <c r="K593" s="146"/>
      <c r="L593" s="147"/>
      <c r="M593" s="147"/>
    </row>
    <row r="594">
      <c r="A594" s="139" t="s">
        <v>1462</v>
      </c>
      <c r="B594" s="139" t="s">
        <v>1466</v>
      </c>
      <c r="C594" s="139"/>
      <c r="D594" s="139" t="str">
        <f t="shared" si="1"/>
        <v>O</v>
      </c>
      <c r="E594" s="139" t="s">
        <v>57</v>
      </c>
      <c r="F594" s="141">
        <v>7.2275E7</v>
      </c>
      <c r="G594" s="143">
        <v>7.227500019999999E7</v>
      </c>
      <c r="H594" s="144"/>
      <c r="I594" s="144">
        <f t="shared" si="5"/>
        <v>592</v>
      </c>
      <c r="J594" s="146" t="str">
        <f t="shared" si="2"/>
        <v>#N/A</v>
      </c>
      <c r="K594" s="146"/>
      <c r="L594" s="147"/>
      <c r="M594" s="147"/>
    </row>
    <row r="595">
      <c r="A595" s="139" t="s">
        <v>1462</v>
      </c>
      <c r="B595" s="139" t="s">
        <v>1467</v>
      </c>
      <c r="C595" s="325" t="s">
        <v>83</v>
      </c>
      <c r="D595" s="139" t="str">
        <f t="shared" si="1"/>
        <v>O</v>
      </c>
      <c r="E595" s="139" t="s">
        <v>57</v>
      </c>
      <c r="F595" s="141">
        <v>7.2275E7</v>
      </c>
      <c r="G595" s="143">
        <v>7.22750003E7</v>
      </c>
      <c r="H595" s="144">
        <v>4216873.0</v>
      </c>
      <c r="I595" s="144">
        <f t="shared" si="5"/>
        <v>593</v>
      </c>
      <c r="J595" s="146" t="str">
        <f t="shared" si="2"/>
        <v>#N/A</v>
      </c>
      <c r="K595" s="146"/>
      <c r="L595" s="147"/>
      <c r="M595" s="147"/>
    </row>
    <row r="596">
      <c r="A596" s="139" t="s">
        <v>1462</v>
      </c>
      <c r="B596" s="139" t="s">
        <v>1470</v>
      </c>
      <c r="C596" s="139"/>
      <c r="D596" s="139" t="str">
        <f t="shared" si="1"/>
        <v>O</v>
      </c>
      <c r="E596" s="139" t="s">
        <v>57</v>
      </c>
      <c r="F596" s="141">
        <v>7.2275E7</v>
      </c>
      <c r="G596" s="143">
        <v>7.227500039999999E7</v>
      </c>
      <c r="H596" s="144"/>
      <c r="I596" s="144">
        <f t="shared" si="5"/>
        <v>594</v>
      </c>
      <c r="J596" s="146" t="str">
        <f t="shared" si="2"/>
        <v>#N/A</v>
      </c>
      <c r="K596" s="146"/>
      <c r="L596" s="147"/>
      <c r="M596" s="147"/>
    </row>
    <row r="597">
      <c r="A597" s="139" t="s">
        <v>1462</v>
      </c>
      <c r="B597" s="139" t="s">
        <v>1471</v>
      </c>
      <c r="C597" s="139"/>
      <c r="D597" s="139" t="str">
        <f t="shared" si="1"/>
        <v>O</v>
      </c>
      <c r="E597" s="139" t="s">
        <v>57</v>
      </c>
      <c r="F597" s="141">
        <v>7.2275E7</v>
      </c>
      <c r="G597" s="143">
        <v>7.22750005E7</v>
      </c>
      <c r="H597" s="144"/>
      <c r="I597" s="144">
        <f t="shared" si="5"/>
        <v>595</v>
      </c>
      <c r="J597" s="146" t="str">
        <f t="shared" si="2"/>
        <v>#N/A</v>
      </c>
      <c r="K597" s="146"/>
      <c r="L597" s="147"/>
      <c r="M597" s="147"/>
    </row>
    <row r="598">
      <c r="A598" s="139" t="s">
        <v>1462</v>
      </c>
      <c r="B598" s="139" t="s">
        <v>1476</v>
      </c>
      <c r="C598" s="139"/>
      <c r="D598" s="139" t="str">
        <f t="shared" si="1"/>
        <v>O</v>
      </c>
      <c r="E598" s="139" t="s">
        <v>57</v>
      </c>
      <c r="F598" s="141">
        <v>7.2275E7</v>
      </c>
      <c r="G598" s="143">
        <v>7.22750006E7</v>
      </c>
      <c r="H598" s="144"/>
      <c r="I598" s="144">
        <f t="shared" si="5"/>
        <v>596</v>
      </c>
      <c r="J598" s="146" t="str">
        <f t="shared" si="2"/>
        <v>#N/A</v>
      </c>
      <c r="K598" s="146"/>
      <c r="L598" s="147"/>
      <c r="M598" s="147"/>
    </row>
    <row r="599">
      <c r="A599" s="139" t="s">
        <v>1462</v>
      </c>
      <c r="B599" s="139" t="s">
        <v>1480</v>
      </c>
      <c r="C599" s="139"/>
      <c r="D599" s="139" t="str">
        <f t="shared" si="1"/>
        <v>O</v>
      </c>
      <c r="E599" s="139" t="s">
        <v>57</v>
      </c>
      <c r="F599" s="141">
        <v>7.2275E7</v>
      </c>
      <c r="G599" s="143">
        <v>7.227500069999999E7</v>
      </c>
      <c r="H599" s="144"/>
      <c r="I599" s="144">
        <f t="shared" si="5"/>
        <v>597</v>
      </c>
      <c r="J599" s="146" t="str">
        <f t="shared" si="2"/>
        <v>#N/A</v>
      </c>
      <c r="K599" s="146"/>
      <c r="L599" s="147"/>
      <c r="M599" s="147"/>
    </row>
    <row r="600">
      <c r="A600" s="139" t="s">
        <v>1462</v>
      </c>
      <c r="B600" s="139" t="s">
        <v>1484</v>
      </c>
      <c r="C600" s="325" t="s">
        <v>83</v>
      </c>
      <c r="D600" s="139" t="str">
        <f t="shared" si="1"/>
        <v>O</v>
      </c>
      <c r="E600" s="139" t="s">
        <v>57</v>
      </c>
      <c r="F600" s="141">
        <v>7.2275E7</v>
      </c>
      <c r="G600" s="143">
        <v>7.22750008E7</v>
      </c>
      <c r="H600" s="144">
        <v>4216873.0</v>
      </c>
      <c r="I600" s="144">
        <f t="shared" si="5"/>
        <v>598</v>
      </c>
      <c r="J600" s="146" t="str">
        <f t="shared" si="2"/>
        <v>#N/A</v>
      </c>
      <c r="K600" s="146"/>
      <c r="L600" s="147"/>
      <c r="M600" s="147"/>
    </row>
    <row r="601">
      <c r="A601" s="139" t="s">
        <v>1462</v>
      </c>
      <c r="B601" s="139" t="s">
        <v>1487</v>
      </c>
      <c r="C601" s="139"/>
      <c r="D601" s="139" t="str">
        <f t="shared" si="1"/>
        <v>O</v>
      </c>
      <c r="E601" s="139" t="s">
        <v>57</v>
      </c>
      <c r="F601" s="141">
        <v>7.2275E7</v>
      </c>
      <c r="G601" s="143">
        <v>7.227500089999999E7</v>
      </c>
      <c r="H601" s="144"/>
      <c r="I601" s="144">
        <f t="shared" si="5"/>
        <v>599</v>
      </c>
      <c r="J601" s="146" t="str">
        <f t="shared" si="2"/>
        <v>#N/A</v>
      </c>
      <c r="K601" s="146"/>
      <c r="L601" s="147"/>
      <c r="M601" s="147"/>
    </row>
    <row r="602">
      <c r="A602" s="139" t="s">
        <v>1462</v>
      </c>
      <c r="B602" s="139" t="s">
        <v>1488</v>
      </c>
      <c r="C602" s="139"/>
      <c r="D602" s="139" t="str">
        <f t="shared" si="1"/>
        <v>O</v>
      </c>
      <c r="E602" s="139" t="s">
        <v>57</v>
      </c>
      <c r="F602" s="141">
        <v>7.2275E7</v>
      </c>
      <c r="G602" s="143">
        <v>7.2275001E7</v>
      </c>
      <c r="H602" s="144"/>
      <c r="I602" s="144">
        <f t="shared" si="5"/>
        <v>600</v>
      </c>
      <c r="J602" s="146" t="str">
        <f t="shared" si="2"/>
        <v>#N/A</v>
      </c>
      <c r="K602" s="146"/>
      <c r="L602" s="147"/>
      <c r="M602" s="147"/>
    </row>
    <row r="603">
      <c r="A603" s="61" t="s">
        <v>1489</v>
      </c>
      <c r="B603" s="61" t="s">
        <v>1489</v>
      </c>
      <c r="C603" s="131" t="s">
        <v>83</v>
      </c>
      <c r="D603" s="61" t="str">
        <f t="shared" si="1"/>
        <v>L</v>
      </c>
      <c r="E603" s="61" t="s">
        <v>142</v>
      </c>
      <c r="F603" s="64">
        <v>3.2914008E7</v>
      </c>
      <c r="G603" s="66">
        <v>3.2914008E7</v>
      </c>
      <c r="H603" s="67">
        <v>73754.0</v>
      </c>
      <c r="I603" s="67">
        <f t="shared" si="5"/>
        <v>601</v>
      </c>
      <c r="J603" s="68" t="str">
        <f t="shared" si="2"/>
        <v>#N/A</v>
      </c>
      <c r="K603" s="68"/>
      <c r="L603" s="69"/>
      <c r="M603" s="69"/>
    </row>
    <row r="604">
      <c r="A604" s="61" t="s">
        <v>1489</v>
      </c>
      <c r="B604" s="61" t="s">
        <v>1491</v>
      </c>
      <c r="C604" s="131"/>
      <c r="D604" s="61" t="str">
        <f t="shared" si="1"/>
        <v>O</v>
      </c>
      <c r="E604" s="61" t="s">
        <v>57</v>
      </c>
      <c r="F604" s="64">
        <v>3.2914008E7</v>
      </c>
      <c r="G604" s="66">
        <v>3.29140081E7</v>
      </c>
      <c r="H604" s="67"/>
      <c r="I604" s="67">
        <f t="shared" si="5"/>
        <v>602</v>
      </c>
      <c r="J604" s="68" t="str">
        <f t="shared" si="2"/>
        <v>#N/A</v>
      </c>
      <c r="K604" s="68"/>
      <c r="L604" s="69"/>
      <c r="M604" s="69"/>
    </row>
    <row r="605">
      <c r="A605" s="61" t="s">
        <v>1489</v>
      </c>
      <c r="B605" s="61" t="s">
        <v>1492</v>
      </c>
      <c r="C605" s="61"/>
      <c r="D605" s="61" t="str">
        <f t="shared" si="1"/>
        <v>O</v>
      </c>
      <c r="E605" s="61" t="s">
        <v>57</v>
      </c>
      <c r="F605" s="64">
        <v>3.2914008E7</v>
      </c>
      <c r="G605" s="66">
        <v>3.2914008200000003E7</v>
      </c>
      <c r="H605" s="67"/>
      <c r="I605" s="67">
        <f t="shared" si="5"/>
        <v>603</v>
      </c>
      <c r="J605" s="68" t="str">
        <f t="shared" si="2"/>
        <v>#N/A</v>
      </c>
      <c r="K605" s="68"/>
      <c r="L605" s="69"/>
      <c r="M605" s="69"/>
    </row>
    <row r="606">
      <c r="A606" s="74" t="s">
        <v>1493</v>
      </c>
      <c r="B606" s="74" t="s">
        <v>1494</v>
      </c>
      <c r="C606" s="74"/>
      <c r="D606" s="74" t="str">
        <f t="shared" si="1"/>
        <v>O</v>
      </c>
      <c r="E606" s="74" t="s">
        <v>54</v>
      </c>
      <c r="F606" s="79">
        <v>7.02575003E8</v>
      </c>
      <c r="G606" s="80">
        <v>7.02575003E8</v>
      </c>
      <c r="H606" s="81"/>
      <c r="I606" s="81">
        <f t="shared" si="5"/>
        <v>604</v>
      </c>
      <c r="J606" s="82" t="str">
        <f t="shared" si="2"/>
        <v>#N/A</v>
      </c>
      <c r="K606" s="82"/>
      <c r="L606" s="83"/>
      <c r="M606" s="83"/>
    </row>
    <row r="607">
      <c r="A607" s="74" t="s">
        <v>1493</v>
      </c>
      <c r="B607" s="74" t="s">
        <v>1493</v>
      </c>
      <c r="C607" s="74" t="s">
        <v>83</v>
      </c>
      <c r="D607" s="74" t="str">
        <f t="shared" si="1"/>
        <v>L</v>
      </c>
      <c r="E607" s="74" t="s">
        <v>34</v>
      </c>
      <c r="F607" s="79">
        <v>7.02575003E8</v>
      </c>
      <c r="G607" s="80">
        <v>7.02575003E8</v>
      </c>
      <c r="H607" s="81">
        <v>4.57656E7</v>
      </c>
      <c r="I607" s="81">
        <f t="shared" si="5"/>
        <v>605</v>
      </c>
      <c r="J607" s="82" t="str">
        <f t="shared" si="2"/>
        <v>#N/A</v>
      </c>
      <c r="K607" s="82"/>
      <c r="L607" s="83"/>
      <c r="M607" s="83"/>
    </row>
    <row r="608">
      <c r="A608" s="74" t="s">
        <v>1493</v>
      </c>
      <c r="B608" s="74" t="s">
        <v>1502</v>
      </c>
      <c r="C608" s="74"/>
      <c r="D608" s="74" t="str">
        <f t="shared" si="1"/>
        <v>O</v>
      </c>
      <c r="E608" s="74" t="s">
        <v>54</v>
      </c>
      <c r="F608" s="79">
        <v>7.02575003E8</v>
      </c>
      <c r="G608" s="80">
        <v>7.02575003E8</v>
      </c>
      <c r="H608" s="81"/>
      <c r="I608" s="81">
        <f t="shared" si="5"/>
        <v>606</v>
      </c>
      <c r="J608" s="82" t="str">
        <f t="shared" si="2"/>
        <v>#N/A</v>
      </c>
      <c r="K608" s="82"/>
      <c r="L608" s="83"/>
      <c r="M608" s="83"/>
    </row>
    <row r="609">
      <c r="A609" s="74" t="s">
        <v>1493</v>
      </c>
      <c r="B609" s="74" t="s">
        <v>1507</v>
      </c>
      <c r="C609" s="74"/>
      <c r="D609" s="74" t="str">
        <f t="shared" si="1"/>
        <v>O</v>
      </c>
      <c r="E609" s="74" t="s">
        <v>57</v>
      </c>
      <c r="F609" s="79">
        <v>7.02575003E8</v>
      </c>
      <c r="G609" s="80">
        <v>7.025750031E8</v>
      </c>
      <c r="H609" s="81"/>
      <c r="I609" s="81">
        <f t="shared" si="5"/>
        <v>607</v>
      </c>
      <c r="J609" s="82" t="str">
        <f t="shared" si="2"/>
        <v>#N/A</v>
      </c>
      <c r="K609" s="82"/>
      <c r="L609" s="83"/>
      <c r="M609" s="83"/>
    </row>
    <row r="610">
      <c r="A610" s="74" t="s">
        <v>1493</v>
      </c>
      <c r="B610" s="74" t="s">
        <v>1508</v>
      </c>
      <c r="C610" s="74"/>
      <c r="D610" s="74" t="str">
        <f t="shared" si="1"/>
        <v>O</v>
      </c>
      <c r="E610" s="74" t="s">
        <v>57</v>
      </c>
      <c r="F610" s="79">
        <v>7.02575003E8</v>
      </c>
      <c r="G610" s="80">
        <v>7.025750032E8</v>
      </c>
      <c r="H610" s="81"/>
      <c r="I610" s="81">
        <f t="shared" si="5"/>
        <v>608</v>
      </c>
      <c r="J610" s="82" t="str">
        <f t="shared" si="2"/>
        <v>#N/A</v>
      </c>
      <c r="K610" s="82"/>
      <c r="L610" s="83"/>
      <c r="M610" s="83"/>
    </row>
    <row r="611">
      <c r="A611" s="74" t="s">
        <v>1493</v>
      </c>
      <c r="B611" s="74" t="s">
        <v>1509</v>
      </c>
      <c r="C611" s="74"/>
      <c r="D611" s="74" t="str">
        <f t="shared" si="1"/>
        <v>O</v>
      </c>
      <c r="E611" s="74" t="s">
        <v>57</v>
      </c>
      <c r="F611" s="79">
        <v>7.02575003E8</v>
      </c>
      <c r="G611" s="80">
        <v>7.025750033000001E8</v>
      </c>
      <c r="H611" s="81"/>
      <c r="I611" s="81">
        <f t="shared" si="5"/>
        <v>609</v>
      </c>
      <c r="J611" s="82" t="str">
        <f t="shared" si="2"/>
        <v>#N/A</v>
      </c>
      <c r="K611" s="82"/>
      <c r="L611" s="83"/>
      <c r="M611" s="83"/>
    </row>
    <row r="612">
      <c r="A612" s="74" t="s">
        <v>1493</v>
      </c>
      <c r="B612" s="74" t="s">
        <v>1510</v>
      </c>
      <c r="C612" s="74" t="s">
        <v>83</v>
      </c>
      <c r="D612" s="74" t="str">
        <f t="shared" si="1"/>
        <v>O</v>
      </c>
      <c r="E612" s="74" t="s">
        <v>57</v>
      </c>
      <c r="F612" s="79">
        <v>7.02575003E8</v>
      </c>
      <c r="G612" s="80">
        <v>7.025750034E8</v>
      </c>
      <c r="H612" s="81">
        <v>4.57656E7</v>
      </c>
      <c r="I612" s="81">
        <f t="shared" si="5"/>
        <v>610</v>
      </c>
      <c r="J612" s="82" t="str">
        <f t="shared" si="2"/>
        <v>#N/A</v>
      </c>
      <c r="K612" s="82"/>
      <c r="L612" s="83"/>
      <c r="M612" s="83"/>
    </row>
    <row r="613">
      <c r="A613" s="139" t="s">
        <v>1514</v>
      </c>
      <c r="B613" s="139" t="s">
        <v>1514</v>
      </c>
      <c r="C613" s="325" t="s">
        <v>83</v>
      </c>
      <c r="D613" s="139" t="str">
        <f t="shared" si="1"/>
        <v>L</v>
      </c>
      <c r="E613" s="139" t="s">
        <v>34</v>
      </c>
      <c r="F613" s="141">
        <v>4.6826E7</v>
      </c>
      <c r="G613" s="143">
        <v>4.6826E7</v>
      </c>
      <c r="H613" s="144">
        <v>444120.0</v>
      </c>
      <c r="I613" s="144">
        <f t="shared" si="5"/>
        <v>611</v>
      </c>
      <c r="J613" s="146" t="str">
        <f t="shared" si="2"/>
        <v>#N/A</v>
      </c>
      <c r="K613" s="146"/>
      <c r="L613" s="147"/>
      <c r="M613" s="147"/>
    </row>
    <row r="614">
      <c r="A614" s="139" t="s">
        <v>1517</v>
      </c>
      <c r="B614" s="139" t="s">
        <v>1518</v>
      </c>
      <c r="C614" s="139"/>
      <c r="D614" s="139" t="str">
        <f t="shared" si="1"/>
        <v>O</v>
      </c>
      <c r="E614" s="139" t="s">
        <v>57</v>
      </c>
      <c r="F614" s="141">
        <v>4.6826E7</v>
      </c>
      <c r="G614" s="143">
        <v>4.68260001E7</v>
      </c>
      <c r="H614" s="144"/>
      <c r="I614" s="144">
        <f t="shared" si="5"/>
        <v>612</v>
      </c>
      <c r="J614" s="146" t="str">
        <f t="shared" si="2"/>
        <v>#N/A</v>
      </c>
      <c r="K614" s="146"/>
      <c r="L614" s="147"/>
      <c r="M614" s="147"/>
    </row>
    <row r="615">
      <c r="A615" s="139" t="s">
        <v>1514</v>
      </c>
      <c r="B615" s="139" t="s">
        <v>1522</v>
      </c>
      <c r="C615" s="325" t="s">
        <v>83</v>
      </c>
      <c r="D615" s="139" t="str">
        <f t="shared" si="1"/>
        <v>O</v>
      </c>
      <c r="E615" s="139" t="s">
        <v>57</v>
      </c>
      <c r="F615" s="141">
        <v>4.6826E7</v>
      </c>
      <c r="G615" s="143">
        <v>4.68260002E7</v>
      </c>
      <c r="H615" s="144">
        <v>444120.0</v>
      </c>
      <c r="I615" s="144">
        <f t="shared" si="5"/>
        <v>613</v>
      </c>
      <c r="J615" s="146" t="str">
        <f t="shared" si="2"/>
        <v>#N/A</v>
      </c>
      <c r="K615" s="146"/>
      <c r="L615" s="147"/>
      <c r="M615" s="147"/>
    </row>
    <row r="616">
      <c r="A616" s="139" t="s">
        <v>1517</v>
      </c>
      <c r="B616" s="139" t="s">
        <v>1524</v>
      </c>
      <c r="C616" s="139"/>
      <c r="D616" s="139" t="str">
        <f t="shared" si="1"/>
        <v>O</v>
      </c>
      <c r="E616" s="139" t="s">
        <v>57</v>
      </c>
      <c r="F616" s="141">
        <v>4.6826E7</v>
      </c>
      <c r="G616" s="143">
        <v>4.6826000300000004E7</v>
      </c>
      <c r="H616" s="144"/>
      <c r="I616" s="144">
        <f t="shared" si="5"/>
        <v>614</v>
      </c>
      <c r="J616" s="146" t="str">
        <f t="shared" si="2"/>
        <v>#N/A</v>
      </c>
      <c r="K616" s="146"/>
      <c r="L616" s="147"/>
      <c r="M616" s="147"/>
    </row>
    <row r="617">
      <c r="A617" s="400" t="s">
        <v>1529</v>
      </c>
      <c r="B617" s="400" t="s">
        <v>1529</v>
      </c>
      <c r="C617" s="490" t="s">
        <v>22</v>
      </c>
      <c r="D617" s="400" t="str">
        <f t="shared" si="1"/>
        <v>L</v>
      </c>
      <c r="E617" s="400" t="s">
        <v>34</v>
      </c>
      <c r="F617" s="401">
        <v>5.8718002E7</v>
      </c>
      <c r="G617" s="402">
        <v>5.8718002E7</v>
      </c>
      <c r="H617" s="403">
        <v>442313.0</v>
      </c>
      <c r="I617" s="403">
        <f t="shared" si="5"/>
        <v>615</v>
      </c>
      <c r="J617" s="404" t="str">
        <f t="shared" si="2"/>
        <v>#N/A</v>
      </c>
      <c r="K617" s="404"/>
      <c r="L617" s="405"/>
      <c r="M617" s="405"/>
    </row>
    <row r="618">
      <c r="A618" s="400" t="s">
        <v>1529</v>
      </c>
      <c r="B618" s="400" t="s">
        <v>1533</v>
      </c>
      <c r="C618" s="400"/>
      <c r="D618" s="400" t="str">
        <f t="shared" si="1"/>
        <v>O</v>
      </c>
      <c r="E618" s="400" t="s">
        <v>57</v>
      </c>
      <c r="F618" s="401">
        <v>5.8718002E7</v>
      </c>
      <c r="G618" s="402">
        <v>5.87180021E7</v>
      </c>
      <c r="H618" s="403"/>
      <c r="I618" s="403">
        <f t="shared" si="5"/>
        <v>616</v>
      </c>
      <c r="J618" s="404" t="str">
        <f t="shared" si="2"/>
        <v>#N/A</v>
      </c>
      <c r="K618" s="404"/>
      <c r="L618" s="405"/>
      <c r="M618" s="405"/>
    </row>
    <row r="619">
      <c r="A619" s="400" t="s">
        <v>1529</v>
      </c>
      <c r="B619" s="400" t="s">
        <v>1534</v>
      </c>
      <c r="C619" s="400"/>
      <c r="D619" s="400" t="str">
        <f t="shared" si="1"/>
        <v>O</v>
      </c>
      <c r="E619" s="400" t="s">
        <v>57</v>
      </c>
      <c r="F619" s="401">
        <v>5.8718002E7</v>
      </c>
      <c r="G619" s="402">
        <v>5.87180022E7</v>
      </c>
      <c r="H619" s="403"/>
      <c r="I619" s="403">
        <f t="shared" si="5"/>
        <v>617</v>
      </c>
      <c r="J619" s="404" t="str">
        <f t="shared" si="2"/>
        <v>#N/A</v>
      </c>
      <c r="K619" s="404"/>
      <c r="L619" s="405"/>
      <c r="M619" s="405"/>
    </row>
    <row r="620">
      <c r="A620" s="400" t="s">
        <v>1529</v>
      </c>
      <c r="B620" s="400" t="s">
        <v>1535</v>
      </c>
      <c r="C620" s="400"/>
      <c r="D620" s="400" t="str">
        <f t="shared" si="1"/>
        <v>O</v>
      </c>
      <c r="E620" s="400" t="s">
        <v>57</v>
      </c>
      <c r="F620" s="401">
        <v>5.8718002E7</v>
      </c>
      <c r="G620" s="402">
        <v>5.8718002300000004E7</v>
      </c>
      <c r="H620" s="403"/>
      <c r="I620" s="403">
        <f t="shared" si="5"/>
        <v>618</v>
      </c>
      <c r="J620" s="404" t="str">
        <f t="shared" si="2"/>
        <v>#N/A</v>
      </c>
      <c r="K620" s="404"/>
      <c r="L620" s="405"/>
      <c r="M620" s="405"/>
    </row>
    <row r="621">
      <c r="A621" s="400" t="s">
        <v>1529</v>
      </c>
      <c r="B621" s="400" t="s">
        <v>1536</v>
      </c>
      <c r="C621" s="400"/>
      <c r="D621" s="400" t="str">
        <f t="shared" si="1"/>
        <v>O</v>
      </c>
      <c r="E621" s="400" t="s">
        <v>57</v>
      </c>
      <c r="F621" s="401">
        <v>1.94709E8</v>
      </c>
      <c r="G621" s="402">
        <v>1.94709E8</v>
      </c>
      <c r="H621" s="491"/>
      <c r="I621" s="403">
        <f t="shared" si="5"/>
        <v>619</v>
      </c>
      <c r="J621" s="404" t="str">
        <f t="shared" si="2"/>
        <v>#N/A</v>
      </c>
      <c r="K621" s="492"/>
      <c r="L621" s="492"/>
      <c r="M621" s="492"/>
    </row>
    <row r="622">
      <c r="A622" s="139" t="s">
        <v>1537</v>
      </c>
      <c r="B622" s="139" t="s">
        <v>1537</v>
      </c>
      <c r="C622" s="325" t="s">
        <v>83</v>
      </c>
      <c r="D622" s="139" t="str">
        <f t="shared" si="1"/>
        <v>L</v>
      </c>
      <c r="E622" s="139" t="s">
        <v>34</v>
      </c>
      <c r="F622" s="141">
        <v>6.9896004E7</v>
      </c>
      <c r="G622" s="143">
        <v>6.9896004E7</v>
      </c>
      <c r="H622" s="144">
        <v>80809.0</v>
      </c>
      <c r="I622" s="144">
        <f t="shared" si="5"/>
        <v>620</v>
      </c>
      <c r="J622" s="146" t="str">
        <f t="shared" si="2"/>
        <v>#N/A</v>
      </c>
      <c r="K622" s="146"/>
      <c r="L622" s="147"/>
      <c r="M622" s="147"/>
    </row>
    <row r="623">
      <c r="A623" s="74" t="s">
        <v>1538</v>
      </c>
      <c r="B623" s="74" t="s">
        <v>1538</v>
      </c>
      <c r="C623" s="77" t="s">
        <v>83</v>
      </c>
      <c r="D623" s="74" t="str">
        <f t="shared" si="1"/>
        <v>L</v>
      </c>
      <c r="E623" s="74" t="s">
        <v>34</v>
      </c>
      <c r="F623" s="79">
        <v>4.00054E8</v>
      </c>
      <c r="G623" s="80">
        <v>4.00054E8</v>
      </c>
      <c r="H623" s="81">
        <v>4271003.0</v>
      </c>
      <c r="I623" s="81">
        <f t="shared" si="5"/>
        <v>621</v>
      </c>
      <c r="J623" s="82" t="str">
        <f t="shared" si="2"/>
        <v>#N/A</v>
      </c>
      <c r="K623" s="82"/>
      <c r="L623" s="83"/>
      <c r="M623" s="83"/>
    </row>
    <row r="624">
      <c r="A624" s="74" t="s">
        <v>1538</v>
      </c>
      <c r="B624" s="74" t="s">
        <v>1539</v>
      </c>
      <c r="C624" s="74"/>
      <c r="D624" s="74" t="str">
        <f t="shared" si="1"/>
        <v>O</v>
      </c>
      <c r="E624" s="74" t="s">
        <v>54</v>
      </c>
      <c r="F624" s="79">
        <v>4.00054E8</v>
      </c>
      <c r="G624" s="80">
        <v>4.00054E8</v>
      </c>
      <c r="H624" s="81"/>
      <c r="I624" s="81">
        <f t="shared" si="5"/>
        <v>622</v>
      </c>
      <c r="J624" s="82" t="str">
        <f t="shared" si="2"/>
        <v>#N/A</v>
      </c>
      <c r="K624" s="82"/>
      <c r="L624" s="83"/>
      <c r="M624" s="83"/>
    </row>
    <row r="625">
      <c r="A625" s="191" t="s">
        <v>1540</v>
      </c>
      <c r="B625" s="191" t="s">
        <v>1540</v>
      </c>
      <c r="C625" s="193" t="s">
        <v>83</v>
      </c>
      <c r="D625" s="191" t="str">
        <f t="shared" si="1"/>
        <v>L</v>
      </c>
      <c r="E625" s="191" t="s">
        <v>34</v>
      </c>
      <c r="F625" s="195" t="s">
        <v>1541</v>
      </c>
      <c r="G625" s="197" t="s">
        <v>1541</v>
      </c>
      <c r="H625" s="493">
        <v>438688.0</v>
      </c>
      <c r="I625" s="198">
        <f t="shared" si="5"/>
        <v>623</v>
      </c>
      <c r="J625" s="200" t="str">
        <f t="shared" si="2"/>
        <v>#N/A</v>
      </c>
      <c r="K625" s="200"/>
      <c r="L625" s="202"/>
      <c r="M625" s="202"/>
    </row>
    <row r="626">
      <c r="A626" s="191" t="s">
        <v>1540</v>
      </c>
      <c r="B626" s="191" t="s">
        <v>1542</v>
      </c>
      <c r="C626" s="191"/>
      <c r="D626" s="191" t="str">
        <f t="shared" si="1"/>
        <v>O</v>
      </c>
      <c r="E626" s="191" t="s">
        <v>57</v>
      </c>
      <c r="F626" s="195" t="s">
        <v>1543</v>
      </c>
      <c r="G626" s="197" t="s">
        <v>1543</v>
      </c>
      <c r="H626" s="493"/>
      <c r="I626" s="198">
        <f t="shared" si="5"/>
        <v>624</v>
      </c>
      <c r="J626" s="200" t="str">
        <f t="shared" si="2"/>
        <v>#N/A</v>
      </c>
      <c r="K626" s="200"/>
      <c r="L626" s="202"/>
      <c r="M626" s="202"/>
    </row>
    <row r="627">
      <c r="A627" s="191" t="s">
        <v>1540</v>
      </c>
      <c r="B627" s="191" t="s">
        <v>1544</v>
      </c>
      <c r="C627" s="193" t="s">
        <v>83</v>
      </c>
      <c r="D627" s="191" t="str">
        <f t="shared" si="1"/>
        <v>O</v>
      </c>
      <c r="E627" s="191" t="s">
        <v>72</v>
      </c>
      <c r="F627" s="195" t="s">
        <v>1543</v>
      </c>
      <c r="G627" s="197">
        <v>7.24700081E7</v>
      </c>
      <c r="H627" s="493">
        <v>4216556.0</v>
      </c>
      <c r="I627" s="198">
        <f t="shared" si="5"/>
        <v>625</v>
      </c>
      <c r="J627" s="200" t="str">
        <f t="shared" si="2"/>
        <v>#N/A</v>
      </c>
      <c r="K627" s="200"/>
      <c r="L627" s="202"/>
      <c r="M627" s="202"/>
    </row>
    <row r="628">
      <c r="A628" s="191" t="s">
        <v>1540</v>
      </c>
      <c r="B628" s="191" t="s">
        <v>1545</v>
      </c>
      <c r="C628" s="193" t="s">
        <v>83</v>
      </c>
      <c r="D628" s="191" t="str">
        <f t="shared" si="1"/>
        <v>O</v>
      </c>
      <c r="E628" s="191" t="s">
        <v>72</v>
      </c>
      <c r="F628" s="195" t="s">
        <v>1546</v>
      </c>
      <c r="G628" s="197" t="s">
        <v>1546</v>
      </c>
      <c r="H628" s="493">
        <v>4081069.0</v>
      </c>
      <c r="I628" s="198">
        <f t="shared" si="5"/>
        <v>626</v>
      </c>
      <c r="J628" s="200" t="str">
        <f t="shared" si="2"/>
        <v>#N/A</v>
      </c>
      <c r="K628" s="200"/>
      <c r="L628" s="202"/>
      <c r="M628" s="202"/>
    </row>
    <row r="629">
      <c r="A629" s="139" t="s">
        <v>1547</v>
      </c>
      <c r="B629" s="139" t="s">
        <v>1547</v>
      </c>
      <c r="C629" s="325" t="s">
        <v>83</v>
      </c>
      <c r="D629" s="139" t="str">
        <f t="shared" si="1"/>
        <v>L</v>
      </c>
      <c r="E629" s="139" t="s">
        <v>34</v>
      </c>
      <c r="F629" s="141">
        <v>4.02415001E8</v>
      </c>
      <c r="G629" s="143">
        <v>4.02415001E8</v>
      </c>
      <c r="H629" s="494">
        <v>4297647.0</v>
      </c>
      <c r="I629" s="144">
        <f t="shared" si="5"/>
        <v>627</v>
      </c>
      <c r="J629" s="146" t="str">
        <f t="shared" si="2"/>
        <v>#N/A</v>
      </c>
      <c r="K629" s="146"/>
      <c r="L629" s="147"/>
      <c r="M629" s="147"/>
    </row>
    <row r="630">
      <c r="A630" s="139" t="s">
        <v>1547</v>
      </c>
      <c r="B630" s="139" t="s">
        <v>1548</v>
      </c>
      <c r="C630" s="139"/>
      <c r="D630" s="139" t="str">
        <f t="shared" si="1"/>
        <v>O</v>
      </c>
      <c r="E630" s="139" t="s">
        <v>57</v>
      </c>
      <c r="F630" s="141">
        <v>4.02415001E8</v>
      </c>
      <c r="G630" s="143">
        <v>4.024150011E8</v>
      </c>
      <c r="H630" s="144"/>
      <c r="I630" s="144">
        <f t="shared" si="5"/>
        <v>628</v>
      </c>
      <c r="J630" s="146" t="str">
        <f t="shared" si="2"/>
        <v>#N/A</v>
      </c>
      <c r="K630" s="146"/>
      <c r="L630" s="147"/>
      <c r="M630" s="147"/>
    </row>
    <row r="631">
      <c r="A631" s="139" t="s">
        <v>1547</v>
      </c>
      <c r="B631" s="139" t="s">
        <v>1549</v>
      </c>
      <c r="C631" s="139"/>
      <c r="D631" s="139" t="str">
        <f t="shared" si="1"/>
        <v>O</v>
      </c>
      <c r="E631" s="139" t="s">
        <v>57</v>
      </c>
      <c r="F631" s="141">
        <v>4.02415001E8</v>
      </c>
      <c r="G631" s="143">
        <v>4.0241500120000005E8</v>
      </c>
      <c r="H631" s="144"/>
      <c r="I631" s="144">
        <f t="shared" si="5"/>
        <v>629</v>
      </c>
      <c r="J631" s="146" t="str">
        <f t="shared" si="2"/>
        <v>#N/A</v>
      </c>
      <c r="K631" s="146"/>
      <c r="L631" s="147"/>
      <c r="M631" s="147"/>
    </row>
    <row r="632">
      <c r="A632" s="139" t="s">
        <v>1547</v>
      </c>
      <c r="B632" s="139" t="s">
        <v>1550</v>
      </c>
      <c r="C632" s="139"/>
      <c r="D632" s="139" t="str">
        <f t="shared" si="1"/>
        <v>O</v>
      </c>
      <c r="E632" s="139" t="s">
        <v>57</v>
      </c>
      <c r="F632" s="141">
        <v>4.02415001E8</v>
      </c>
      <c r="G632" s="143">
        <v>4.024150013E8</v>
      </c>
      <c r="H632" s="144"/>
      <c r="I632" s="144">
        <f t="shared" si="5"/>
        <v>630</v>
      </c>
      <c r="J632" s="146" t="str">
        <f t="shared" si="2"/>
        <v>#N/A</v>
      </c>
      <c r="K632" s="146"/>
      <c r="L632" s="147"/>
      <c r="M632" s="147"/>
    </row>
    <row r="633">
      <c r="A633" s="139" t="s">
        <v>1547</v>
      </c>
      <c r="B633" s="139" t="s">
        <v>1551</v>
      </c>
      <c r="C633" s="139"/>
      <c r="D633" s="139" t="str">
        <f t="shared" si="1"/>
        <v>O</v>
      </c>
      <c r="E633" s="139" t="s">
        <v>57</v>
      </c>
      <c r="F633" s="141">
        <v>4.02415001E8</v>
      </c>
      <c r="G633" s="143">
        <v>4.0241500140000004E8</v>
      </c>
      <c r="H633" s="144"/>
      <c r="I633" s="144">
        <f t="shared" si="5"/>
        <v>631</v>
      </c>
      <c r="J633" s="146" t="str">
        <f t="shared" si="2"/>
        <v>#N/A</v>
      </c>
      <c r="K633" s="146"/>
      <c r="L633" s="147"/>
      <c r="M633" s="147"/>
    </row>
    <row r="634">
      <c r="A634" s="61" t="s">
        <v>1552</v>
      </c>
      <c r="B634" s="61" t="s">
        <v>1552</v>
      </c>
      <c r="C634" s="484" t="s">
        <v>83</v>
      </c>
      <c r="D634" s="61" t="str">
        <f t="shared" si="1"/>
        <v>L</v>
      </c>
      <c r="E634" s="61" t="s">
        <v>34</v>
      </c>
      <c r="F634" s="64">
        <v>7.8370002E7</v>
      </c>
      <c r="G634" s="66">
        <v>7.8370002E7</v>
      </c>
      <c r="H634" s="67">
        <v>434944.0</v>
      </c>
      <c r="I634" s="67">
        <f t="shared" si="5"/>
        <v>632</v>
      </c>
      <c r="J634" s="68" t="str">
        <f t="shared" si="2"/>
        <v>#N/A</v>
      </c>
      <c r="K634" s="68"/>
      <c r="L634" s="69"/>
      <c r="M634" s="69"/>
    </row>
    <row r="635">
      <c r="A635" s="103" t="s">
        <v>1553</v>
      </c>
      <c r="B635" s="103" t="s">
        <v>1553</v>
      </c>
      <c r="C635" s="297" t="s">
        <v>83</v>
      </c>
      <c r="D635" s="103" t="str">
        <f t="shared" si="1"/>
        <v>L</v>
      </c>
      <c r="E635" s="274" t="s">
        <v>34</v>
      </c>
      <c r="F635" s="105">
        <v>8.3901003E7</v>
      </c>
      <c r="G635" s="106">
        <v>8.3901003E7</v>
      </c>
      <c r="H635" s="107">
        <v>254443.0</v>
      </c>
      <c r="I635" s="107">
        <f t="shared" si="5"/>
        <v>633</v>
      </c>
      <c r="J635" s="108" t="str">
        <f t="shared" si="2"/>
        <v>#N/A</v>
      </c>
      <c r="K635" s="108"/>
      <c r="L635" s="109"/>
      <c r="M635" s="109"/>
    </row>
    <row r="636">
      <c r="A636" s="103" t="s">
        <v>1553</v>
      </c>
      <c r="B636" s="103" t="s">
        <v>1554</v>
      </c>
      <c r="C636" s="297" t="s">
        <v>83</v>
      </c>
      <c r="D636" s="103" t="str">
        <f t="shared" si="1"/>
        <v>O</v>
      </c>
      <c r="E636" s="274" t="s">
        <v>54</v>
      </c>
      <c r="F636" s="105">
        <v>8.3901003E7</v>
      </c>
      <c r="G636" s="106">
        <v>8.3901003E7</v>
      </c>
      <c r="H636" s="107"/>
      <c r="I636" s="107">
        <f t="shared" si="5"/>
        <v>634</v>
      </c>
      <c r="J636" s="108" t="str">
        <f t="shared" si="2"/>
        <v>#N/A</v>
      </c>
      <c r="K636" s="108"/>
      <c r="L636" s="109"/>
      <c r="M636" s="109"/>
    </row>
    <row r="637">
      <c r="A637" s="103" t="s">
        <v>1553</v>
      </c>
      <c r="B637" s="103" t="s">
        <v>1555</v>
      </c>
      <c r="C637" s="297" t="s">
        <v>83</v>
      </c>
      <c r="D637" s="103" t="str">
        <f t="shared" si="1"/>
        <v>O</v>
      </c>
      <c r="E637" s="274" t="s">
        <v>419</v>
      </c>
      <c r="F637" s="105">
        <v>8.3901003E7</v>
      </c>
      <c r="G637" s="106">
        <v>8.39010031E7</v>
      </c>
      <c r="H637" s="107">
        <v>254443.0</v>
      </c>
      <c r="I637" s="107">
        <f t="shared" si="5"/>
        <v>635</v>
      </c>
      <c r="J637" s="108" t="str">
        <f t="shared" si="2"/>
        <v>#N/A</v>
      </c>
      <c r="K637" s="108"/>
      <c r="L637" s="109"/>
      <c r="M637" s="109"/>
    </row>
    <row r="638">
      <c r="A638" s="103" t="s">
        <v>1553</v>
      </c>
      <c r="B638" s="103" t="s">
        <v>1556</v>
      </c>
      <c r="C638" s="103"/>
      <c r="D638" s="103" t="str">
        <f t="shared" si="1"/>
        <v>O</v>
      </c>
      <c r="E638" s="103" t="s">
        <v>57</v>
      </c>
      <c r="F638" s="105">
        <v>8.3901003E7</v>
      </c>
      <c r="G638" s="106">
        <v>8.390100319999999E7</v>
      </c>
      <c r="H638" s="107"/>
      <c r="I638" s="107">
        <f t="shared" si="5"/>
        <v>636</v>
      </c>
      <c r="J638" s="108" t="str">
        <f t="shared" si="2"/>
        <v>#N/A</v>
      </c>
      <c r="K638" s="108"/>
      <c r="L638" s="109"/>
      <c r="M638" s="109"/>
    </row>
    <row r="639">
      <c r="A639" s="103" t="s">
        <v>1553</v>
      </c>
      <c r="B639" s="103" t="s">
        <v>1557</v>
      </c>
      <c r="C639" s="297" t="s">
        <v>83</v>
      </c>
      <c r="D639" s="103" t="str">
        <f t="shared" si="1"/>
        <v>O</v>
      </c>
      <c r="E639" s="103" t="s">
        <v>57</v>
      </c>
      <c r="F639" s="105">
        <v>8.3901003E7</v>
      </c>
      <c r="G639" s="106">
        <v>8.39010033E7</v>
      </c>
      <c r="H639" s="107">
        <v>254443.0</v>
      </c>
      <c r="I639" s="107">
        <f t="shared" si="5"/>
        <v>637</v>
      </c>
      <c r="J639" s="108" t="str">
        <f t="shared" si="2"/>
        <v>#N/A</v>
      </c>
      <c r="K639" s="108"/>
      <c r="L639" s="109"/>
      <c r="M639" s="109"/>
    </row>
    <row r="640">
      <c r="A640" s="103" t="s">
        <v>1553</v>
      </c>
      <c r="B640" s="103" t="s">
        <v>1558</v>
      </c>
      <c r="C640" s="297" t="s">
        <v>83</v>
      </c>
      <c r="D640" s="103" t="str">
        <f t="shared" si="1"/>
        <v>O</v>
      </c>
      <c r="E640" s="103" t="s">
        <v>57</v>
      </c>
      <c r="F640" s="105">
        <v>8.3901003E7</v>
      </c>
      <c r="G640" s="106">
        <v>8.390100339999999E7</v>
      </c>
      <c r="H640" s="107">
        <v>254443.0</v>
      </c>
      <c r="I640" s="107">
        <f t="shared" si="5"/>
        <v>638</v>
      </c>
      <c r="J640" s="108" t="str">
        <f t="shared" si="2"/>
        <v>#N/A</v>
      </c>
      <c r="K640" s="108"/>
      <c r="L640" s="109"/>
      <c r="M640" s="109"/>
    </row>
    <row r="641">
      <c r="A641" s="103" t="s">
        <v>1553</v>
      </c>
      <c r="B641" s="103" t="s">
        <v>1559</v>
      </c>
      <c r="C641" s="297" t="s">
        <v>83</v>
      </c>
      <c r="D641" s="103" t="str">
        <f t="shared" si="1"/>
        <v>O</v>
      </c>
      <c r="E641" s="103" t="s">
        <v>57</v>
      </c>
      <c r="F641" s="105">
        <v>8.3901003E7</v>
      </c>
      <c r="G641" s="106">
        <v>8.39010035E7</v>
      </c>
      <c r="H641" s="107">
        <v>254443.0</v>
      </c>
      <c r="I641" s="107">
        <f t="shared" si="5"/>
        <v>639</v>
      </c>
      <c r="J641" s="108" t="str">
        <f t="shared" si="2"/>
        <v>#N/A</v>
      </c>
      <c r="K641" s="108"/>
      <c r="L641" s="109"/>
      <c r="M641" s="109"/>
    </row>
    <row r="642">
      <c r="A642" s="151" t="s">
        <v>1560</v>
      </c>
      <c r="B642" s="151" t="s">
        <v>1560</v>
      </c>
      <c r="C642" s="495" t="s">
        <v>83</v>
      </c>
      <c r="D642" s="151" t="str">
        <f t="shared" si="1"/>
        <v>L</v>
      </c>
      <c r="E642" s="324" t="s">
        <v>34</v>
      </c>
      <c r="F642" s="154">
        <v>6.8815009E7</v>
      </c>
      <c r="G642" s="155">
        <v>6.8815009E7</v>
      </c>
      <c r="H642" s="157">
        <v>4285717.0</v>
      </c>
      <c r="I642" s="157">
        <f t="shared" si="5"/>
        <v>640</v>
      </c>
      <c r="J642" s="159" t="str">
        <f t="shared" si="2"/>
        <v>#N/A</v>
      </c>
      <c r="K642" s="159"/>
      <c r="L642" s="160"/>
      <c r="M642" s="160"/>
    </row>
    <row r="643">
      <c r="A643" s="151" t="s">
        <v>1560</v>
      </c>
      <c r="B643" s="151" t="s">
        <v>1562</v>
      </c>
      <c r="C643" s="495" t="s">
        <v>83</v>
      </c>
      <c r="D643" s="151" t="str">
        <f t="shared" si="1"/>
        <v>O</v>
      </c>
      <c r="E643" s="151" t="s">
        <v>57</v>
      </c>
      <c r="F643" s="154">
        <v>6.8815009E7</v>
      </c>
      <c r="G643" s="155">
        <v>6.88150091E7</v>
      </c>
      <c r="H643" s="157">
        <v>4285717.0</v>
      </c>
      <c r="I643" s="157">
        <f t="shared" si="5"/>
        <v>641</v>
      </c>
      <c r="J643" s="159" t="str">
        <f t="shared" si="2"/>
        <v>#N/A</v>
      </c>
      <c r="K643" s="159"/>
      <c r="L643" s="160"/>
      <c r="M643" s="160"/>
    </row>
    <row r="644">
      <c r="A644" s="61" t="s">
        <v>1564</v>
      </c>
      <c r="B644" s="61" t="s">
        <v>1564</v>
      </c>
      <c r="C644" s="484" t="s">
        <v>83</v>
      </c>
      <c r="D644" s="61" t="str">
        <f t="shared" si="1"/>
        <v>L</v>
      </c>
      <c r="E644" s="61" t="s">
        <v>34</v>
      </c>
      <c r="F644" s="64">
        <v>7.71271E8</v>
      </c>
      <c r="G644" s="66">
        <v>7.71271E8</v>
      </c>
      <c r="H644" s="67">
        <v>3.6674282E7</v>
      </c>
      <c r="I644" s="67">
        <f t="shared" si="5"/>
        <v>642</v>
      </c>
      <c r="J644" s="68" t="str">
        <f t="shared" si="2"/>
        <v>#N/A</v>
      </c>
      <c r="K644" s="68"/>
      <c r="L644" s="69"/>
      <c r="M644" s="69"/>
    </row>
    <row r="645">
      <c r="A645" s="61" t="s">
        <v>1564</v>
      </c>
      <c r="B645" s="61" t="s">
        <v>1565</v>
      </c>
      <c r="C645" s="484" t="s">
        <v>83</v>
      </c>
      <c r="D645" s="61" t="str">
        <f t="shared" si="1"/>
        <v>O</v>
      </c>
      <c r="E645" s="61" t="s">
        <v>57</v>
      </c>
      <c r="F645" s="64">
        <v>7.71271E8</v>
      </c>
      <c r="G645" s="66" t="s">
        <v>1566</v>
      </c>
      <c r="H645" s="67">
        <v>3.6674282E7</v>
      </c>
      <c r="I645" s="67">
        <f t="shared" si="5"/>
        <v>643</v>
      </c>
      <c r="J645" s="68" t="str">
        <f t="shared" si="2"/>
        <v>#N/A</v>
      </c>
      <c r="K645" s="68"/>
      <c r="L645" s="69"/>
      <c r="M645" s="69"/>
    </row>
    <row r="646">
      <c r="A646" s="61" t="s">
        <v>1564</v>
      </c>
      <c r="B646" s="61" t="s">
        <v>1567</v>
      </c>
      <c r="C646" s="61"/>
      <c r="D646" s="61" t="str">
        <f t="shared" si="1"/>
        <v>O</v>
      </c>
      <c r="E646" s="61" t="s">
        <v>57</v>
      </c>
      <c r="F646" s="64">
        <v>7.71271E8</v>
      </c>
      <c r="G646" s="66">
        <v>7.712710002E8</v>
      </c>
      <c r="H646" s="67"/>
      <c r="I646" s="67">
        <f t="shared" si="5"/>
        <v>644</v>
      </c>
      <c r="J646" s="68" t="str">
        <f t="shared" si="2"/>
        <v>#N/A</v>
      </c>
      <c r="K646" s="68"/>
      <c r="L646" s="69"/>
      <c r="M646" s="69"/>
    </row>
    <row r="647">
      <c r="A647" s="61" t="s">
        <v>1564</v>
      </c>
      <c r="B647" s="61" t="s">
        <v>1568</v>
      </c>
      <c r="C647" s="484" t="s">
        <v>83</v>
      </c>
      <c r="D647" s="61" t="str">
        <f t="shared" si="1"/>
        <v>O</v>
      </c>
      <c r="E647" s="61" t="s">
        <v>57</v>
      </c>
      <c r="F647" s="64">
        <v>7.71271E8</v>
      </c>
      <c r="G647" s="66" t="s">
        <v>1569</v>
      </c>
      <c r="H647" s="67">
        <v>3.6674282E7</v>
      </c>
      <c r="I647" s="67">
        <f t="shared" si="5"/>
        <v>645</v>
      </c>
      <c r="J647" s="68" t="str">
        <f t="shared" si="2"/>
        <v>#N/A</v>
      </c>
      <c r="K647" s="68"/>
      <c r="L647" s="69"/>
      <c r="M647" s="69"/>
    </row>
    <row r="648">
      <c r="A648" s="61" t="s">
        <v>1564</v>
      </c>
      <c r="B648" s="61" t="s">
        <v>1570</v>
      </c>
      <c r="C648" s="61"/>
      <c r="D648" s="61" t="str">
        <f t="shared" si="1"/>
        <v>O</v>
      </c>
      <c r="E648" s="61" t="s">
        <v>57</v>
      </c>
      <c r="F648" s="64">
        <v>7.71271E8</v>
      </c>
      <c r="G648" s="66">
        <v>7.712710004E8</v>
      </c>
      <c r="H648" s="67"/>
      <c r="I648" s="67">
        <f t="shared" si="5"/>
        <v>646</v>
      </c>
      <c r="J648" s="68" t="str">
        <f t="shared" si="2"/>
        <v>#N/A</v>
      </c>
      <c r="K648" s="68"/>
      <c r="L648" s="69"/>
      <c r="M648" s="69"/>
    </row>
    <row r="649">
      <c r="A649" s="139" t="s">
        <v>1571</v>
      </c>
      <c r="B649" s="139" t="s">
        <v>1571</v>
      </c>
      <c r="C649" s="325" t="s">
        <v>83</v>
      </c>
      <c r="D649" s="139" t="str">
        <f t="shared" si="1"/>
        <v>L</v>
      </c>
      <c r="E649" s="139" t="s">
        <v>34</v>
      </c>
      <c r="F649" s="141">
        <v>5217008.0</v>
      </c>
      <c r="G649" s="143">
        <v>5217008.0</v>
      </c>
      <c r="H649" s="144">
        <v>379008.0</v>
      </c>
      <c r="I649" s="144">
        <f t="shared" si="5"/>
        <v>647</v>
      </c>
      <c r="J649" s="146" t="str">
        <f t="shared" si="2"/>
        <v>#N/A</v>
      </c>
      <c r="K649" s="146"/>
      <c r="L649" s="147"/>
      <c r="M649" s="147"/>
    </row>
    <row r="650">
      <c r="A650" s="139" t="s">
        <v>1571</v>
      </c>
      <c r="B650" s="139" t="s">
        <v>1572</v>
      </c>
      <c r="C650" s="139"/>
      <c r="D650" s="139" t="str">
        <f t="shared" si="1"/>
        <v>O</v>
      </c>
      <c r="E650" s="139" t="s">
        <v>57</v>
      </c>
      <c r="F650" s="141">
        <v>5217008.0</v>
      </c>
      <c r="G650" s="143">
        <v>5217008.1</v>
      </c>
      <c r="H650" s="144"/>
      <c r="I650" s="144">
        <f t="shared" si="5"/>
        <v>648</v>
      </c>
      <c r="J650" s="146" t="str">
        <f t="shared" si="2"/>
        <v>#N/A</v>
      </c>
      <c r="K650" s="146"/>
      <c r="L650" s="147"/>
      <c r="M650" s="147"/>
    </row>
    <row r="651">
      <c r="A651" s="139" t="s">
        <v>1571</v>
      </c>
      <c r="B651" s="139" t="s">
        <v>1573</v>
      </c>
      <c r="C651" s="325" t="s">
        <v>83</v>
      </c>
      <c r="D651" s="139" t="str">
        <f t="shared" si="1"/>
        <v>O</v>
      </c>
      <c r="E651" s="139" t="s">
        <v>57</v>
      </c>
      <c r="F651" s="141">
        <v>5217008.0</v>
      </c>
      <c r="G651" s="143">
        <v>5217008.199999999</v>
      </c>
      <c r="H651" s="144">
        <v>379008.0</v>
      </c>
      <c r="I651" s="144">
        <f t="shared" si="5"/>
        <v>649</v>
      </c>
      <c r="J651" s="146" t="str">
        <f t="shared" si="2"/>
        <v>#N/A</v>
      </c>
      <c r="K651" s="146"/>
      <c r="L651" s="147"/>
      <c r="M651" s="147"/>
    </row>
    <row r="652">
      <c r="A652" s="139" t="s">
        <v>1571</v>
      </c>
      <c r="B652" s="139" t="s">
        <v>1574</v>
      </c>
      <c r="C652" s="325" t="s">
        <v>83</v>
      </c>
      <c r="D652" s="139" t="str">
        <f t="shared" si="1"/>
        <v>O</v>
      </c>
      <c r="E652" s="139" t="s">
        <v>57</v>
      </c>
      <c r="F652" s="141">
        <v>5217008.0</v>
      </c>
      <c r="G652" s="143" t="s">
        <v>1575</v>
      </c>
      <c r="H652" s="144">
        <v>379008.0</v>
      </c>
      <c r="I652" s="144">
        <f t="shared" si="5"/>
        <v>650</v>
      </c>
      <c r="J652" s="146" t="str">
        <f t="shared" si="2"/>
        <v>#N/A</v>
      </c>
      <c r="K652" s="146"/>
      <c r="L652" s="147"/>
      <c r="M652" s="147"/>
    </row>
    <row r="653">
      <c r="A653" s="400" t="s">
        <v>1576</v>
      </c>
      <c r="B653" s="400" t="s">
        <v>1576</v>
      </c>
      <c r="C653" s="490" t="s">
        <v>22</v>
      </c>
      <c r="D653" s="400" t="str">
        <f t="shared" si="1"/>
        <v>L</v>
      </c>
      <c r="E653" s="400" t="s">
        <v>34</v>
      </c>
      <c r="F653" s="401">
        <v>7.3774007E7</v>
      </c>
      <c r="G653" s="402">
        <v>7.3774007E7</v>
      </c>
      <c r="H653" s="496">
        <v>4249899.0</v>
      </c>
      <c r="I653" s="403">
        <f t="shared" si="5"/>
        <v>651</v>
      </c>
      <c r="J653" s="404" t="str">
        <f t="shared" si="2"/>
        <v>#N/A</v>
      </c>
      <c r="K653" s="404"/>
      <c r="L653" s="405"/>
      <c r="M653" s="405"/>
    </row>
    <row r="654">
      <c r="A654" s="400" t="s">
        <v>1576</v>
      </c>
      <c r="B654" s="400" t="s">
        <v>1578</v>
      </c>
      <c r="C654" s="400"/>
      <c r="D654" s="400" t="str">
        <f t="shared" si="1"/>
        <v>O</v>
      </c>
      <c r="E654" s="400" t="s">
        <v>57</v>
      </c>
      <c r="F654" s="401">
        <v>7.3774007E7</v>
      </c>
      <c r="G654" s="402">
        <v>7.37740071E7</v>
      </c>
      <c r="H654" s="403"/>
      <c r="I654" s="403">
        <f t="shared" si="5"/>
        <v>652</v>
      </c>
      <c r="J654" s="404" t="str">
        <f t="shared" si="2"/>
        <v>#N/A</v>
      </c>
      <c r="K654" s="404"/>
      <c r="L654" s="405"/>
      <c r="M654" s="405"/>
    </row>
    <row r="655">
      <c r="A655" s="400" t="s">
        <v>1576</v>
      </c>
      <c r="B655" s="400" t="s">
        <v>1582</v>
      </c>
      <c r="C655" s="400"/>
      <c r="D655" s="400" t="str">
        <f t="shared" si="1"/>
        <v>O</v>
      </c>
      <c r="E655" s="400" t="s">
        <v>57</v>
      </c>
      <c r="F655" s="401">
        <v>7.3774007E7</v>
      </c>
      <c r="G655" s="402">
        <v>7.377400719999999E7</v>
      </c>
      <c r="H655" s="403"/>
      <c r="I655" s="403">
        <f t="shared" si="5"/>
        <v>653</v>
      </c>
      <c r="J655" s="404" t="str">
        <f t="shared" si="2"/>
        <v>#N/A</v>
      </c>
      <c r="K655" s="404"/>
      <c r="L655" s="405"/>
      <c r="M655" s="405"/>
    </row>
    <row r="656">
      <c r="A656" s="61" t="s">
        <v>1585</v>
      </c>
      <c r="B656" s="61" t="s">
        <v>1585</v>
      </c>
      <c r="C656" s="61" t="s">
        <v>22</v>
      </c>
      <c r="D656" s="61" t="str">
        <f t="shared" si="1"/>
        <v>L</v>
      </c>
      <c r="E656" s="61" t="s">
        <v>34</v>
      </c>
      <c r="F656" s="64">
        <v>7.5315001E7</v>
      </c>
      <c r="G656" s="66">
        <v>7.5315001E7</v>
      </c>
      <c r="H656" s="67">
        <v>438739.0</v>
      </c>
      <c r="I656" s="67">
        <f t="shared" si="5"/>
        <v>654</v>
      </c>
      <c r="J656" s="68" t="str">
        <f t="shared" si="2"/>
        <v>#N/A</v>
      </c>
      <c r="K656" s="68"/>
      <c r="L656" s="69"/>
      <c r="M656" s="69"/>
    </row>
    <row r="657">
      <c r="A657" s="61" t="s">
        <v>1585</v>
      </c>
      <c r="B657" s="61" t="s">
        <v>1587</v>
      </c>
      <c r="C657" s="61"/>
      <c r="D657" s="61" t="str">
        <f t="shared" si="1"/>
        <v>O</v>
      </c>
      <c r="E657" s="61" t="s">
        <v>57</v>
      </c>
      <c r="F657" s="64">
        <v>7.5315001E7</v>
      </c>
      <c r="G657" s="66">
        <v>7.53150011E7</v>
      </c>
      <c r="H657" s="67"/>
      <c r="I657" s="67">
        <f t="shared" si="5"/>
        <v>655</v>
      </c>
      <c r="J657" s="68" t="str">
        <f t="shared" si="2"/>
        <v>#N/A</v>
      </c>
      <c r="K657" s="68"/>
      <c r="L657" s="69"/>
      <c r="M657" s="69"/>
    </row>
    <row r="658">
      <c r="A658" s="61" t="s">
        <v>1585</v>
      </c>
      <c r="B658" s="61" t="s">
        <v>1589</v>
      </c>
      <c r="C658" s="61"/>
      <c r="D658" s="61" t="str">
        <f t="shared" si="1"/>
        <v>O</v>
      </c>
      <c r="E658" s="61" t="s">
        <v>57</v>
      </c>
      <c r="F658" s="64">
        <v>7.5315001E7</v>
      </c>
      <c r="G658" s="66">
        <v>7.531500119999999E7</v>
      </c>
      <c r="H658" s="67"/>
      <c r="I658" s="67">
        <f t="shared" si="5"/>
        <v>656</v>
      </c>
      <c r="J658" s="68" t="str">
        <f t="shared" si="2"/>
        <v>#N/A</v>
      </c>
      <c r="K658" s="68"/>
      <c r="L658" s="69"/>
      <c r="M658" s="69"/>
    </row>
    <row r="659">
      <c r="A659" s="61" t="s">
        <v>1585</v>
      </c>
      <c r="B659" s="61" t="s">
        <v>1590</v>
      </c>
      <c r="C659" s="61" t="s">
        <v>22</v>
      </c>
      <c r="D659" s="61" t="str">
        <f t="shared" si="1"/>
        <v>O</v>
      </c>
      <c r="E659" s="61" t="s">
        <v>57</v>
      </c>
      <c r="F659" s="64">
        <v>7.5315001E7</v>
      </c>
      <c r="G659" s="66">
        <v>7.53150013E7</v>
      </c>
      <c r="H659" s="67">
        <v>438739.0</v>
      </c>
      <c r="I659" s="67">
        <f t="shared" si="5"/>
        <v>657</v>
      </c>
      <c r="J659" s="68" t="str">
        <f t="shared" si="2"/>
        <v>#N/A</v>
      </c>
      <c r="K659" s="68"/>
      <c r="L659" s="69"/>
      <c r="M659" s="69"/>
    </row>
    <row r="660">
      <c r="A660" s="61" t="s">
        <v>1585</v>
      </c>
      <c r="B660" s="61" t="s">
        <v>1591</v>
      </c>
      <c r="C660" s="61"/>
      <c r="D660" s="61" t="str">
        <f t="shared" si="1"/>
        <v>O</v>
      </c>
      <c r="E660" s="61" t="s">
        <v>57</v>
      </c>
      <c r="F660" s="64">
        <v>7.5315001E7</v>
      </c>
      <c r="G660" s="66">
        <v>7.531500139999999E7</v>
      </c>
      <c r="H660" s="67"/>
      <c r="I660" s="67">
        <f t="shared" si="5"/>
        <v>658</v>
      </c>
      <c r="J660" s="68" t="str">
        <f t="shared" si="2"/>
        <v>#N/A</v>
      </c>
      <c r="K660" s="68"/>
      <c r="L660" s="69"/>
      <c r="M660" s="69"/>
    </row>
    <row r="661">
      <c r="A661" s="191" t="s">
        <v>1592</v>
      </c>
      <c r="B661" s="191" t="s">
        <v>1593</v>
      </c>
      <c r="C661" s="191"/>
      <c r="D661" s="191" t="str">
        <f t="shared" si="1"/>
        <v>O</v>
      </c>
      <c r="E661" s="191" t="s">
        <v>54</v>
      </c>
      <c r="F661" s="195">
        <v>5.5464009E7</v>
      </c>
      <c r="G661" s="197">
        <v>5.5464009E7</v>
      </c>
      <c r="H661" s="198"/>
      <c r="I661" s="198">
        <f t="shared" si="5"/>
        <v>659</v>
      </c>
      <c r="J661" s="200" t="str">
        <f t="shared" si="2"/>
        <v>#N/A</v>
      </c>
      <c r="K661" s="200"/>
      <c r="L661" s="202"/>
      <c r="M661" s="202"/>
    </row>
    <row r="662">
      <c r="A662" s="191" t="s">
        <v>1592</v>
      </c>
      <c r="B662" s="191" t="s">
        <v>1592</v>
      </c>
      <c r="C662" s="193" t="s">
        <v>83</v>
      </c>
      <c r="D662" s="191" t="str">
        <f t="shared" si="1"/>
        <v>L</v>
      </c>
      <c r="E662" s="191" t="s">
        <v>34</v>
      </c>
      <c r="F662" s="195">
        <v>5.5464009E7</v>
      </c>
      <c r="G662" s="197">
        <v>5.5464009E7</v>
      </c>
      <c r="H662" s="198">
        <v>257628.0</v>
      </c>
      <c r="I662" s="198">
        <f t="shared" si="5"/>
        <v>660</v>
      </c>
      <c r="J662" s="200" t="str">
        <f t="shared" si="2"/>
        <v>#N/A</v>
      </c>
      <c r="K662" s="200"/>
      <c r="L662" s="202"/>
      <c r="M662" s="202"/>
    </row>
    <row r="663">
      <c r="A663" s="191" t="s">
        <v>1592</v>
      </c>
      <c r="B663" s="191" t="s">
        <v>1592</v>
      </c>
      <c r="C663" s="193" t="s">
        <v>83</v>
      </c>
      <c r="D663" s="191" t="str">
        <f t="shared" si="1"/>
        <v>O</v>
      </c>
      <c r="E663" s="191" t="s">
        <v>388</v>
      </c>
      <c r="F663" s="195">
        <v>5.5464009E7</v>
      </c>
      <c r="G663" s="197">
        <v>5.54640091E7</v>
      </c>
      <c r="H663" s="198">
        <v>255891.0</v>
      </c>
      <c r="I663" s="198">
        <f t="shared" si="5"/>
        <v>661</v>
      </c>
      <c r="J663" s="200" t="str">
        <f t="shared" si="2"/>
        <v>#N/A</v>
      </c>
      <c r="K663" s="200"/>
      <c r="L663" s="202"/>
      <c r="M663" s="202"/>
    </row>
    <row r="664">
      <c r="A664" s="191" t="s">
        <v>1592</v>
      </c>
      <c r="B664" s="191" t="s">
        <v>1594</v>
      </c>
      <c r="C664" s="191"/>
      <c r="D664" s="191" t="str">
        <f t="shared" si="1"/>
        <v>O</v>
      </c>
      <c r="E664" s="191" t="s">
        <v>57</v>
      </c>
      <c r="F664" s="195">
        <v>5.5464009E7</v>
      </c>
      <c r="G664" s="197">
        <v>5.54640092E7</v>
      </c>
      <c r="H664" s="198"/>
      <c r="I664" s="198">
        <f t="shared" si="5"/>
        <v>662</v>
      </c>
      <c r="J664" s="200" t="str">
        <f t="shared" si="2"/>
        <v>#N/A</v>
      </c>
      <c r="K664" s="200"/>
      <c r="L664" s="202"/>
      <c r="M664" s="202"/>
    </row>
    <row r="665">
      <c r="A665" s="191" t="s">
        <v>1595</v>
      </c>
      <c r="B665" s="191" t="s">
        <v>1595</v>
      </c>
      <c r="C665" s="193" t="s">
        <v>83</v>
      </c>
      <c r="D665" s="191" t="str">
        <f t="shared" si="1"/>
        <v>L</v>
      </c>
      <c r="E665" s="191" t="s">
        <v>34</v>
      </c>
      <c r="F665" s="195">
        <v>3.97016004E8</v>
      </c>
      <c r="G665" s="197">
        <v>3.97016004E8</v>
      </c>
      <c r="H665" s="198">
        <v>4246284.0</v>
      </c>
      <c r="I665" s="198">
        <f t="shared" si="5"/>
        <v>663</v>
      </c>
      <c r="J665" s="200" t="str">
        <f t="shared" si="2"/>
        <v>#N/A</v>
      </c>
      <c r="K665" s="200"/>
      <c r="L665" s="202"/>
      <c r="M665" s="202"/>
    </row>
    <row r="666">
      <c r="A666" s="191" t="s">
        <v>1596</v>
      </c>
      <c r="B666" s="191" t="s">
        <v>1596</v>
      </c>
      <c r="C666" s="193" t="s">
        <v>83</v>
      </c>
      <c r="D666" s="191" t="str">
        <f t="shared" si="1"/>
        <v>L</v>
      </c>
      <c r="E666" s="191" t="s">
        <v>34</v>
      </c>
      <c r="F666" s="195">
        <v>8.9155008E7</v>
      </c>
      <c r="G666" s="197">
        <v>8.9155008E7</v>
      </c>
      <c r="H666" s="198">
        <v>134442.0</v>
      </c>
      <c r="I666" s="198">
        <f t="shared" si="5"/>
        <v>664</v>
      </c>
      <c r="J666" s="200" t="str">
        <f t="shared" si="2"/>
        <v>#N/A</v>
      </c>
      <c r="K666" s="200"/>
      <c r="L666" s="202"/>
      <c r="M666" s="202"/>
    </row>
    <row r="667">
      <c r="A667" s="191" t="s">
        <v>1596</v>
      </c>
      <c r="B667" s="191" t="s">
        <v>1597</v>
      </c>
      <c r="C667" s="191"/>
      <c r="D667" s="191" t="str">
        <f t="shared" si="1"/>
        <v>O</v>
      </c>
      <c r="E667" s="191" t="s">
        <v>57</v>
      </c>
      <c r="F667" s="195">
        <v>8.9155008E7</v>
      </c>
      <c r="G667" s="197">
        <v>8.91550081E7</v>
      </c>
      <c r="H667" s="198"/>
      <c r="I667" s="198">
        <f t="shared" si="5"/>
        <v>665</v>
      </c>
      <c r="J667" s="200" t="str">
        <f t="shared" si="2"/>
        <v>#N/A</v>
      </c>
      <c r="K667" s="200"/>
      <c r="L667" s="202"/>
      <c r="M667" s="202"/>
    </row>
    <row r="668">
      <c r="A668" s="191" t="s">
        <v>1596</v>
      </c>
      <c r="B668" s="191" t="s">
        <v>1598</v>
      </c>
      <c r="C668" s="191"/>
      <c r="D668" s="191" t="str">
        <f t="shared" si="1"/>
        <v>O</v>
      </c>
      <c r="E668" s="191" t="s">
        <v>57</v>
      </c>
      <c r="F668" s="195">
        <v>8.9155008E7</v>
      </c>
      <c r="G668" s="197">
        <v>8.915500819999999E7</v>
      </c>
      <c r="H668" s="198"/>
      <c r="I668" s="198">
        <f t="shared" si="5"/>
        <v>666</v>
      </c>
      <c r="J668" s="200" t="str">
        <f t="shared" si="2"/>
        <v>#N/A</v>
      </c>
      <c r="K668" s="200"/>
      <c r="L668" s="202"/>
      <c r="M668" s="202"/>
    </row>
    <row r="669">
      <c r="A669" s="191" t="s">
        <v>1596</v>
      </c>
      <c r="B669" s="191" t="s">
        <v>1599</v>
      </c>
      <c r="C669" s="193" t="s">
        <v>83</v>
      </c>
      <c r="D669" s="191" t="str">
        <f t="shared" si="1"/>
        <v>O</v>
      </c>
      <c r="E669" s="191" t="s">
        <v>57</v>
      </c>
      <c r="F669" s="195">
        <v>8.9155008E7</v>
      </c>
      <c r="G669" s="197">
        <v>8.91550083E7</v>
      </c>
      <c r="H669" s="198">
        <v>134442.0</v>
      </c>
      <c r="I669" s="198">
        <f t="shared" si="5"/>
        <v>667</v>
      </c>
      <c r="J669" s="200" t="str">
        <f t="shared" si="2"/>
        <v>#N/A</v>
      </c>
      <c r="K669" s="200"/>
      <c r="L669" s="202"/>
      <c r="M669" s="202"/>
    </row>
    <row r="670">
      <c r="A670" s="191" t="s">
        <v>1600</v>
      </c>
      <c r="B670" s="191" t="s">
        <v>1601</v>
      </c>
      <c r="C670" s="191"/>
      <c r="D670" s="191" t="str">
        <f t="shared" si="1"/>
        <v>O</v>
      </c>
      <c r="E670" s="191" t="s">
        <v>72</v>
      </c>
      <c r="F670" s="195">
        <v>3.1848007E7</v>
      </c>
      <c r="G670" s="197">
        <v>3.1848007E7</v>
      </c>
      <c r="H670" s="497">
        <v>4135937.0</v>
      </c>
      <c r="I670" s="198">
        <f t="shared" si="5"/>
        <v>668</v>
      </c>
      <c r="J670" s="200" t="str">
        <f t="shared" si="2"/>
        <v>#N/A</v>
      </c>
      <c r="K670" s="200"/>
      <c r="L670" s="202"/>
      <c r="M670" s="202"/>
    </row>
    <row r="671">
      <c r="A671" s="191" t="s">
        <v>1600</v>
      </c>
      <c r="B671" s="191" t="s">
        <v>1602</v>
      </c>
      <c r="C671" s="191"/>
      <c r="D671" s="191" t="str">
        <f t="shared" si="1"/>
        <v>O</v>
      </c>
      <c r="E671" s="191" t="s">
        <v>72</v>
      </c>
      <c r="F671" s="195" t="s">
        <v>1603</v>
      </c>
      <c r="G671" s="197" t="s">
        <v>1603</v>
      </c>
      <c r="H671" s="497">
        <v>4027230.0</v>
      </c>
      <c r="I671" s="198">
        <f t="shared" si="5"/>
        <v>669</v>
      </c>
      <c r="J671" s="200" t="str">
        <f t="shared" si="2"/>
        <v>#N/A</v>
      </c>
      <c r="K671" s="200"/>
      <c r="L671" s="202"/>
      <c r="M671" s="202"/>
    </row>
    <row r="672">
      <c r="A672" s="191" t="s">
        <v>1600</v>
      </c>
      <c r="B672" s="191" t="s">
        <v>1604</v>
      </c>
      <c r="C672" s="191"/>
      <c r="D672" s="191" t="str">
        <f t="shared" si="1"/>
        <v>O</v>
      </c>
      <c r="E672" s="191" t="s">
        <v>54</v>
      </c>
      <c r="F672" s="195" t="s">
        <v>1605</v>
      </c>
      <c r="G672" s="197" t="s">
        <v>1605</v>
      </c>
      <c r="H672" s="497"/>
      <c r="I672" s="198">
        <f t="shared" si="5"/>
        <v>670</v>
      </c>
      <c r="J672" s="200" t="str">
        <f t="shared" si="2"/>
        <v>#N/A</v>
      </c>
      <c r="K672" s="200"/>
      <c r="L672" s="202"/>
      <c r="M672" s="202"/>
    </row>
    <row r="673">
      <c r="A673" s="191" t="s">
        <v>1600</v>
      </c>
      <c r="B673" s="191" t="s">
        <v>1606</v>
      </c>
      <c r="C673" s="193"/>
      <c r="D673" s="191" t="str">
        <f t="shared" si="1"/>
        <v>O</v>
      </c>
      <c r="E673" s="191" t="s">
        <v>54</v>
      </c>
      <c r="F673" s="195" t="s">
        <v>1605</v>
      </c>
      <c r="G673" s="197" t="s">
        <v>1605</v>
      </c>
      <c r="H673" s="497"/>
      <c r="I673" s="198">
        <f t="shared" si="5"/>
        <v>671</v>
      </c>
      <c r="J673" s="200" t="str">
        <f t="shared" si="2"/>
        <v>#N/A</v>
      </c>
      <c r="K673" s="200"/>
      <c r="L673" s="202"/>
      <c r="M673" s="202"/>
    </row>
    <row r="674">
      <c r="A674" s="191" t="s">
        <v>1600</v>
      </c>
      <c r="B674" s="191" t="s">
        <v>1600</v>
      </c>
      <c r="C674" s="191"/>
      <c r="D674" s="191" t="str">
        <f t="shared" si="1"/>
        <v>L</v>
      </c>
      <c r="E674" s="191" t="s">
        <v>34</v>
      </c>
      <c r="F674" s="195" t="s">
        <v>1605</v>
      </c>
      <c r="G674" s="197" t="s">
        <v>1605</v>
      </c>
      <c r="H674" s="497">
        <v>4185187.0</v>
      </c>
      <c r="I674" s="198">
        <f t="shared" si="5"/>
        <v>672</v>
      </c>
      <c r="J674" s="200" t="str">
        <f t="shared" si="2"/>
        <v>#N/A</v>
      </c>
      <c r="K674" s="200"/>
      <c r="L674" s="202"/>
      <c r="M674" s="202"/>
    </row>
    <row r="675">
      <c r="A675" s="191" t="s">
        <v>1600</v>
      </c>
      <c r="B675" s="191" t="s">
        <v>1607</v>
      </c>
      <c r="C675" s="191"/>
      <c r="D675" s="191" t="str">
        <f t="shared" si="1"/>
        <v>O</v>
      </c>
      <c r="E675" s="191" t="s">
        <v>57</v>
      </c>
      <c r="F675" s="195" t="s">
        <v>1605</v>
      </c>
      <c r="G675" s="197">
        <v>2.982850041E8</v>
      </c>
      <c r="H675" s="497"/>
      <c r="I675" s="198">
        <f t="shared" si="5"/>
        <v>673</v>
      </c>
      <c r="J675" s="200" t="str">
        <f t="shared" si="2"/>
        <v>#N/A</v>
      </c>
      <c r="K675" s="200"/>
      <c r="L675" s="202"/>
      <c r="M675" s="202"/>
    </row>
    <row r="676">
      <c r="A676" s="191" t="s">
        <v>1600</v>
      </c>
      <c r="B676" s="191" t="s">
        <v>1608</v>
      </c>
      <c r="C676" s="191"/>
      <c r="D676" s="191" t="str">
        <f t="shared" si="1"/>
        <v>O</v>
      </c>
      <c r="E676" s="191" t="s">
        <v>72</v>
      </c>
      <c r="F676" s="195">
        <v>2.98285004E8</v>
      </c>
      <c r="G676" s="197" t="s">
        <v>1609</v>
      </c>
      <c r="H676" s="497">
        <v>4185187.0</v>
      </c>
      <c r="I676" s="198">
        <f t="shared" si="5"/>
        <v>674</v>
      </c>
      <c r="J676" s="200" t="str">
        <f t="shared" si="2"/>
        <v>#N/A</v>
      </c>
      <c r="K676" s="200"/>
      <c r="L676" s="202"/>
      <c r="M676" s="202"/>
    </row>
    <row r="677">
      <c r="A677" s="74" t="s">
        <v>1610</v>
      </c>
      <c r="B677" s="74" t="s">
        <v>1610</v>
      </c>
      <c r="C677" s="207" t="s">
        <v>83</v>
      </c>
      <c r="D677" s="74" t="str">
        <f t="shared" si="1"/>
        <v>L</v>
      </c>
      <c r="E677" s="74" t="s">
        <v>34</v>
      </c>
      <c r="F677" s="79">
        <v>3.59789008E8</v>
      </c>
      <c r="G677" s="80">
        <v>3.59789008E8</v>
      </c>
      <c r="H677" s="498">
        <v>440740.0</v>
      </c>
      <c r="I677" s="81">
        <f t="shared" si="5"/>
        <v>675</v>
      </c>
      <c r="J677" s="82" t="str">
        <f t="shared" si="2"/>
        <v>#N/A</v>
      </c>
      <c r="K677" s="82"/>
      <c r="L677" s="83"/>
      <c r="M677" s="83"/>
    </row>
    <row r="678">
      <c r="A678" s="74" t="s">
        <v>1610</v>
      </c>
      <c r="B678" s="74" t="s">
        <v>1611</v>
      </c>
      <c r="C678" s="207" t="s">
        <v>83</v>
      </c>
      <c r="D678" s="74" t="str">
        <f t="shared" si="1"/>
        <v>O</v>
      </c>
      <c r="E678" s="74" t="s">
        <v>57</v>
      </c>
      <c r="F678" s="79">
        <v>3.59789008E8</v>
      </c>
      <c r="G678" s="80">
        <v>3.597890081E8</v>
      </c>
      <c r="H678" s="498">
        <v>440740.0</v>
      </c>
      <c r="I678" s="81">
        <f t="shared" si="5"/>
        <v>676</v>
      </c>
      <c r="J678" s="82" t="str">
        <f t="shared" si="2"/>
        <v>#N/A</v>
      </c>
      <c r="K678" s="82"/>
      <c r="L678" s="83"/>
      <c r="M678" s="83"/>
    </row>
    <row r="679">
      <c r="A679" s="74" t="s">
        <v>1612</v>
      </c>
      <c r="B679" s="74" t="s">
        <v>1613</v>
      </c>
      <c r="C679" s="207" t="s">
        <v>83</v>
      </c>
      <c r="D679" s="74" t="str">
        <f t="shared" si="1"/>
        <v>O</v>
      </c>
      <c r="E679" s="74" t="s">
        <v>54</v>
      </c>
      <c r="F679" s="79">
        <v>4.00130008E8</v>
      </c>
      <c r="G679" s="80">
        <v>4.00130008E8</v>
      </c>
      <c r="H679" s="81">
        <v>4290976.0</v>
      </c>
      <c r="I679" s="81">
        <f t="shared" si="5"/>
        <v>677</v>
      </c>
      <c r="J679" s="82" t="str">
        <f t="shared" si="2"/>
        <v>#N/A</v>
      </c>
      <c r="K679" s="82"/>
      <c r="L679" s="83"/>
      <c r="M679" s="83"/>
    </row>
    <row r="680">
      <c r="A680" s="74" t="s">
        <v>1612</v>
      </c>
      <c r="B680" s="74" t="s">
        <v>1612</v>
      </c>
      <c r="C680" s="207" t="s">
        <v>83</v>
      </c>
      <c r="D680" s="74" t="str">
        <f t="shared" si="1"/>
        <v>L</v>
      </c>
      <c r="E680" s="74" t="s">
        <v>34</v>
      </c>
      <c r="F680" s="79">
        <v>4.00130008E8</v>
      </c>
      <c r="G680" s="80">
        <v>4.00130008E8</v>
      </c>
      <c r="H680" s="81">
        <v>4290976.0</v>
      </c>
      <c r="I680" s="81">
        <f t="shared" si="5"/>
        <v>678</v>
      </c>
      <c r="J680" s="82" t="str">
        <f t="shared" si="2"/>
        <v>#N/A</v>
      </c>
      <c r="K680" s="82"/>
      <c r="L680" s="83"/>
      <c r="M680" s="83"/>
    </row>
    <row r="681">
      <c r="A681" s="74" t="s">
        <v>1612</v>
      </c>
      <c r="B681" s="74" t="s">
        <v>1614</v>
      </c>
      <c r="C681" s="207" t="s">
        <v>83</v>
      </c>
      <c r="D681" s="74" t="str">
        <f t="shared" si="1"/>
        <v>O</v>
      </c>
      <c r="E681" s="74" t="s">
        <v>57</v>
      </c>
      <c r="F681" s="79">
        <v>4.00130008E8</v>
      </c>
      <c r="G681" s="80">
        <v>4.001300081E8</v>
      </c>
      <c r="H681" s="81">
        <v>4290976.0</v>
      </c>
      <c r="I681" s="81">
        <f t="shared" si="5"/>
        <v>679</v>
      </c>
      <c r="J681" s="82" t="str">
        <f t="shared" si="2"/>
        <v>#N/A</v>
      </c>
      <c r="K681" s="82"/>
      <c r="L681" s="83"/>
      <c r="M681" s="83"/>
    </row>
    <row r="682">
      <c r="A682" s="74" t="s">
        <v>1612</v>
      </c>
      <c r="B682" s="74" t="s">
        <v>1615</v>
      </c>
      <c r="C682" s="207" t="s">
        <v>83</v>
      </c>
      <c r="D682" s="74" t="str">
        <f t="shared" si="1"/>
        <v>O</v>
      </c>
      <c r="E682" s="74" t="s">
        <v>57</v>
      </c>
      <c r="F682" s="79">
        <v>4.00130008E8</v>
      </c>
      <c r="G682" s="80">
        <v>4.0013000820000005E8</v>
      </c>
      <c r="H682" s="81">
        <v>4290976.0</v>
      </c>
      <c r="I682" s="81">
        <f t="shared" si="5"/>
        <v>680</v>
      </c>
      <c r="J682" s="82" t="str">
        <f t="shared" si="2"/>
        <v>#N/A</v>
      </c>
      <c r="K682" s="82"/>
      <c r="L682" s="83"/>
      <c r="M682" s="83"/>
    </row>
    <row r="683">
      <c r="A683" s="74" t="s">
        <v>1612</v>
      </c>
      <c r="B683" s="74" t="s">
        <v>1616</v>
      </c>
      <c r="C683" s="74"/>
      <c r="D683" s="74" t="str">
        <f t="shared" si="1"/>
        <v>O</v>
      </c>
      <c r="E683" s="74" t="s">
        <v>57</v>
      </c>
      <c r="F683" s="79">
        <v>4.00130008E8</v>
      </c>
      <c r="G683" s="80">
        <v>4.001300083E8</v>
      </c>
      <c r="H683" s="81"/>
      <c r="I683" s="81">
        <f t="shared" si="5"/>
        <v>681</v>
      </c>
      <c r="J683" s="82" t="str">
        <f t="shared" si="2"/>
        <v>#N/A</v>
      </c>
      <c r="K683" s="82"/>
      <c r="L683" s="83"/>
      <c r="M683" s="83"/>
    </row>
    <row r="684">
      <c r="A684" s="74" t="s">
        <v>1612</v>
      </c>
      <c r="B684" s="74" t="s">
        <v>1617</v>
      </c>
      <c r="C684" s="207" t="s">
        <v>83</v>
      </c>
      <c r="D684" s="74" t="str">
        <f t="shared" si="1"/>
        <v>O</v>
      </c>
      <c r="E684" s="74" t="s">
        <v>57</v>
      </c>
      <c r="F684" s="79">
        <v>4.00130008E8</v>
      </c>
      <c r="G684" s="80">
        <v>4.0013000840000004E8</v>
      </c>
      <c r="H684" s="81">
        <v>4290976.0</v>
      </c>
      <c r="I684" s="81">
        <f t="shared" si="5"/>
        <v>682</v>
      </c>
      <c r="J684" s="82" t="str">
        <f t="shared" si="2"/>
        <v>#N/A</v>
      </c>
      <c r="K684" s="82"/>
      <c r="L684" s="83"/>
      <c r="M684" s="83"/>
    </row>
    <row r="685">
      <c r="A685" s="61" t="s">
        <v>1618</v>
      </c>
      <c r="B685" s="61" t="s">
        <v>1619</v>
      </c>
      <c r="C685" s="61"/>
      <c r="D685" s="61" t="str">
        <f t="shared" si="1"/>
        <v>O</v>
      </c>
      <c r="E685" s="61" t="s">
        <v>54</v>
      </c>
      <c r="F685" s="64">
        <v>9.5794005E7</v>
      </c>
      <c r="G685" s="66">
        <v>9.5794005E7</v>
      </c>
      <c r="H685" s="69"/>
      <c r="I685" s="67">
        <f t="shared" si="5"/>
        <v>683</v>
      </c>
      <c r="J685" s="68" t="str">
        <f t="shared" si="2"/>
        <v>#N/A</v>
      </c>
      <c r="K685" s="68"/>
      <c r="L685" s="69"/>
      <c r="M685" s="69"/>
    </row>
    <row r="686">
      <c r="A686" s="61" t="s">
        <v>1618</v>
      </c>
      <c r="B686" s="61" t="s">
        <v>1618</v>
      </c>
      <c r="C686" s="61" t="s">
        <v>83</v>
      </c>
      <c r="D686" s="61" t="str">
        <f t="shared" si="1"/>
        <v>L</v>
      </c>
      <c r="E686" s="61" t="s">
        <v>34</v>
      </c>
      <c r="F686" s="64">
        <v>9.5794005E7</v>
      </c>
      <c r="G686" s="66">
        <v>9.5794005E7</v>
      </c>
      <c r="H686" s="67">
        <v>4317989.0</v>
      </c>
      <c r="I686" s="67">
        <f t="shared" si="5"/>
        <v>684</v>
      </c>
      <c r="J686" s="68" t="str">
        <f t="shared" si="2"/>
        <v>#N/A</v>
      </c>
      <c r="K686" s="68"/>
      <c r="L686" s="69"/>
      <c r="M686" s="69"/>
    </row>
    <row r="687">
      <c r="A687" s="61" t="s">
        <v>1618</v>
      </c>
      <c r="B687" s="61" t="s">
        <v>1620</v>
      </c>
      <c r="C687" s="61"/>
      <c r="D687" s="61" t="str">
        <f t="shared" si="1"/>
        <v>O</v>
      </c>
      <c r="E687" s="61" t="s">
        <v>57</v>
      </c>
      <c r="F687" s="64">
        <v>9.5794005E7</v>
      </c>
      <c r="G687" s="66">
        <v>9.57940051E7</v>
      </c>
      <c r="H687" s="67"/>
      <c r="I687" s="67">
        <f t="shared" si="5"/>
        <v>685</v>
      </c>
      <c r="J687" s="68" t="str">
        <f t="shared" si="2"/>
        <v>#N/A</v>
      </c>
      <c r="K687" s="68"/>
      <c r="L687" s="69"/>
      <c r="M687" s="69"/>
    </row>
    <row r="688">
      <c r="A688" s="61" t="s">
        <v>1618</v>
      </c>
      <c r="B688" s="61" t="s">
        <v>1621</v>
      </c>
      <c r="C688" s="61"/>
      <c r="D688" s="61" t="str">
        <f t="shared" si="1"/>
        <v>O</v>
      </c>
      <c r="E688" s="61" t="s">
        <v>57</v>
      </c>
      <c r="F688" s="64">
        <v>9.5794005E7</v>
      </c>
      <c r="G688" s="66">
        <v>9.579400519999999E7</v>
      </c>
      <c r="H688" s="67"/>
      <c r="I688" s="67">
        <f t="shared" si="5"/>
        <v>686</v>
      </c>
      <c r="J688" s="68" t="str">
        <f t="shared" si="2"/>
        <v>#N/A</v>
      </c>
      <c r="K688" s="68"/>
      <c r="L688" s="69"/>
      <c r="M688" s="69"/>
    </row>
    <row r="689">
      <c r="A689" s="61" t="s">
        <v>1618</v>
      </c>
      <c r="B689" s="61" t="s">
        <v>1623</v>
      </c>
      <c r="C689" s="61"/>
      <c r="D689" s="61" t="str">
        <f t="shared" si="1"/>
        <v>O</v>
      </c>
      <c r="E689" s="61" t="s">
        <v>57</v>
      </c>
      <c r="F689" s="64">
        <v>9.5794005E7</v>
      </c>
      <c r="G689" s="66">
        <v>9.57940053E7</v>
      </c>
      <c r="H689" s="67"/>
      <c r="I689" s="67">
        <f t="shared" si="5"/>
        <v>687</v>
      </c>
      <c r="J689" s="68" t="str">
        <f t="shared" si="2"/>
        <v>#N/A</v>
      </c>
      <c r="K689" s="68"/>
      <c r="L689" s="69"/>
      <c r="M689" s="69"/>
    </row>
    <row r="690">
      <c r="A690" s="61" t="s">
        <v>1626</v>
      </c>
      <c r="B690" s="61" t="s">
        <v>1626</v>
      </c>
      <c r="C690" s="484" t="s">
        <v>83</v>
      </c>
      <c r="D690" s="61" t="str">
        <f t="shared" si="1"/>
        <v>L</v>
      </c>
      <c r="E690" s="499" t="s">
        <v>34</v>
      </c>
      <c r="F690" s="64">
        <v>1.6631009E7</v>
      </c>
      <c r="G690" s="66">
        <v>1.6631009E7</v>
      </c>
      <c r="H690" s="67">
        <v>443904.0</v>
      </c>
      <c r="I690" s="67">
        <f t="shared" si="5"/>
        <v>688</v>
      </c>
      <c r="J690" s="68" t="str">
        <f t="shared" si="2"/>
        <v>#N/A</v>
      </c>
      <c r="K690" s="68"/>
      <c r="L690" s="69"/>
      <c r="M690" s="69"/>
    </row>
    <row r="691">
      <c r="A691" s="61" t="s">
        <v>1626</v>
      </c>
      <c r="B691" s="61" t="s">
        <v>1627</v>
      </c>
      <c r="C691" s="61"/>
      <c r="D691" s="61" t="str">
        <f t="shared" si="1"/>
        <v>O</v>
      </c>
      <c r="E691" s="61" t="s">
        <v>57</v>
      </c>
      <c r="F691" s="64">
        <v>1.6631009E7</v>
      </c>
      <c r="G691" s="66">
        <v>1.66310091E7</v>
      </c>
      <c r="H691" s="67"/>
      <c r="I691" s="67">
        <f t="shared" si="5"/>
        <v>689</v>
      </c>
      <c r="J691" s="68" t="str">
        <f t="shared" si="2"/>
        <v>#N/A</v>
      </c>
      <c r="K691" s="68"/>
      <c r="L691" s="69"/>
      <c r="M691" s="69"/>
    </row>
    <row r="692">
      <c r="A692" s="232" t="s">
        <v>767</v>
      </c>
      <c r="B692" s="232" t="s">
        <v>767</v>
      </c>
      <c r="C692" s="232" t="s">
        <v>83</v>
      </c>
      <c r="D692" s="232" t="str">
        <f t="shared" si="1"/>
        <v>L</v>
      </c>
      <c r="E692" s="232" t="s">
        <v>34</v>
      </c>
      <c r="F692" s="233">
        <v>6.4766004E7</v>
      </c>
      <c r="G692" s="234">
        <v>6.4766004E7</v>
      </c>
      <c r="H692" s="235">
        <v>81893.0</v>
      </c>
      <c r="I692" s="235">
        <f t="shared" si="5"/>
        <v>690</v>
      </c>
      <c r="J692" s="236" t="str">
        <f t="shared" si="2"/>
        <v>#N/A</v>
      </c>
      <c r="K692" s="236"/>
      <c r="L692" s="237"/>
      <c r="M692" s="237"/>
    </row>
    <row r="693">
      <c r="A693" s="139" t="s">
        <v>1628</v>
      </c>
      <c r="B693" s="139" t="s">
        <v>1629</v>
      </c>
      <c r="C693" s="139"/>
      <c r="D693" s="139" t="str">
        <f t="shared" si="1"/>
        <v>O</v>
      </c>
      <c r="E693" s="139" t="s">
        <v>54</v>
      </c>
      <c r="F693" s="141">
        <v>2.39918008E8</v>
      </c>
      <c r="G693" s="143">
        <v>2.39918008E8</v>
      </c>
      <c r="H693" s="144"/>
      <c r="I693" s="144">
        <f t="shared" si="5"/>
        <v>691</v>
      </c>
      <c r="J693" s="146" t="str">
        <f t="shared" si="2"/>
        <v>#N/A</v>
      </c>
      <c r="K693" s="146"/>
      <c r="L693" s="147"/>
      <c r="M693" s="147"/>
    </row>
    <row r="694">
      <c r="A694" s="139" t="s">
        <v>1628</v>
      </c>
      <c r="B694" s="139" t="s">
        <v>1628</v>
      </c>
      <c r="C694" s="343" t="s">
        <v>22</v>
      </c>
      <c r="D694" s="139" t="str">
        <f t="shared" si="1"/>
        <v>L</v>
      </c>
      <c r="E694" s="139" t="s">
        <v>34</v>
      </c>
      <c r="F694" s="141">
        <v>2.39918008E8</v>
      </c>
      <c r="G694" s="143">
        <v>2.39918008E8</v>
      </c>
      <c r="H694" s="144">
        <v>4344165.0</v>
      </c>
      <c r="I694" s="144">
        <f t="shared" si="5"/>
        <v>692</v>
      </c>
      <c r="J694" s="146" t="str">
        <f t="shared" si="2"/>
        <v>#N/A</v>
      </c>
      <c r="K694" s="146"/>
      <c r="L694" s="147"/>
      <c r="M694" s="147"/>
    </row>
    <row r="695">
      <c r="A695" s="139" t="s">
        <v>1628</v>
      </c>
      <c r="B695" s="139" t="s">
        <v>1630</v>
      </c>
      <c r="C695" s="139"/>
      <c r="D695" s="139" t="str">
        <f t="shared" si="1"/>
        <v>O</v>
      </c>
      <c r="E695" s="139" t="s">
        <v>57</v>
      </c>
      <c r="F695" s="141">
        <v>2.39918008E8</v>
      </c>
      <c r="G695" s="143">
        <v>2.399180081E8</v>
      </c>
      <c r="H695" s="144"/>
      <c r="I695" s="144">
        <f t="shared" si="5"/>
        <v>693</v>
      </c>
      <c r="J695" s="146" t="str">
        <f t="shared" si="2"/>
        <v>#N/A</v>
      </c>
      <c r="K695" s="146"/>
      <c r="L695" s="147"/>
      <c r="M695" s="147"/>
    </row>
    <row r="696">
      <c r="A696" s="74" t="s">
        <v>1631</v>
      </c>
      <c r="B696" s="74" t="s">
        <v>1631</v>
      </c>
      <c r="C696" s="74" t="s">
        <v>83</v>
      </c>
      <c r="D696" s="74" t="str">
        <f t="shared" si="1"/>
        <v>L</v>
      </c>
      <c r="E696" s="74" t="s">
        <v>34</v>
      </c>
      <c r="F696" s="79">
        <v>4.02656007E8</v>
      </c>
      <c r="G696" s="80">
        <v>4.02656007E8</v>
      </c>
      <c r="H696" s="81">
        <v>4292532.0</v>
      </c>
      <c r="I696" s="81">
        <f t="shared" si="5"/>
        <v>694</v>
      </c>
      <c r="J696" s="82" t="str">
        <f t="shared" si="2"/>
        <v>#N/A</v>
      </c>
      <c r="K696" s="82"/>
      <c r="L696" s="83"/>
      <c r="M696" s="83"/>
    </row>
    <row r="697">
      <c r="A697" s="61" t="s">
        <v>1632</v>
      </c>
      <c r="B697" s="61" t="s">
        <v>1632</v>
      </c>
      <c r="C697" s="484" t="s">
        <v>83</v>
      </c>
      <c r="D697" s="61" t="str">
        <f t="shared" si="1"/>
        <v>L</v>
      </c>
      <c r="E697" s="61" t="s">
        <v>34</v>
      </c>
      <c r="F697" s="64">
        <v>1.28473001E8</v>
      </c>
      <c r="G697" s="66">
        <v>1.28473001E8</v>
      </c>
      <c r="H697" s="67">
        <v>4028363.0</v>
      </c>
      <c r="I697" s="67">
        <f t="shared" si="5"/>
        <v>695</v>
      </c>
      <c r="J697" s="68" t="str">
        <f t="shared" si="2"/>
        <v>#N/A</v>
      </c>
      <c r="K697" s="68"/>
      <c r="L697" s="69"/>
      <c r="M697" s="69"/>
    </row>
    <row r="698">
      <c r="A698" s="61" t="s">
        <v>1632</v>
      </c>
      <c r="B698" s="61" t="s">
        <v>1633</v>
      </c>
      <c r="C698" s="61"/>
      <c r="D698" s="61" t="str">
        <f t="shared" si="1"/>
        <v>O</v>
      </c>
      <c r="E698" s="61" t="s">
        <v>57</v>
      </c>
      <c r="F698" s="64">
        <v>1.28473001E8</v>
      </c>
      <c r="G698" s="66">
        <v>1.284730011E8</v>
      </c>
      <c r="H698" s="67"/>
      <c r="I698" s="67">
        <f t="shared" si="5"/>
        <v>696</v>
      </c>
      <c r="J698" s="68" t="str">
        <f t="shared" si="2"/>
        <v>#N/A</v>
      </c>
      <c r="K698" s="68"/>
      <c r="L698" s="69"/>
      <c r="M698" s="69"/>
    </row>
    <row r="699">
      <c r="A699" s="61" t="s">
        <v>1632</v>
      </c>
      <c r="B699" s="61" t="s">
        <v>1634</v>
      </c>
      <c r="C699" s="61"/>
      <c r="D699" s="61" t="str">
        <f t="shared" si="1"/>
        <v>O</v>
      </c>
      <c r="E699" s="61" t="s">
        <v>57</v>
      </c>
      <c r="F699" s="64">
        <v>1.28473001E8</v>
      </c>
      <c r="G699" s="66">
        <v>1.2847300119999999E8</v>
      </c>
      <c r="H699" s="67"/>
      <c r="I699" s="67">
        <f t="shared" si="5"/>
        <v>697</v>
      </c>
      <c r="J699" s="68" t="str">
        <f t="shared" si="2"/>
        <v>#N/A</v>
      </c>
      <c r="K699" s="68"/>
      <c r="L699" s="69"/>
      <c r="M699" s="69"/>
    </row>
    <row r="700">
      <c r="A700" s="22" t="s">
        <v>1635</v>
      </c>
      <c r="B700" s="22" t="s">
        <v>1635</v>
      </c>
      <c r="C700" s="25" t="s">
        <v>83</v>
      </c>
      <c r="D700" s="22" t="str">
        <f t="shared" si="1"/>
        <v>L</v>
      </c>
      <c r="E700" s="22" t="s">
        <v>34</v>
      </c>
      <c r="F700" s="34">
        <v>5.6727007E7</v>
      </c>
      <c r="G700" s="35">
        <v>5.6727007E7</v>
      </c>
      <c r="H700" s="37">
        <v>138502.0</v>
      </c>
      <c r="I700" s="37">
        <f t="shared" si="5"/>
        <v>698</v>
      </c>
      <c r="J700" s="41" t="str">
        <f t="shared" si="2"/>
        <v>#N/A</v>
      </c>
      <c r="K700" s="41"/>
      <c r="L700" s="45"/>
      <c r="M700" s="45"/>
    </row>
    <row r="701">
      <c r="A701" s="22" t="s">
        <v>1635</v>
      </c>
      <c r="B701" s="22" t="s">
        <v>1636</v>
      </c>
      <c r="C701" s="22"/>
      <c r="D701" s="22" t="str">
        <f t="shared" si="1"/>
        <v>O</v>
      </c>
      <c r="E701" s="22" t="s">
        <v>57</v>
      </c>
      <c r="F701" s="34">
        <v>5.6727007E7</v>
      </c>
      <c r="G701" s="35">
        <v>5.67270071E7</v>
      </c>
      <c r="H701" s="37"/>
      <c r="I701" s="37">
        <f t="shared" si="5"/>
        <v>699</v>
      </c>
      <c r="J701" s="41" t="str">
        <f t="shared" si="2"/>
        <v>#N/A</v>
      </c>
      <c r="K701" s="41"/>
      <c r="L701" s="45"/>
      <c r="M701" s="45"/>
    </row>
    <row r="702">
      <c r="A702" s="74" t="s">
        <v>1637</v>
      </c>
      <c r="B702" s="74" t="s">
        <v>1637</v>
      </c>
      <c r="C702" s="207" t="s">
        <v>22</v>
      </c>
      <c r="D702" s="74" t="str">
        <f t="shared" si="1"/>
        <v>L</v>
      </c>
      <c r="E702" s="74" t="s">
        <v>34</v>
      </c>
      <c r="F702" s="79">
        <v>1.93497004E8</v>
      </c>
      <c r="G702" s="80">
        <v>1.93497004E8</v>
      </c>
      <c r="H702" s="81">
        <v>4108968.0</v>
      </c>
      <c r="I702" s="81">
        <f t="shared" si="5"/>
        <v>700</v>
      </c>
      <c r="J702" s="82" t="str">
        <f t="shared" si="2"/>
        <v>#N/A</v>
      </c>
      <c r="K702" s="82"/>
      <c r="L702" s="83"/>
      <c r="M702" s="83"/>
    </row>
    <row r="703">
      <c r="A703" s="50" t="s">
        <v>1638</v>
      </c>
      <c r="B703" s="50" t="s">
        <v>1638</v>
      </c>
      <c r="C703" s="185" t="s">
        <v>83</v>
      </c>
      <c r="D703" s="50" t="str">
        <f t="shared" si="1"/>
        <v>L</v>
      </c>
      <c r="E703" s="50" t="s">
        <v>34</v>
      </c>
      <c r="F703" s="52">
        <v>3978000.0</v>
      </c>
      <c r="G703" s="54">
        <v>3978000.0</v>
      </c>
      <c r="H703" s="55">
        <v>4219853.0</v>
      </c>
      <c r="I703" s="55">
        <f t="shared" si="5"/>
        <v>701</v>
      </c>
      <c r="J703" s="57" t="str">
        <f t="shared" si="2"/>
        <v>#N/A</v>
      </c>
      <c r="K703" s="57"/>
      <c r="L703" s="59"/>
      <c r="M703" s="59"/>
    </row>
    <row r="704">
      <c r="A704" s="50" t="s">
        <v>1638</v>
      </c>
      <c r="B704" s="50" t="s">
        <v>1639</v>
      </c>
      <c r="C704" s="50"/>
      <c r="D704" s="50" t="str">
        <f t="shared" si="1"/>
        <v>O</v>
      </c>
      <c r="E704" s="50" t="s">
        <v>57</v>
      </c>
      <c r="F704" s="52">
        <v>3978000.0</v>
      </c>
      <c r="G704" s="54">
        <v>3978000.1</v>
      </c>
      <c r="H704" s="55"/>
      <c r="I704" s="55">
        <f t="shared" si="5"/>
        <v>702</v>
      </c>
      <c r="J704" s="57" t="str">
        <f t="shared" si="2"/>
        <v>#N/A</v>
      </c>
      <c r="K704" s="57"/>
      <c r="L704" s="59"/>
      <c r="M704" s="59"/>
    </row>
    <row r="705">
      <c r="A705" s="50" t="s">
        <v>1638</v>
      </c>
      <c r="B705" s="50" t="s">
        <v>1640</v>
      </c>
      <c r="C705" s="50"/>
      <c r="D705" s="50" t="str">
        <f t="shared" si="1"/>
        <v>O</v>
      </c>
      <c r="E705" s="50" t="s">
        <v>57</v>
      </c>
      <c r="F705" s="52">
        <v>3978000.0</v>
      </c>
      <c r="G705" s="54">
        <v>3978000.2</v>
      </c>
      <c r="H705" s="55"/>
      <c r="I705" s="55">
        <f t="shared" si="5"/>
        <v>703</v>
      </c>
      <c r="J705" s="57" t="str">
        <f t="shared" si="2"/>
        <v>#N/A</v>
      </c>
      <c r="K705" s="57"/>
      <c r="L705" s="59"/>
      <c r="M705" s="59"/>
    </row>
    <row r="706">
      <c r="A706" s="50" t="s">
        <v>1638</v>
      </c>
      <c r="B706" s="50" t="s">
        <v>1641</v>
      </c>
      <c r="C706" s="50"/>
      <c r="D706" s="50" t="str">
        <f t="shared" si="1"/>
        <v>O</v>
      </c>
      <c r="E706" s="50" t="s">
        <v>57</v>
      </c>
      <c r="F706" s="52">
        <v>3978000.0</v>
      </c>
      <c r="G706" s="54">
        <v>3978000.3000000003</v>
      </c>
      <c r="H706" s="55"/>
      <c r="I706" s="55">
        <f t="shared" si="5"/>
        <v>704</v>
      </c>
      <c r="J706" s="57" t="str">
        <f t="shared" si="2"/>
        <v>#N/A</v>
      </c>
      <c r="K706" s="57"/>
      <c r="L706" s="59"/>
      <c r="M706" s="59"/>
    </row>
    <row r="707">
      <c r="A707" s="500" t="s">
        <v>1638</v>
      </c>
      <c r="B707" s="500" t="s">
        <v>1642</v>
      </c>
      <c r="C707" s="501"/>
      <c r="D707" s="500" t="str">
        <f t="shared" si="1"/>
        <v>O</v>
      </c>
      <c r="E707" s="500" t="s">
        <v>57</v>
      </c>
      <c r="F707" s="502">
        <v>3978000.0</v>
      </c>
      <c r="G707" s="503">
        <v>3978000.4</v>
      </c>
      <c r="H707" s="504"/>
      <c r="I707" s="504">
        <f t="shared" si="5"/>
        <v>705</v>
      </c>
      <c r="J707" s="57" t="str">
        <f t="shared" si="2"/>
        <v>#N/A</v>
      </c>
      <c r="K707" s="57"/>
      <c r="L707" s="59"/>
      <c r="M707" s="59"/>
    </row>
    <row r="708">
      <c r="A708" s="200"/>
      <c r="B708" s="200"/>
      <c r="C708" s="200"/>
      <c r="D708" s="200"/>
      <c r="E708" s="200"/>
      <c r="F708" s="505"/>
      <c r="G708" s="505"/>
      <c r="H708" s="200"/>
      <c r="I708" s="200"/>
      <c r="J708" s="200"/>
      <c r="K708" s="200"/>
      <c r="L708" s="202"/>
      <c r="M708" s="202"/>
    </row>
    <row r="709">
      <c r="A709" s="506" t="s">
        <v>1643</v>
      </c>
      <c r="B709" s="200"/>
      <c r="C709" s="200"/>
      <c r="D709" s="200"/>
      <c r="E709" s="200"/>
      <c r="F709" s="505"/>
      <c r="G709" s="505"/>
      <c r="H709" s="200"/>
      <c r="I709" s="200"/>
      <c r="J709" s="200"/>
      <c r="K709" s="200"/>
      <c r="L709" s="202"/>
      <c r="M709" s="202"/>
    </row>
    <row r="710">
      <c r="A710" s="507" t="s">
        <v>1644</v>
      </c>
      <c r="B710" s="507" t="s">
        <v>1645</v>
      </c>
      <c r="C710" s="507" t="s">
        <v>1646</v>
      </c>
      <c r="D710" s="507" t="s">
        <v>1647</v>
      </c>
      <c r="E710" s="507" t="s">
        <v>1648</v>
      </c>
      <c r="F710" s="507"/>
      <c r="G710" s="508"/>
      <c r="H710" s="509"/>
      <c r="I710" s="509"/>
      <c r="J710" s="509"/>
      <c r="K710" s="509"/>
      <c r="L710" s="510"/>
      <c r="M710" s="510"/>
    </row>
    <row r="711">
      <c r="A711" s="507">
        <v>342.0</v>
      </c>
      <c r="B711" s="507" t="s">
        <v>1649</v>
      </c>
      <c r="C711" s="507" t="s">
        <v>1650</v>
      </c>
      <c r="D711" s="507" t="s">
        <v>1651</v>
      </c>
      <c r="E711" s="507" t="str">
        <f t="shared" ref="E711:E729" si="6">+CONCAT("SUBTYPECODE:", A711)</f>
        <v>SUBTYPECODE:342</v>
      </c>
      <c r="F711" s="507" t="str">
        <f t="shared" ref="F711:F729" si="7">+CONCAT("insert into build.subtypes select '",B711,"','",C711,"','",D711,"','", E711,"'")</f>
        <v>#N/A</v>
      </c>
      <c r="G711" s="508"/>
      <c r="H711" s="509"/>
      <c r="I711" s="509"/>
      <c r="J711" s="509"/>
      <c r="K711" s="509"/>
      <c r="L711" s="510"/>
      <c r="M711" s="510"/>
    </row>
    <row r="712">
      <c r="A712" s="507">
        <f t="shared" ref="A712:A729" si="8">+A711+1</f>
        <v>343</v>
      </c>
      <c r="B712" s="507" t="s">
        <v>1649</v>
      </c>
      <c r="C712" s="507" t="s">
        <v>1655</v>
      </c>
      <c r="D712" s="507" t="s">
        <v>1656</v>
      </c>
      <c r="E712" s="507" t="str">
        <f t="shared" si="6"/>
        <v>SUBTYPECODE:343</v>
      </c>
      <c r="F712" s="507" t="str">
        <f t="shared" si="7"/>
        <v>#N/A</v>
      </c>
      <c r="G712" s="508"/>
      <c r="H712" s="509"/>
      <c r="I712" s="509"/>
      <c r="J712" s="509"/>
      <c r="K712" s="509"/>
      <c r="L712" s="510"/>
      <c r="M712" s="510"/>
    </row>
    <row r="713">
      <c r="A713" s="507">
        <f t="shared" si="8"/>
        <v>344</v>
      </c>
      <c r="B713" s="507" t="s">
        <v>1649</v>
      </c>
      <c r="C713" s="507" t="s">
        <v>1657</v>
      </c>
      <c r="D713" s="507" t="s">
        <v>1658</v>
      </c>
      <c r="E713" s="507" t="str">
        <f t="shared" si="6"/>
        <v>SUBTYPECODE:344</v>
      </c>
      <c r="F713" s="507" t="str">
        <f t="shared" si="7"/>
        <v>#N/A</v>
      </c>
      <c r="G713" s="508"/>
      <c r="H713" s="509"/>
      <c r="I713" s="509"/>
      <c r="J713" s="509"/>
      <c r="K713" s="509"/>
      <c r="L713" s="510"/>
      <c r="M713" s="510"/>
    </row>
    <row r="714">
      <c r="A714" s="507">
        <f t="shared" si="8"/>
        <v>345</v>
      </c>
      <c r="B714" s="507" t="s">
        <v>1649</v>
      </c>
      <c r="C714" s="507" t="s">
        <v>1659</v>
      </c>
      <c r="D714" s="507" t="s">
        <v>1660</v>
      </c>
      <c r="E714" s="507" t="str">
        <f t="shared" si="6"/>
        <v>SUBTYPECODE:345</v>
      </c>
      <c r="F714" s="507" t="str">
        <f t="shared" si="7"/>
        <v>#N/A</v>
      </c>
      <c r="G714" s="508"/>
      <c r="H714" s="509"/>
      <c r="I714" s="509"/>
      <c r="J714" s="509"/>
      <c r="K714" s="509"/>
      <c r="L714" s="510"/>
      <c r="M714" s="510"/>
    </row>
    <row r="715">
      <c r="A715" s="507">
        <f t="shared" si="8"/>
        <v>346</v>
      </c>
      <c r="B715" s="507" t="s">
        <v>1649</v>
      </c>
      <c r="C715" s="507" t="s">
        <v>1661</v>
      </c>
      <c r="D715" s="507" t="s">
        <v>1662</v>
      </c>
      <c r="E715" s="507" t="str">
        <f t="shared" si="6"/>
        <v>SUBTYPECODE:346</v>
      </c>
      <c r="F715" s="507" t="str">
        <f t="shared" si="7"/>
        <v>#N/A</v>
      </c>
      <c r="G715" s="508"/>
      <c r="H715" s="509"/>
      <c r="I715" s="509"/>
      <c r="J715" s="509"/>
      <c r="K715" s="509"/>
      <c r="L715" s="510"/>
      <c r="M715" s="510"/>
    </row>
    <row r="716">
      <c r="A716" s="507">
        <f t="shared" si="8"/>
        <v>347</v>
      </c>
      <c r="B716" s="507" t="s">
        <v>1649</v>
      </c>
      <c r="C716" s="507" t="s">
        <v>1663</v>
      </c>
      <c r="D716" s="507" t="s">
        <v>1664</v>
      </c>
      <c r="E716" s="507" t="str">
        <f t="shared" si="6"/>
        <v>SUBTYPECODE:347</v>
      </c>
      <c r="F716" s="507" t="str">
        <f t="shared" si="7"/>
        <v>#N/A</v>
      </c>
      <c r="G716" s="508"/>
      <c r="H716" s="509"/>
      <c r="I716" s="509"/>
      <c r="J716" s="509"/>
      <c r="K716" s="509"/>
      <c r="L716" s="510"/>
      <c r="M716" s="510"/>
    </row>
    <row r="717">
      <c r="A717" s="507">
        <f t="shared" si="8"/>
        <v>348</v>
      </c>
      <c r="B717" s="507" t="s">
        <v>1489</v>
      </c>
      <c r="C717" s="507" t="s">
        <v>1665</v>
      </c>
      <c r="D717" s="507" t="s">
        <v>1667</v>
      </c>
      <c r="E717" s="507" t="str">
        <f t="shared" si="6"/>
        <v>SUBTYPECODE:348</v>
      </c>
      <c r="F717" s="507" t="str">
        <f t="shared" si="7"/>
        <v>#N/A</v>
      </c>
      <c r="G717" s="508"/>
      <c r="H717" s="509"/>
      <c r="I717" s="509"/>
      <c r="J717" s="509"/>
      <c r="K717" s="509"/>
      <c r="L717" s="510"/>
      <c r="M717" s="510"/>
    </row>
    <row r="718">
      <c r="A718" s="507">
        <f t="shared" si="8"/>
        <v>349</v>
      </c>
      <c r="B718" s="507" t="s">
        <v>1489</v>
      </c>
      <c r="C718" s="507" t="s">
        <v>84</v>
      </c>
      <c r="D718" s="507" t="s">
        <v>1668</v>
      </c>
      <c r="E718" s="507" t="str">
        <f t="shared" si="6"/>
        <v>SUBTYPECODE:349</v>
      </c>
      <c r="F718" s="507" t="str">
        <f t="shared" si="7"/>
        <v>#N/A</v>
      </c>
      <c r="G718" s="508"/>
      <c r="H718" s="509"/>
      <c r="I718" s="509"/>
      <c r="J718" s="509"/>
      <c r="K718" s="509"/>
      <c r="L718" s="510"/>
      <c r="M718" s="510"/>
    </row>
    <row r="719">
      <c r="A719" s="507">
        <f t="shared" si="8"/>
        <v>350</v>
      </c>
      <c r="B719" s="507" t="s">
        <v>1489</v>
      </c>
      <c r="C719" s="507" t="s">
        <v>1669</v>
      </c>
      <c r="D719" s="507" t="s">
        <v>1670</v>
      </c>
      <c r="E719" s="507" t="str">
        <f t="shared" si="6"/>
        <v>SUBTYPECODE:350</v>
      </c>
      <c r="F719" s="507" t="str">
        <f t="shared" si="7"/>
        <v>#N/A</v>
      </c>
      <c r="G719" s="508"/>
      <c r="H719" s="509"/>
      <c r="I719" s="509"/>
      <c r="J719" s="509"/>
      <c r="K719" s="509"/>
      <c r="L719" s="510"/>
      <c r="M719" s="510"/>
    </row>
    <row r="720">
      <c r="A720" s="507">
        <f t="shared" si="8"/>
        <v>351</v>
      </c>
      <c r="B720" s="507" t="s">
        <v>1489</v>
      </c>
      <c r="C720" s="507" t="s">
        <v>1671</v>
      </c>
      <c r="D720" s="507" t="s">
        <v>1672</v>
      </c>
      <c r="E720" s="507" t="str">
        <f t="shared" si="6"/>
        <v>SUBTYPECODE:351</v>
      </c>
      <c r="F720" s="507" t="str">
        <f t="shared" si="7"/>
        <v>#N/A</v>
      </c>
      <c r="G720" s="508"/>
      <c r="H720" s="509"/>
      <c r="I720" s="509"/>
      <c r="J720" s="509"/>
      <c r="K720" s="509"/>
      <c r="L720" s="510"/>
      <c r="M720" s="510"/>
    </row>
    <row r="721">
      <c r="A721" s="507">
        <f t="shared" si="8"/>
        <v>352</v>
      </c>
      <c r="B721" s="507" t="s">
        <v>666</v>
      </c>
      <c r="C721" s="507" t="s">
        <v>1673</v>
      </c>
      <c r="D721" s="507" t="s">
        <v>1674</v>
      </c>
      <c r="E721" s="507" t="str">
        <f t="shared" si="6"/>
        <v>SUBTYPECODE:352</v>
      </c>
      <c r="F721" s="507" t="str">
        <f t="shared" si="7"/>
        <v>#N/A</v>
      </c>
      <c r="G721" s="508"/>
      <c r="H721" s="509"/>
      <c r="I721" s="509"/>
      <c r="J721" s="509"/>
      <c r="K721" s="509"/>
      <c r="L721" s="510"/>
      <c r="M721" s="510"/>
    </row>
    <row r="722">
      <c r="A722" s="507">
        <f t="shared" si="8"/>
        <v>353</v>
      </c>
      <c r="B722" s="507" t="s">
        <v>666</v>
      </c>
      <c r="C722" s="507" t="s">
        <v>1678</v>
      </c>
      <c r="D722" s="507" t="s">
        <v>1679</v>
      </c>
      <c r="E722" s="507" t="str">
        <f t="shared" si="6"/>
        <v>SUBTYPECODE:353</v>
      </c>
      <c r="F722" s="507" t="str">
        <f t="shared" si="7"/>
        <v>#N/A</v>
      </c>
      <c r="G722" s="508"/>
      <c r="H722" s="509"/>
      <c r="I722" s="509"/>
      <c r="J722" s="509"/>
      <c r="K722" s="509"/>
      <c r="L722" s="510"/>
      <c r="M722" s="510"/>
    </row>
    <row r="723">
      <c r="A723" s="507">
        <f t="shared" si="8"/>
        <v>354</v>
      </c>
      <c r="B723" s="507" t="s">
        <v>666</v>
      </c>
      <c r="C723" s="507" t="s">
        <v>1682</v>
      </c>
      <c r="D723" s="507" t="s">
        <v>1683</v>
      </c>
      <c r="E723" s="507" t="str">
        <f t="shared" si="6"/>
        <v>SUBTYPECODE:354</v>
      </c>
      <c r="F723" s="507" t="str">
        <f t="shared" si="7"/>
        <v>#N/A</v>
      </c>
      <c r="G723" s="508"/>
      <c r="H723" s="509"/>
      <c r="I723" s="509"/>
      <c r="J723" s="509"/>
      <c r="K723" s="509"/>
      <c r="L723" s="510"/>
      <c r="M723" s="510"/>
    </row>
    <row r="724">
      <c r="A724" s="507">
        <f t="shared" si="8"/>
        <v>355</v>
      </c>
      <c r="B724" s="507" t="s">
        <v>900</v>
      </c>
      <c r="C724" s="507" t="s">
        <v>1685</v>
      </c>
      <c r="D724" s="507" t="s">
        <v>1686</v>
      </c>
      <c r="E724" s="507" t="str">
        <f t="shared" si="6"/>
        <v>SUBTYPECODE:355</v>
      </c>
      <c r="F724" s="507" t="str">
        <f t="shared" si="7"/>
        <v>#N/A</v>
      </c>
      <c r="G724" s="508"/>
      <c r="H724" s="509"/>
      <c r="I724" s="509"/>
      <c r="J724" s="509"/>
      <c r="K724" s="509"/>
      <c r="L724" s="510"/>
      <c r="M724" s="510"/>
    </row>
    <row r="725">
      <c r="A725" s="507">
        <f t="shared" si="8"/>
        <v>356</v>
      </c>
      <c r="B725" s="507" t="s">
        <v>900</v>
      </c>
      <c r="C725" s="507" t="s">
        <v>1691</v>
      </c>
      <c r="D725" s="507" t="s">
        <v>1692</v>
      </c>
      <c r="E725" s="507" t="str">
        <f t="shared" si="6"/>
        <v>SUBTYPECODE:356</v>
      </c>
      <c r="F725" s="507" t="str">
        <f t="shared" si="7"/>
        <v>#N/A</v>
      </c>
      <c r="G725" s="508"/>
      <c r="H725" s="509"/>
      <c r="I725" s="509"/>
      <c r="J725" s="509"/>
      <c r="K725" s="509"/>
      <c r="L725" s="510"/>
      <c r="M725" s="510"/>
    </row>
    <row r="726">
      <c r="A726" s="507">
        <f t="shared" si="8"/>
        <v>357</v>
      </c>
      <c r="B726" s="507" t="s">
        <v>900</v>
      </c>
      <c r="C726" s="507" t="s">
        <v>1694</v>
      </c>
      <c r="D726" s="507" t="s">
        <v>1695</v>
      </c>
      <c r="E726" s="507" t="str">
        <f t="shared" si="6"/>
        <v>SUBTYPECODE:357</v>
      </c>
      <c r="F726" s="507" t="str">
        <f t="shared" si="7"/>
        <v>#N/A</v>
      </c>
      <c r="G726" s="508"/>
      <c r="H726" s="509"/>
      <c r="I726" s="509"/>
      <c r="J726" s="509"/>
      <c r="K726" s="509"/>
      <c r="L726" s="510"/>
      <c r="M726" s="510"/>
    </row>
    <row r="727">
      <c r="A727" s="507">
        <f t="shared" si="8"/>
        <v>358</v>
      </c>
      <c r="B727" s="507" t="s">
        <v>1698</v>
      </c>
      <c r="C727" s="507" t="s">
        <v>1699</v>
      </c>
      <c r="D727" s="507" t="s">
        <v>1700</v>
      </c>
      <c r="E727" s="507" t="str">
        <f t="shared" si="6"/>
        <v>SUBTYPECODE:358</v>
      </c>
      <c r="F727" s="507" t="str">
        <f t="shared" si="7"/>
        <v>#N/A</v>
      </c>
      <c r="G727" s="508"/>
      <c r="H727" s="509"/>
      <c r="I727" s="509"/>
      <c r="J727" s="509"/>
      <c r="K727" s="509"/>
      <c r="L727" s="510"/>
      <c r="M727" s="510"/>
    </row>
    <row r="728">
      <c r="A728" s="507">
        <f t="shared" si="8"/>
        <v>359</v>
      </c>
      <c r="B728" s="507" t="s">
        <v>1698</v>
      </c>
      <c r="C728" s="507" t="s">
        <v>1701</v>
      </c>
      <c r="D728" s="507" t="s">
        <v>1702</v>
      </c>
      <c r="E728" s="507" t="str">
        <f t="shared" si="6"/>
        <v>SUBTYPECODE:359</v>
      </c>
      <c r="F728" s="507" t="str">
        <f t="shared" si="7"/>
        <v>#N/A</v>
      </c>
      <c r="G728" s="508"/>
      <c r="H728" s="509"/>
      <c r="I728" s="509"/>
      <c r="J728" s="509"/>
      <c r="K728" s="509"/>
      <c r="L728" s="510"/>
      <c r="M728" s="510"/>
    </row>
    <row r="729">
      <c r="A729" s="507">
        <f t="shared" si="8"/>
        <v>360</v>
      </c>
      <c r="B729" s="507" t="s">
        <v>1698</v>
      </c>
      <c r="C729" s="507" t="s">
        <v>1703</v>
      </c>
      <c r="D729" s="507" t="s">
        <v>1703</v>
      </c>
      <c r="E729" s="507" t="str">
        <f t="shared" si="6"/>
        <v>SUBTYPECODE:360</v>
      </c>
      <c r="F729" s="507" t="str">
        <f t="shared" si="7"/>
        <v>#N/A</v>
      </c>
      <c r="G729" s="508"/>
      <c r="H729" s="509"/>
      <c r="I729" s="509"/>
      <c r="J729" s="509"/>
      <c r="K729" s="509"/>
      <c r="L729" s="510"/>
      <c r="M729" s="510"/>
    </row>
    <row r="730">
      <c r="A730" s="507"/>
      <c r="B730" s="507"/>
      <c r="C730" s="507"/>
      <c r="D730" s="511"/>
      <c r="E730" s="507"/>
      <c r="F730" s="507"/>
      <c r="G730" s="508"/>
      <c r="H730" s="509"/>
      <c r="I730" s="509"/>
      <c r="J730" s="509"/>
      <c r="K730" s="509"/>
      <c r="L730" s="510"/>
      <c r="M730" s="510"/>
    </row>
    <row r="731">
      <c r="A731" s="507"/>
      <c r="B731" s="507"/>
      <c r="C731" s="507"/>
      <c r="D731" s="511"/>
      <c r="E731" s="507"/>
      <c r="F731" s="507"/>
      <c r="G731" s="508"/>
      <c r="H731" s="509"/>
      <c r="I731" s="509"/>
      <c r="J731" s="509"/>
      <c r="K731" s="509"/>
      <c r="L731" s="510"/>
      <c r="M731" s="510"/>
    </row>
    <row r="732">
      <c r="A732" s="507"/>
      <c r="B732" s="507" t="s">
        <v>19</v>
      </c>
      <c r="C732" s="507" t="s">
        <v>1704</v>
      </c>
      <c r="D732" s="507" t="s">
        <v>1705</v>
      </c>
      <c r="E732" s="507" t="s">
        <v>1706</v>
      </c>
      <c r="F732" s="507"/>
      <c r="G732" s="508"/>
      <c r="H732" s="509"/>
      <c r="I732" s="509"/>
      <c r="J732" s="509"/>
      <c r="K732" s="509"/>
      <c r="L732" s="510"/>
      <c r="M732" s="510"/>
    </row>
    <row r="733">
      <c r="A733" s="507"/>
      <c r="B733" s="507" t="s">
        <v>19</v>
      </c>
      <c r="C733" s="507" t="s">
        <v>1707</v>
      </c>
      <c r="D733" s="507" t="s">
        <v>1708</v>
      </c>
      <c r="E733" s="507" t="s">
        <v>1709</v>
      </c>
      <c r="F733" s="507"/>
      <c r="G733" s="508"/>
      <c r="H733" s="509"/>
      <c r="I733" s="509"/>
      <c r="J733" s="509"/>
      <c r="K733" s="509"/>
      <c r="L733" s="510"/>
      <c r="M733" s="510"/>
    </row>
    <row r="734">
      <c r="A734" s="507"/>
      <c r="B734" s="507" t="s">
        <v>19</v>
      </c>
      <c r="C734" s="507" t="s">
        <v>1710</v>
      </c>
      <c r="D734" s="507" t="s">
        <v>1711</v>
      </c>
      <c r="E734" s="507" t="s">
        <v>1712</v>
      </c>
      <c r="F734" s="507"/>
      <c r="G734" s="508"/>
      <c r="H734" s="509"/>
      <c r="I734" s="509"/>
      <c r="J734" s="509"/>
      <c r="K734" s="509"/>
      <c r="L734" s="510"/>
      <c r="M734" s="510"/>
    </row>
    <row r="735">
      <c r="A735" s="507"/>
      <c r="B735" s="507" t="s">
        <v>19</v>
      </c>
      <c r="C735" s="507" t="s">
        <v>1713</v>
      </c>
      <c r="D735" s="507" t="s">
        <v>1714</v>
      </c>
      <c r="E735" s="507" t="s">
        <v>1715</v>
      </c>
      <c r="F735" s="507"/>
      <c r="G735" s="508"/>
      <c r="H735" s="509"/>
      <c r="I735" s="509"/>
      <c r="J735" s="509"/>
      <c r="K735" s="509"/>
      <c r="L735" s="510"/>
      <c r="M735" s="510"/>
    </row>
    <row r="736">
      <c r="A736" s="507"/>
      <c r="B736" s="507" t="s">
        <v>19</v>
      </c>
      <c r="C736" s="507" t="s">
        <v>1716</v>
      </c>
      <c r="D736" s="507" t="s">
        <v>1717</v>
      </c>
      <c r="E736" s="507" t="s">
        <v>1719</v>
      </c>
      <c r="F736" s="507"/>
      <c r="G736" s="508"/>
      <c r="H736" s="509"/>
      <c r="I736" s="509"/>
      <c r="J736" s="509"/>
      <c r="K736" s="509"/>
      <c r="L736" s="510"/>
      <c r="M736" s="510"/>
    </row>
    <row r="737">
      <c r="A737" s="507"/>
      <c r="B737" s="507" t="s">
        <v>53</v>
      </c>
      <c r="C737" s="507" t="s">
        <v>1720</v>
      </c>
      <c r="D737" s="507" t="s">
        <v>1721</v>
      </c>
      <c r="E737" s="507" t="s">
        <v>1722</v>
      </c>
      <c r="F737" s="507"/>
      <c r="G737" s="508"/>
      <c r="H737" s="509"/>
      <c r="I737" s="509"/>
      <c r="J737" s="509"/>
      <c r="K737" s="509"/>
      <c r="L737" s="510"/>
      <c r="M737" s="510"/>
    </row>
    <row r="738">
      <c r="A738" s="507"/>
      <c r="B738" s="507" t="s">
        <v>53</v>
      </c>
      <c r="C738" s="507" t="s">
        <v>1723</v>
      </c>
      <c r="D738" s="507" t="s">
        <v>1724</v>
      </c>
      <c r="E738" s="507" t="s">
        <v>1726</v>
      </c>
      <c r="F738" s="507"/>
      <c r="G738" s="508"/>
      <c r="H738" s="509"/>
      <c r="I738" s="509"/>
      <c r="J738" s="509"/>
      <c r="K738" s="509"/>
      <c r="L738" s="510"/>
      <c r="M738" s="510"/>
    </row>
    <row r="739">
      <c r="A739" s="507"/>
      <c r="B739" s="507" t="s">
        <v>53</v>
      </c>
      <c r="C739" s="507" t="s">
        <v>1727</v>
      </c>
      <c r="D739" s="507" t="s">
        <v>1728</v>
      </c>
      <c r="E739" s="507" t="s">
        <v>1729</v>
      </c>
      <c r="F739" s="507"/>
      <c r="G739" s="508"/>
      <c r="H739" s="509"/>
      <c r="I739" s="509"/>
      <c r="J739" s="509"/>
      <c r="K739" s="509"/>
      <c r="L739" s="510"/>
      <c r="M739" s="510"/>
    </row>
    <row r="740">
      <c r="A740" s="507"/>
      <c r="B740" s="507" t="s">
        <v>53</v>
      </c>
      <c r="C740" s="507" t="s">
        <v>1730</v>
      </c>
      <c r="D740" s="507" t="s">
        <v>1731</v>
      </c>
      <c r="E740" s="507" t="s">
        <v>1732</v>
      </c>
      <c r="F740" s="507"/>
      <c r="G740" s="508"/>
      <c r="H740" s="509"/>
      <c r="I740" s="509"/>
      <c r="J740" s="509"/>
      <c r="K740" s="509"/>
      <c r="L740" s="510"/>
      <c r="M740" s="510"/>
    </row>
    <row r="741">
      <c r="A741" s="507"/>
      <c r="B741" s="507" t="s">
        <v>53</v>
      </c>
      <c r="C741" s="507" t="s">
        <v>1733</v>
      </c>
      <c r="D741" s="507" t="s">
        <v>1734</v>
      </c>
      <c r="E741" s="507" t="s">
        <v>1735</v>
      </c>
      <c r="F741" s="507"/>
      <c r="G741" s="508"/>
      <c r="H741" s="509"/>
      <c r="I741" s="509"/>
      <c r="J741" s="509"/>
      <c r="K741" s="509"/>
      <c r="L741" s="510"/>
      <c r="M741" s="510"/>
    </row>
    <row r="742">
      <c r="A742" s="507"/>
      <c r="B742" s="507" t="s">
        <v>69</v>
      </c>
      <c r="C742" s="507" t="s">
        <v>1739</v>
      </c>
      <c r="D742" s="507" t="s">
        <v>1740</v>
      </c>
      <c r="E742" s="507" t="s">
        <v>1742</v>
      </c>
      <c r="F742" s="507"/>
      <c r="G742" s="508"/>
      <c r="H742" s="509"/>
      <c r="I742" s="509"/>
      <c r="J742" s="509"/>
      <c r="K742" s="509"/>
      <c r="L742" s="510"/>
      <c r="M742" s="510"/>
    </row>
    <row r="743">
      <c r="A743" s="507"/>
      <c r="B743" s="507" t="s">
        <v>69</v>
      </c>
      <c r="C743" s="507" t="s">
        <v>1743</v>
      </c>
      <c r="D743" s="507" t="s">
        <v>1744</v>
      </c>
      <c r="E743" s="507" t="s">
        <v>1745</v>
      </c>
      <c r="F743" s="507"/>
      <c r="G743" s="508"/>
      <c r="H743" s="509"/>
      <c r="I743" s="509"/>
      <c r="J743" s="509"/>
      <c r="K743" s="509"/>
      <c r="L743" s="510"/>
      <c r="M743" s="510"/>
    </row>
    <row r="744">
      <c r="A744" s="507"/>
      <c r="B744" s="507" t="s">
        <v>69</v>
      </c>
      <c r="C744" s="507" t="s">
        <v>1747</v>
      </c>
      <c r="D744" s="507" t="s">
        <v>1748</v>
      </c>
      <c r="E744" s="507" t="s">
        <v>1749</v>
      </c>
      <c r="F744" s="507"/>
      <c r="G744" s="508"/>
      <c r="H744" s="509"/>
      <c r="I744" s="509"/>
      <c r="J744" s="509"/>
      <c r="K744" s="509"/>
      <c r="L744" s="510"/>
      <c r="M744" s="510"/>
    </row>
    <row r="745">
      <c r="A745" s="507"/>
      <c r="B745" s="507" t="s">
        <v>69</v>
      </c>
      <c r="C745" s="507" t="s">
        <v>1752</v>
      </c>
      <c r="D745" s="507" t="s">
        <v>1753</v>
      </c>
      <c r="E745" s="507" t="s">
        <v>1754</v>
      </c>
      <c r="F745" s="507"/>
      <c r="G745" s="508"/>
      <c r="H745" s="509"/>
      <c r="I745" s="509"/>
      <c r="J745" s="509"/>
      <c r="K745" s="509"/>
      <c r="L745" s="510"/>
      <c r="M745" s="510"/>
    </row>
    <row r="746">
      <c r="A746" s="507"/>
      <c r="B746" s="507" t="s">
        <v>82</v>
      </c>
      <c r="C746" s="507" t="s">
        <v>1755</v>
      </c>
      <c r="D746" s="507" t="s">
        <v>1757</v>
      </c>
      <c r="E746" s="507" t="s">
        <v>1758</v>
      </c>
      <c r="F746" s="507"/>
      <c r="G746" s="508"/>
      <c r="H746" s="509"/>
      <c r="I746" s="509"/>
      <c r="J746" s="509"/>
      <c r="K746" s="509"/>
      <c r="L746" s="510"/>
      <c r="M746" s="510"/>
    </row>
    <row r="747">
      <c r="A747" s="507"/>
      <c r="B747" s="507" t="s">
        <v>82</v>
      </c>
      <c r="C747" s="507" t="s">
        <v>1760</v>
      </c>
      <c r="D747" s="507" t="s">
        <v>1761</v>
      </c>
      <c r="E747" s="507" t="s">
        <v>1762</v>
      </c>
      <c r="F747" s="507"/>
      <c r="G747" s="508"/>
      <c r="H747" s="509"/>
      <c r="I747" s="509"/>
      <c r="J747" s="509"/>
      <c r="K747" s="509"/>
      <c r="L747" s="510"/>
      <c r="M747" s="510"/>
    </row>
    <row r="748">
      <c r="A748" s="507"/>
      <c r="B748" s="507" t="s">
        <v>106</v>
      </c>
      <c r="C748" s="507" t="s">
        <v>1763</v>
      </c>
      <c r="D748" s="507" t="s">
        <v>1765</v>
      </c>
      <c r="E748" s="507" t="s">
        <v>1766</v>
      </c>
      <c r="F748" s="507"/>
      <c r="G748" s="508"/>
      <c r="H748" s="509"/>
      <c r="I748" s="509"/>
      <c r="J748" s="509"/>
      <c r="K748" s="509"/>
      <c r="L748" s="510"/>
      <c r="M748" s="510"/>
    </row>
    <row r="749">
      <c r="A749" s="507"/>
      <c r="B749" s="507" t="s">
        <v>106</v>
      </c>
      <c r="C749" s="507" t="s">
        <v>1768</v>
      </c>
      <c r="D749" s="507" t="s">
        <v>1769</v>
      </c>
      <c r="E749" s="507" t="s">
        <v>1770</v>
      </c>
      <c r="F749" s="507"/>
      <c r="G749" s="508"/>
      <c r="H749" s="509"/>
      <c r="I749" s="509"/>
      <c r="J749" s="509"/>
      <c r="K749" s="509"/>
      <c r="L749" s="510"/>
      <c r="M749" s="510"/>
    </row>
    <row r="750">
      <c r="A750" s="507"/>
      <c r="B750" s="507" t="s">
        <v>115</v>
      </c>
      <c r="C750" s="507" t="s">
        <v>1772</v>
      </c>
      <c r="D750" s="507" t="s">
        <v>1773</v>
      </c>
      <c r="E750" s="507" t="s">
        <v>1774</v>
      </c>
      <c r="F750" s="507"/>
      <c r="G750" s="508"/>
      <c r="H750" s="509"/>
      <c r="I750" s="509"/>
      <c r="J750" s="509"/>
      <c r="K750" s="509"/>
      <c r="L750" s="510"/>
      <c r="M750" s="510"/>
    </row>
    <row r="751">
      <c r="A751" s="507"/>
      <c r="B751" s="507" t="s">
        <v>115</v>
      </c>
      <c r="C751" s="507" t="s">
        <v>1775</v>
      </c>
      <c r="D751" s="507" t="s">
        <v>1776</v>
      </c>
      <c r="E751" s="507" t="s">
        <v>1777</v>
      </c>
      <c r="F751" s="507"/>
      <c r="G751" s="508"/>
      <c r="H751" s="509"/>
      <c r="I751" s="509"/>
      <c r="J751" s="509"/>
      <c r="K751" s="509"/>
      <c r="L751" s="510"/>
      <c r="M751" s="510"/>
    </row>
    <row r="752">
      <c r="A752" s="507"/>
      <c r="B752" s="507" t="s">
        <v>115</v>
      </c>
      <c r="C752" s="507" t="s">
        <v>1778</v>
      </c>
      <c r="D752" s="507" t="s">
        <v>1779</v>
      </c>
      <c r="E752" s="507" t="s">
        <v>1780</v>
      </c>
      <c r="F752" s="507"/>
      <c r="G752" s="508"/>
      <c r="H752" s="509"/>
      <c r="I752" s="509"/>
      <c r="J752" s="509"/>
      <c r="K752" s="509"/>
      <c r="L752" s="510"/>
      <c r="M752" s="510"/>
    </row>
    <row r="753">
      <c r="A753" s="507"/>
      <c r="B753" s="507" t="s">
        <v>115</v>
      </c>
      <c r="C753" s="507" t="s">
        <v>1781</v>
      </c>
      <c r="D753" s="507" t="s">
        <v>1782</v>
      </c>
      <c r="E753" s="507" t="s">
        <v>1783</v>
      </c>
      <c r="F753" s="507"/>
      <c r="G753" s="508"/>
      <c r="H753" s="509"/>
      <c r="I753" s="509"/>
      <c r="J753" s="509"/>
      <c r="K753" s="509"/>
      <c r="L753" s="510"/>
      <c r="M753" s="510"/>
    </row>
    <row r="754">
      <c r="A754" s="507"/>
      <c r="B754" s="507" t="s">
        <v>131</v>
      </c>
      <c r="C754" s="507" t="s">
        <v>1784</v>
      </c>
      <c r="D754" s="507" t="s">
        <v>1785</v>
      </c>
      <c r="E754" s="507" t="s">
        <v>1786</v>
      </c>
      <c r="F754" s="507"/>
      <c r="G754" s="508"/>
      <c r="H754" s="509"/>
      <c r="I754" s="509"/>
      <c r="J754" s="509"/>
      <c r="K754" s="509"/>
      <c r="L754" s="510"/>
      <c r="M754" s="510"/>
    </row>
    <row r="755">
      <c r="A755" s="507"/>
      <c r="B755" s="507" t="s">
        <v>131</v>
      </c>
      <c r="C755" s="507" t="s">
        <v>1787</v>
      </c>
      <c r="D755" s="507" t="s">
        <v>1788</v>
      </c>
      <c r="E755" s="507" t="s">
        <v>1789</v>
      </c>
      <c r="F755" s="507"/>
      <c r="G755" s="508"/>
      <c r="H755" s="509"/>
      <c r="I755" s="509"/>
      <c r="J755" s="509"/>
      <c r="K755" s="509"/>
      <c r="L755" s="510"/>
      <c r="M755" s="510"/>
    </row>
    <row r="756">
      <c r="A756" s="507"/>
      <c r="B756" s="507" t="s">
        <v>131</v>
      </c>
      <c r="C756" s="507" t="s">
        <v>1790</v>
      </c>
      <c r="D756" s="507" t="s">
        <v>1791</v>
      </c>
      <c r="E756" s="507" t="s">
        <v>1792</v>
      </c>
      <c r="F756" s="507"/>
      <c r="G756" s="508"/>
      <c r="H756" s="509"/>
      <c r="I756" s="509"/>
      <c r="J756" s="509"/>
      <c r="K756" s="509"/>
      <c r="L756" s="510"/>
      <c r="M756" s="510"/>
    </row>
    <row r="757">
      <c r="A757" s="507"/>
      <c r="B757" s="507" t="s">
        <v>131</v>
      </c>
      <c r="C757" s="507" t="s">
        <v>1794</v>
      </c>
      <c r="D757" s="507" t="s">
        <v>1795</v>
      </c>
      <c r="E757" s="507" t="s">
        <v>1796</v>
      </c>
      <c r="F757" s="507"/>
      <c r="G757" s="508"/>
      <c r="H757" s="509"/>
      <c r="I757" s="509"/>
      <c r="J757" s="509"/>
      <c r="K757" s="509"/>
      <c r="L757" s="510"/>
      <c r="M757" s="510"/>
    </row>
    <row r="758">
      <c r="A758" s="507"/>
      <c r="B758" s="507" t="s">
        <v>141</v>
      </c>
      <c r="C758" s="507" t="s">
        <v>1797</v>
      </c>
      <c r="D758" s="507" t="s">
        <v>1798</v>
      </c>
      <c r="E758" s="507" t="s">
        <v>1799</v>
      </c>
      <c r="F758" s="507"/>
      <c r="G758" s="508"/>
      <c r="H758" s="509"/>
      <c r="I758" s="509"/>
      <c r="J758" s="509"/>
      <c r="K758" s="509"/>
      <c r="L758" s="510"/>
      <c r="M758" s="510"/>
    </row>
    <row r="759">
      <c r="A759" s="507"/>
      <c r="B759" s="507" t="s">
        <v>141</v>
      </c>
      <c r="C759" s="507" t="s">
        <v>1800</v>
      </c>
      <c r="D759" s="507" t="s">
        <v>1801</v>
      </c>
      <c r="E759" s="507" t="s">
        <v>1802</v>
      </c>
      <c r="F759" s="507"/>
      <c r="G759" s="508"/>
      <c r="H759" s="509"/>
      <c r="I759" s="509"/>
      <c r="J759" s="509"/>
      <c r="K759" s="509"/>
      <c r="L759" s="510"/>
      <c r="M759" s="510"/>
    </row>
    <row r="760">
      <c r="A760" s="507"/>
      <c r="B760" s="507" t="s">
        <v>1803</v>
      </c>
      <c r="C760" s="507" t="s">
        <v>1804</v>
      </c>
      <c r="D760" s="507" t="s">
        <v>1805</v>
      </c>
      <c r="E760" s="507" t="s">
        <v>1806</v>
      </c>
      <c r="F760" s="507"/>
      <c r="G760" s="508"/>
      <c r="H760" s="509"/>
      <c r="I760" s="509"/>
      <c r="J760" s="509"/>
      <c r="K760" s="509"/>
      <c r="L760" s="510"/>
      <c r="M760" s="510"/>
    </row>
    <row r="761">
      <c r="A761" s="507"/>
      <c r="B761" s="507" t="s">
        <v>1803</v>
      </c>
      <c r="C761" s="507" t="s">
        <v>1807</v>
      </c>
      <c r="D761" s="507" t="s">
        <v>1808</v>
      </c>
      <c r="E761" s="507" t="s">
        <v>1809</v>
      </c>
      <c r="F761" s="507"/>
      <c r="G761" s="508"/>
      <c r="H761" s="509"/>
      <c r="I761" s="509"/>
      <c r="J761" s="509"/>
      <c r="K761" s="509"/>
      <c r="L761" s="510"/>
      <c r="M761" s="510"/>
    </row>
    <row r="762">
      <c r="A762" s="507"/>
      <c r="B762" s="507" t="s">
        <v>1803</v>
      </c>
      <c r="C762" s="507" t="s">
        <v>1812</v>
      </c>
      <c r="D762" s="507" t="s">
        <v>1813</v>
      </c>
      <c r="E762" s="507" t="s">
        <v>1814</v>
      </c>
      <c r="F762" s="507"/>
      <c r="G762" s="508"/>
      <c r="H762" s="509"/>
      <c r="I762" s="509"/>
      <c r="J762" s="509"/>
      <c r="K762" s="509"/>
      <c r="L762" s="510"/>
      <c r="M762" s="510"/>
    </row>
    <row r="763">
      <c r="A763" s="507"/>
      <c r="B763" s="507" t="s">
        <v>1803</v>
      </c>
      <c r="C763" s="507" t="s">
        <v>1817</v>
      </c>
      <c r="D763" s="507" t="s">
        <v>1818</v>
      </c>
      <c r="E763" s="507" t="s">
        <v>1819</v>
      </c>
      <c r="F763" s="507"/>
      <c r="G763" s="508"/>
      <c r="H763" s="509"/>
      <c r="I763" s="509"/>
      <c r="J763" s="509"/>
      <c r="K763" s="509"/>
      <c r="L763" s="510"/>
      <c r="M763" s="510"/>
    </row>
    <row r="764">
      <c r="A764" s="507"/>
      <c r="B764" s="507" t="s">
        <v>1821</v>
      </c>
      <c r="C764" s="507" t="s">
        <v>1822</v>
      </c>
      <c r="D764" s="507" t="s">
        <v>1823</v>
      </c>
      <c r="E764" s="507" t="s">
        <v>1824</v>
      </c>
      <c r="F764" s="507"/>
      <c r="G764" s="508"/>
      <c r="H764" s="509"/>
      <c r="I764" s="509"/>
      <c r="J764" s="509"/>
      <c r="K764" s="509"/>
      <c r="L764" s="510"/>
      <c r="M764" s="510"/>
    </row>
    <row r="765">
      <c r="A765" s="507"/>
      <c r="B765" s="507" t="s">
        <v>1821</v>
      </c>
      <c r="C765" s="507" t="s">
        <v>1825</v>
      </c>
      <c r="D765" s="507" t="s">
        <v>1826</v>
      </c>
      <c r="E765" s="507" t="s">
        <v>1827</v>
      </c>
      <c r="F765" s="507"/>
      <c r="G765" s="508"/>
      <c r="H765" s="509"/>
      <c r="I765" s="509"/>
      <c r="J765" s="509"/>
      <c r="K765" s="509"/>
      <c r="L765" s="510"/>
      <c r="M765" s="510"/>
    </row>
    <row r="766">
      <c r="A766" s="507"/>
      <c r="B766" s="507" t="s">
        <v>1829</v>
      </c>
      <c r="C766" s="507" t="s">
        <v>1830</v>
      </c>
      <c r="D766" s="507" t="s">
        <v>1831</v>
      </c>
      <c r="E766" s="507" t="s">
        <v>1832</v>
      </c>
      <c r="F766" s="507"/>
      <c r="G766" s="508"/>
      <c r="H766" s="509"/>
      <c r="I766" s="509"/>
      <c r="J766" s="509"/>
      <c r="K766" s="509"/>
      <c r="L766" s="510"/>
      <c r="M766" s="510"/>
    </row>
    <row r="767">
      <c r="A767" s="507"/>
      <c r="B767" s="507" t="s">
        <v>1829</v>
      </c>
      <c r="C767" s="507" t="s">
        <v>1833</v>
      </c>
      <c r="D767" s="507" t="s">
        <v>1834</v>
      </c>
      <c r="E767" s="507" t="s">
        <v>1835</v>
      </c>
      <c r="F767" s="507"/>
      <c r="G767" s="508"/>
      <c r="H767" s="509"/>
      <c r="I767" s="509"/>
      <c r="J767" s="509"/>
      <c r="K767" s="509"/>
      <c r="L767" s="510"/>
      <c r="M767" s="510"/>
    </row>
    <row r="768">
      <c r="A768" s="507"/>
      <c r="B768" s="507" t="s">
        <v>1836</v>
      </c>
      <c r="C768" s="507" t="s">
        <v>1838</v>
      </c>
      <c r="D768" s="507" t="s">
        <v>1839</v>
      </c>
      <c r="E768" s="507" t="s">
        <v>1840</v>
      </c>
      <c r="F768" s="507"/>
      <c r="G768" s="508"/>
      <c r="H768" s="509"/>
      <c r="I768" s="509"/>
      <c r="J768" s="509"/>
      <c r="K768" s="509"/>
      <c r="L768" s="510"/>
      <c r="M768" s="510"/>
    </row>
    <row r="769">
      <c r="A769" s="507"/>
      <c r="B769" s="507" t="s">
        <v>1836</v>
      </c>
      <c r="C769" s="507" t="s">
        <v>1841</v>
      </c>
      <c r="D769" s="507" t="s">
        <v>1842</v>
      </c>
      <c r="E769" s="507" t="s">
        <v>1843</v>
      </c>
      <c r="F769" s="507"/>
      <c r="G769" s="508"/>
      <c r="H769" s="509"/>
      <c r="I769" s="509"/>
      <c r="J769" s="509"/>
      <c r="K769" s="509"/>
      <c r="L769" s="510"/>
      <c r="M769" s="510"/>
    </row>
    <row r="770">
      <c r="A770" s="507"/>
      <c r="B770" s="507" t="s">
        <v>186</v>
      </c>
      <c r="C770" s="507" t="s">
        <v>1845</v>
      </c>
      <c r="D770" s="507" t="s">
        <v>1846</v>
      </c>
      <c r="E770" s="507" t="s">
        <v>1847</v>
      </c>
      <c r="F770" s="507"/>
      <c r="G770" s="508"/>
      <c r="H770" s="509"/>
      <c r="I770" s="509"/>
      <c r="J770" s="509"/>
      <c r="K770" s="509"/>
      <c r="L770" s="510"/>
      <c r="M770" s="510"/>
    </row>
    <row r="771">
      <c r="A771" s="507"/>
      <c r="B771" s="507" t="s">
        <v>186</v>
      </c>
      <c r="C771" s="507" t="s">
        <v>1849</v>
      </c>
      <c r="D771" s="507" t="s">
        <v>1850</v>
      </c>
      <c r="E771" s="507" t="s">
        <v>1851</v>
      </c>
      <c r="F771" s="507"/>
      <c r="G771" s="508"/>
      <c r="H771" s="509"/>
      <c r="I771" s="509"/>
      <c r="J771" s="509"/>
      <c r="K771" s="509"/>
      <c r="L771" s="510"/>
      <c r="M771" s="510"/>
    </row>
    <row r="772">
      <c r="A772" s="507"/>
      <c r="B772" s="507" t="s">
        <v>186</v>
      </c>
      <c r="C772" s="507" t="s">
        <v>1853</v>
      </c>
      <c r="D772" s="507" t="s">
        <v>1854</v>
      </c>
      <c r="E772" s="507" t="s">
        <v>1855</v>
      </c>
      <c r="F772" s="507"/>
      <c r="G772" s="508"/>
      <c r="H772" s="509"/>
      <c r="I772" s="509"/>
      <c r="J772" s="509"/>
      <c r="K772" s="509"/>
      <c r="L772" s="510"/>
      <c r="M772" s="510"/>
    </row>
    <row r="773">
      <c r="A773" s="507"/>
      <c r="B773" s="507" t="s">
        <v>1857</v>
      </c>
      <c r="C773" s="507" t="s">
        <v>1858</v>
      </c>
      <c r="D773" s="507" t="s">
        <v>1859</v>
      </c>
      <c r="E773" s="507" t="s">
        <v>1860</v>
      </c>
      <c r="F773" s="507"/>
      <c r="G773" s="508"/>
      <c r="H773" s="509"/>
      <c r="I773" s="509"/>
      <c r="J773" s="509"/>
      <c r="K773" s="509"/>
      <c r="L773" s="510"/>
      <c r="M773" s="510"/>
    </row>
    <row r="774">
      <c r="A774" s="507"/>
      <c r="B774" s="507" t="s">
        <v>1857</v>
      </c>
      <c r="C774" s="507" t="s">
        <v>1862</v>
      </c>
      <c r="D774" s="507" t="s">
        <v>1864</v>
      </c>
      <c r="E774" s="507" t="s">
        <v>1865</v>
      </c>
      <c r="F774" s="507"/>
      <c r="G774" s="508"/>
      <c r="H774" s="509"/>
      <c r="I774" s="509"/>
      <c r="J774" s="509"/>
      <c r="K774" s="509"/>
      <c r="L774" s="510"/>
      <c r="M774" s="510"/>
    </row>
    <row r="775">
      <c r="A775" s="507"/>
      <c r="B775" s="507" t="s">
        <v>1857</v>
      </c>
      <c r="C775" s="507" t="s">
        <v>1866</v>
      </c>
      <c r="D775" s="507" t="s">
        <v>1867</v>
      </c>
      <c r="E775" s="507" t="s">
        <v>1868</v>
      </c>
      <c r="F775" s="507"/>
      <c r="G775" s="508"/>
      <c r="H775" s="509"/>
      <c r="I775" s="509"/>
      <c r="J775" s="509"/>
      <c r="K775" s="509"/>
      <c r="L775" s="510"/>
      <c r="M775" s="510"/>
    </row>
    <row r="776">
      <c r="A776" s="507"/>
      <c r="B776" s="507" t="s">
        <v>1870</v>
      </c>
      <c r="C776" s="507" t="s">
        <v>1871</v>
      </c>
      <c r="D776" s="507" t="s">
        <v>1872</v>
      </c>
      <c r="E776" s="507" t="s">
        <v>1873</v>
      </c>
      <c r="F776" s="507"/>
      <c r="G776" s="508"/>
      <c r="H776" s="509"/>
      <c r="I776" s="509"/>
      <c r="J776" s="509"/>
      <c r="K776" s="509"/>
      <c r="L776" s="510"/>
      <c r="M776" s="510"/>
    </row>
    <row r="777">
      <c r="A777" s="507"/>
      <c r="B777" s="507" t="s">
        <v>1870</v>
      </c>
      <c r="C777" s="507" t="s">
        <v>1874</v>
      </c>
      <c r="D777" s="507" t="s">
        <v>1875</v>
      </c>
      <c r="E777" s="507" t="s">
        <v>1876</v>
      </c>
      <c r="F777" s="507"/>
      <c r="G777" s="508"/>
      <c r="H777" s="509"/>
      <c r="I777" s="509"/>
      <c r="J777" s="509"/>
      <c r="K777" s="509"/>
      <c r="L777" s="510"/>
      <c r="M777" s="510"/>
    </row>
    <row r="778">
      <c r="A778" s="507"/>
      <c r="B778" s="507" t="s">
        <v>1877</v>
      </c>
      <c r="C778" s="507" t="s">
        <v>1878</v>
      </c>
      <c r="D778" s="507" t="s">
        <v>1879</v>
      </c>
      <c r="E778" s="507" t="s">
        <v>1880</v>
      </c>
      <c r="F778" s="507"/>
      <c r="G778" s="508"/>
      <c r="H778" s="509"/>
      <c r="I778" s="509"/>
      <c r="J778" s="509"/>
      <c r="K778" s="509"/>
      <c r="L778" s="510"/>
      <c r="M778" s="510"/>
    </row>
    <row r="779">
      <c r="A779" s="507"/>
      <c r="B779" s="507" t="s">
        <v>1877</v>
      </c>
      <c r="C779" s="507" t="s">
        <v>1881</v>
      </c>
      <c r="D779" s="507" t="s">
        <v>1882</v>
      </c>
      <c r="E779" s="507" t="s">
        <v>1883</v>
      </c>
      <c r="F779" s="507"/>
      <c r="G779" s="508"/>
      <c r="H779" s="509"/>
      <c r="I779" s="509"/>
      <c r="J779" s="509"/>
      <c r="K779" s="509"/>
      <c r="L779" s="510"/>
      <c r="M779" s="510"/>
    </row>
    <row r="780">
      <c r="A780" s="507"/>
      <c r="B780" s="507" t="s">
        <v>1884</v>
      </c>
      <c r="C780" s="507" t="s">
        <v>1885</v>
      </c>
      <c r="D780" s="507" t="s">
        <v>1886</v>
      </c>
      <c r="E780" s="507" t="s">
        <v>1887</v>
      </c>
      <c r="F780" s="507"/>
      <c r="G780" s="508"/>
      <c r="H780" s="509"/>
      <c r="I780" s="509"/>
      <c r="J780" s="509"/>
      <c r="K780" s="509"/>
      <c r="L780" s="510"/>
      <c r="M780" s="510"/>
    </row>
    <row r="781">
      <c r="A781" s="507"/>
      <c r="B781" s="507" t="s">
        <v>1884</v>
      </c>
      <c r="C781" s="507" t="s">
        <v>1888</v>
      </c>
      <c r="D781" s="507" t="s">
        <v>1889</v>
      </c>
      <c r="E781" s="507" t="s">
        <v>1890</v>
      </c>
      <c r="F781" s="507"/>
      <c r="G781" s="508"/>
      <c r="H781" s="509"/>
      <c r="I781" s="509"/>
      <c r="J781" s="509"/>
      <c r="K781" s="509"/>
      <c r="L781" s="510"/>
      <c r="M781" s="510"/>
    </row>
    <row r="782">
      <c r="A782" s="507"/>
      <c r="B782" s="507" t="s">
        <v>243</v>
      </c>
      <c r="C782" s="507" t="s">
        <v>1891</v>
      </c>
      <c r="D782" s="507" t="s">
        <v>1892</v>
      </c>
      <c r="E782" s="507" t="s">
        <v>1893</v>
      </c>
      <c r="F782" s="507"/>
      <c r="G782" s="508"/>
      <c r="H782" s="509"/>
      <c r="I782" s="509"/>
      <c r="J782" s="509"/>
      <c r="K782" s="509"/>
      <c r="L782" s="510"/>
      <c r="M782" s="510"/>
    </row>
    <row r="783">
      <c r="A783" s="507"/>
      <c r="B783" s="507" t="s">
        <v>243</v>
      </c>
      <c r="C783" s="507" t="s">
        <v>1894</v>
      </c>
      <c r="D783" s="507" t="s">
        <v>1895</v>
      </c>
      <c r="E783" s="507" t="s">
        <v>1896</v>
      </c>
      <c r="F783" s="507"/>
      <c r="G783" s="508"/>
      <c r="H783" s="509"/>
      <c r="I783" s="509"/>
      <c r="J783" s="509"/>
      <c r="K783" s="509"/>
      <c r="L783" s="510"/>
      <c r="M783" s="510"/>
    </row>
    <row r="784">
      <c r="A784" s="507"/>
      <c r="B784" s="507" t="s">
        <v>1897</v>
      </c>
      <c r="C784" s="507" t="s">
        <v>1898</v>
      </c>
      <c r="D784" s="507" t="s">
        <v>1899</v>
      </c>
      <c r="E784" s="507" t="s">
        <v>1900</v>
      </c>
      <c r="F784" s="507"/>
      <c r="G784" s="508"/>
      <c r="H784" s="509"/>
      <c r="I784" s="509"/>
      <c r="J784" s="509"/>
      <c r="K784" s="509"/>
      <c r="L784" s="510"/>
      <c r="M784" s="510"/>
    </row>
    <row r="785">
      <c r="A785" s="507"/>
      <c r="B785" s="507" t="s">
        <v>1897</v>
      </c>
      <c r="C785" s="507" t="s">
        <v>1901</v>
      </c>
      <c r="D785" s="507" t="s">
        <v>1902</v>
      </c>
      <c r="E785" s="507" t="s">
        <v>1903</v>
      </c>
      <c r="F785" s="507"/>
      <c r="G785" s="508"/>
      <c r="H785" s="509"/>
      <c r="I785" s="509"/>
      <c r="J785" s="509"/>
      <c r="K785" s="509"/>
      <c r="L785" s="510"/>
      <c r="M785" s="510"/>
    </row>
    <row r="786">
      <c r="A786" s="507"/>
      <c r="B786" s="507" t="s">
        <v>260</v>
      </c>
      <c r="C786" s="507" t="s">
        <v>1904</v>
      </c>
      <c r="D786" s="507" t="s">
        <v>1905</v>
      </c>
      <c r="E786" s="507" t="s">
        <v>1907</v>
      </c>
      <c r="F786" s="507"/>
      <c r="G786" s="508"/>
      <c r="H786" s="509"/>
      <c r="I786" s="509"/>
      <c r="J786" s="509"/>
      <c r="K786" s="509"/>
      <c r="L786" s="510"/>
      <c r="M786" s="510"/>
    </row>
    <row r="787">
      <c r="A787" s="507"/>
      <c r="B787" s="507" t="s">
        <v>260</v>
      </c>
      <c r="C787" s="507" t="s">
        <v>1908</v>
      </c>
      <c r="D787" s="507" t="s">
        <v>1909</v>
      </c>
      <c r="E787" s="507" t="s">
        <v>1910</v>
      </c>
      <c r="F787" s="507"/>
      <c r="G787" s="508"/>
      <c r="H787" s="509"/>
      <c r="I787" s="509"/>
      <c r="J787" s="509"/>
      <c r="K787" s="509"/>
      <c r="L787" s="510"/>
      <c r="M787" s="510"/>
    </row>
    <row r="788">
      <c r="A788" s="507"/>
      <c r="B788" s="507" t="s">
        <v>1912</v>
      </c>
      <c r="C788" s="507" t="s">
        <v>1913</v>
      </c>
      <c r="D788" s="507" t="s">
        <v>1914</v>
      </c>
      <c r="E788" s="507" t="s">
        <v>1915</v>
      </c>
      <c r="F788" s="507"/>
      <c r="G788" s="508"/>
      <c r="H788" s="509"/>
      <c r="I788" s="509"/>
      <c r="J788" s="509"/>
      <c r="K788" s="509"/>
      <c r="L788" s="510"/>
      <c r="M788" s="510"/>
    </row>
    <row r="789">
      <c r="A789" s="507"/>
      <c r="B789" s="507" t="s">
        <v>1912</v>
      </c>
      <c r="C789" s="507" t="s">
        <v>1916</v>
      </c>
      <c r="D789" s="507" t="s">
        <v>1917</v>
      </c>
      <c r="E789" s="507" t="s">
        <v>1918</v>
      </c>
      <c r="F789" s="507"/>
      <c r="G789" s="508"/>
      <c r="H789" s="509"/>
      <c r="I789" s="509"/>
      <c r="J789" s="509"/>
      <c r="K789" s="509"/>
      <c r="L789" s="510"/>
      <c r="M789" s="510"/>
    </row>
    <row r="790">
      <c r="A790" s="507"/>
      <c r="B790" s="507" t="s">
        <v>1919</v>
      </c>
      <c r="C790" s="507" t="s">
        <v>1920</v>
      </c>
      <c r="D790" s="507" t="s">
        <v>1921</v>
      </c>
      <c r="E790" s="507" t="s">
        <v>1922</v>
      </c>
      <c r="F790" s="507"/>
      <c r="G790" s="508"/>
      <c r="H790" s="509"/>
      <c r="I790" s="509"/>
      <c r="J790" s="509"/>
      <c r="K790" s="509"/>
      <c r="L790" s="510"/>
      <c r="M790" s="510"/>
    </row>
    <row r="791">
      <c r="A791" s="507"/>
      <c r="B791" s="507" t="s">
        <v>1919</v>
      </c>
      <c r="C791" s="507" t="s">
        <v>1923</v>
      </c>
      <c r="D791" s="507" t="s">
        <v>1924</v>
      </c>
      <c r="E791" s="507" t="s">
        <v>1925</v>
      </c>
      <c r="F791" s="507"/>
      <c r="G791" s="508"/>
      <c r="H791" s="509"/>
      <c r="I791" s="509"/>
      <c r="J791" s="509"/>
      <c r="K791" s="509"/>
      <c r="L791" s="510"/>
      <c r="M791" s="510"/>
    </row>
    <row r="792">
      <c r="A792" s="507"/>
      <c r="B792" s="507" t="s">
        <v>1927</v>
      </c>
      <c r="C792" s="507" t="s">
        <v>1928</v>
      </c>
      <c r="D792" s="507" t="s">
        <v>1929</v>
      </c>
      <c r="E792" s="507" t="s">
        <v>1930</v>
      </c>
      <c r="F792" s="507"/>
      <c r="G792" s="508"/>
      <c r="H792" s="509"/>
      <c r="I792" s="509"/>
      <c r="J792" s="509"/>
      <c r="K792" s="509"/>
      <c r="L792" s="510"/>
      <c r="M792" s="510"/>
    </row>
    <row r="793">
      <c r="A793" s="507"/>
      <c r="B793" s="507" t="s">
        <v>1927</v>
      </c>
      <c r="C793" s="507" t="s">
        <v>1931</v>
      </c>
      <c r="D793" s="507" t="s">
        <v>1932</v>
      </c>
      <c r="E793" s="507" t="s">
        <v>1933</v>
      </c>
      <c r="F793" s="507"/>
      <c r="G793" s="508"/>
      <c r="H793" s="509"/>
      <c r="I793" s="509"/>
      <c r="J793" s="509"/>
      <c r="K793" s="509"/>
      <c r="L793" s="510"/>
      <c r="M793" s="510"/>
    </row>
    <row r="794">
      <c r="A794" s="507"/>
      <c r="B794" s="507" t="s">
        <v>1934</v>
      </c>
      <c r="C794" s="507" t="s">
        <v>1935</v>
      </c>
      <c r="D794" s="507" t="s">
        <v>1936</v>
      </c>
      <c r="E794" s="507" t="s">
        <v>1937</v>
      </c>
      <c r="F794" s="507"/>
      <c r="G794" s="508"/>
      <c r="H794" s="509"/>
      <c r="I794" s="509"/>
      <c r="J794" s="509"/>
      <c r="K794" s="509"/>
      <c r="L794" s="510"/>
      <c r="M794" s="510"/>
    </row>
    <row r="795">
      <c r="A795" s="507"/>
      <c r="B795" s="507" t="s">
        <v>1934</v>
      </c>
      <c r="C795" s="507" t="s">
        <v>1938</v>
      </c>
      <c r="D795" s="507" t="s">
        <v>1940</v>
      </c>
      <c r="E795" s="507" t="s">
        <v>1941</v>
      </c>
      <c r="F795" s="507"/>
      <c r="G795" s="508"/>
      <c r="H795" s="509"/>
      <c r="I795" s="509"/>
      <c r="J795" s="509"/>
      <c r="K795" s="509"/>
      <c r="L795" s="510"/>
      <c r="M795" s="510"/>
    </row>
    <row r="796">
      <c r="A796" s="507"/>
      <c r="B796" s="507" t="s">
        <v>1934</v>
      </c>
      <c r="C796" s="507" t="s">
        <v>1943</v>
      </c>
      <c r="D796" s="507" t="s">
        <v>1944</v>
      </c>
      <c r="E796" s="507" t="s">
        <v>1945</v>
      </c>
      <c r="F796" s="507"/>
      <c r="G796" s="508"/>
      <c r="H796" s="509"/>
      <c r="I796" s="509"/>
      <c r="J796" s="509"/>
      <c r="K796" s="509"/>
      <c r="L796" s="510"/>
      <c r="M796" s="510"/>
    </row>
    <row r="797">
      <c r="A797" s="507"/>
      <c r="B797" s="507" t="s">
        <v>1947</v>
      </c>
      <c r="C797" s="507" t="s">
        <v>1948</v>
      </c>
      <c r="D797" s="507" t="s">
        <v>1949</v>
      </c>
      <c r="E797" s="507" t="s">
        <v>1950</v>
      </c>
      <c r="F797" s="507"/>
      <c r="G797" s="508"/>
      <c r="H797" s="509"/>
      <c r="I797" s="509"/>
      <c r="J797" s="509"/>
      <c r="K797" s="509"/>
      <c r="L797" s="510"/>
      <c r="M797" s="510"/>
    </row>
    <row r="798">
      <c r="A798" s="507"/>
      <c r="B798" s="507" t="s">
        <v>1947</v>
      </c>
      <c r="C798" s="507" t="s">
        <v>1952</v>
      </c>
      <c r="D798" s="507" t="s">
        <v>1953</v>
      </c>
      <c r="E798" s="507" t="s">
        <v>1954</v>
      </c>
      <c r="F798" s="507"/>
      <c r="G798" s="508"/>
      <c r="H798" s="509"/>
      <c r="I798" s="509"/>
      <c r="J798" s="509"/>
      <c r="K798" s="509"/>
      <c r="L798" s="510"/>
      <c r="M798" s="510"/>
    </row>
    <row r="799">
      <c r="A799" s="507"/>
      <c r="B799" s="507" t="s">
        <v>1956</v>
      </c>
      <c r="C799" s="507" t="s">
        <v>1957</v>
      </c>
      <c r="D799" s="507" t="s">
        <v>1958</v>
      </c>
      <c r="E799" s="507" t="s">
        <v>1959</v>
      </c>
      <c r="F799" s="507"/>
      <c r="G799" s="508"/>
      <c r="H799" s="509"/>
      <c r="I799" s="509"/>
      <c r="J799" s="509"/>
      <c r="K799" s="509"/>
      <c r="L799" s="510"/>
      <c r="M799" s="510"/>
    </row>
    <row r="800">
      <c r="A800" s="507"/>
      <c r="B800" s="507" t="s">
        <v>1956</v>
      </c>
      <c r="C800" s="507" t="s">
        <v>1961</v>
      </c>
      <c r="D800" s="507" t="s">
        <v>1962</v>
      </c>
      <c r="E800" s="507" t="s">
        <v>1963</v>
      </c>
      <c r="F800" s="507"/>
      <c r="G800" s="508"/>
      <c r="H800" s="509"/>
      <c r="I800" s="509"/>
      <c r="J800" s="509"/>
      <c r="K800" s="509"/>
      <c r="L800" s="510"/>
      <c r="M800" s="510"/>
    </row>
    <row r="801">
      <c r="A801" s="507"/>
      <c r="B801" s="507" t="s">
        <v>1965</v>
      </c>
      <c r="C801" s="507" t="s">
        <v>1966</v>
      </c>
      <c r="D801" s="507" t="s">
        <v>1967</v>
      </c>
      <c r="E801" s="507" t="s">
        <v>1968</v>
      </c>
      <c r="F801" s="507"/>
      <c r="G801" s="508"/>
      <c r="H801" s="509"/>
      <c r="I801" s="509"/>
      <c r="J801" s="509"/>
      <c r="K801" s="509"/>
      <c r="L801" s="510"/>
      <c r="M801" s="510"/>
    </row>
    <row r="802">
      <c r="A802" s="507"/>
      <c r="B802" s="507" t="s">
        <v>1965</v>
      </c>
      <c r="C802" s="507" t="s">
        <v>1970</v>
      </c>
      <c r="D802" s="507" t="s">
        <v>1971</v>
      </c>
      <c r="E802" s="507" t="s">
        <v>1972</v>
      </c>
      <c r="F802" s="507"/>
      <c r="G802" s="508"/>
      <c r="H802" s="509"/>
      <c r="I802" s="509"/>
      <c r="J802" s="509"/>
      <c r="K802" s="509"/>
      <c r="L802" s="510"/>
      <c r="M802" s="510"/>
    </row>
    <row r="803">
      <c r="A803" s="507"/>
      <c r="B803" s="507" t="s">
        <v>1973</v>
      </c>
      <c r="C803" s="507" t="s">
        <v>1975</v>
      </c>
      <c r="D803" s="507" t="s">
        <v>1976</v>
      </c>
      <c r="E803" s="507" t="s">
        <v>1977</v>
      </c>
      <c r="F803" s="507"/>
      <c r="G803" s="508"/>
      <c r="H803" s="509"/>
      <c r="I803" s="509"/>
      <c r="J803" s="509"/>
      <c r="K803" s="509"/>
      <c r="L803" s="510"/>
      <c r="M803" s="510"/>
    </row>
    <row r="804">
      <c r="A804" s="507"/>
      <c r="B804" s="507" t="s">
        <v>1973</v>
      </c>
      <c r="C804" s="507" t="s">
        <v>1980</v>
      </c>
      <c r="D804" s="507" t="s">
        <v>1981</v>
      </c>
      <c r="E804" s="507" t="s">
        <v>1983</v>
      </c>
      <c r="F804" s="507"/>
      <c r="G804" s="508"/>
      <c r="H804" s="509"/>
      <c r="I804" s="509"/>
      <c r="J804" s="509"/>
      <c r="K804" s="509"/>
      <c r="L804" s="510"/>
      <c r="M804" s="510"/>
    </row>
    <row r="805">
      <c r="A805" s="507"/>
      <c r="B805" s="507" t="s">
        <v>1985</v>
      </c>
      <c r="C805" s="507" t="s">
        <v>1986</v>
      </c>
      <c r="D805" s="507" t="s">
        <v>1988</v>
      </c>
      <c r="E805" s="507" t="s">
        <v>1989</v>
      </c>
      <c r="F805" s="507"/>
      <c r="G805" s="508"/>
      <c r="H805" s="509"/>
      <c r="I805" s="509"/>
      <c r="J805" s="509"/>
      <c r="K805" s="509"/>
      <c r="L805" s="510"/>
      <c r="M805" s="510"/>
    </row>
    <row r="806">
      <c r="A806" s="507"/>
      <c r="B806" s="507" t="s">
        <v>1985</v>
      </c>
      <c r="C806" s="507" t="s">
        <v>1990</v>
      </c>
      <c r="D806" s="507" t="s">
        <v>1991</v>
      </c>
      <c r="E806" s="507" t="s">
        <v>1992</v>
      </c>
      <c r="F806" s="507"/>
      <c r="G806" s="508"/>
      <c r="H806" s="509"/>
      <c r="I806" s="509"/>
      <c r="J806" s="509"/>
      <c r="K806" s="509"/>
      <c r="L806" s="510"/>
      <c r="M806" s="510"/>
    </row>
    <row r="807">
      <c r="A807" s="507"/>
      <c r="B807" s="507" t="s">
        <v>1993</v>
      </c>
      <c r="C807" s="507" t="s">
        <v>1994</v>
      </c>
      <c r="D807" s="507" t="s">
        <v>1995</v>
      </c>
      <c r="E807" s="507" t="s">
        <v>1996</v>
      </c>
      <c r="F807" s="507"/>
      <c r="G807" s="508"/>
      <c r="H807" s="509"/>
      <c r="I807" s="509"/>
      <c r="J807" s="509"/>
      <c r="K807" s="509"/>
      <c r="L807" s="510"/>
      <c r="M807" s="510"/>
    </row>
    <row r="808">
      <c r="A808" s="507"/>
      <c r="B808" s="507" t="s">
        <v>1993</v>
      </c>
      <c r="C808" s="507" t="s">
        <v>1997</v>
      </c>
      <c r="D808" s="507" t="s">
        <v>1998</v>
      </c>
      <c r="E808" s="507" t="s">
        <v>1999</v>
      </c>
      <c r="F808" s="507"/>
      <c r="G808" s="508"/>
      <c r="H808" s="509"/>
      <c r="I808" s="509"/>
      <c r="J808" s="509"/>
      <c r="K808" s="509"/>
      <c r="L808" s="510"/>
      <c r="M808" s="510"/>
    </row>
    <row r="809">
      <c r="A809" s="507"/>
      <c r="B809" s="507" t="s">
        <v>2000</v>
      </c>
      <c r="C809" s="507" t="s">
        <v>2001</v>
      </c>
      <c r="D809" s="507" t="s">
        <v>2002</v>
      </c>
      <c r="E809" s="507" t="s">
        <v>2003</v>
      </c>
      <c r="F809" s="507"/>
      <c r="G809" s="508"/>
      <c r="H809" s="509"/>
      <c r="I809" s="509"/>
      <c r="J809" s="509"/>
      <c r="K809" s="509"/>
      <c r="L809" s="510"/>
      <c r="M809" s="510"/>
    </row>
    <row r="810">
      <c r="A810" s="507"/>
      <c r="B810" s="507" t="s">
        <v>2000</v>
      </c>
      <c r="C810" s="507" t="s">
        <v>2004</v>
      </c>
      <c r="D810" s="507" t="s">
        <v>2005</v>
      </c>
      <c r="E810" s="507" t="s">
        <v>2006</v>
      </c>
      <c r="F810" s="507"/>
      <c r="G810" s="508"/>
      <c r="H810" s="509"/>
      <c r="I810" s="509"/>
      <c r="J810" s="509"/>
      <c r="K810" s="509"/>
      <c r="L810" s="510"/>
      <c r="M810" s="510"/>
    </row>
    <row r="811">
      <c r="A811" s="507"/>
      <c r="B811" s="507" t="s">
        <v>2007</v>
      </c>
      <c r="C811" s="507" t="s">
        <v>2008</v>
      </c>
      <c r="D811" s="507" t="s">
        <v>2009</v>
      </c>
      <c r="E811" s="507" t="s">
        <v>2010</v>
      </c>
      <c r="F811" s="507"/>
      <c r="G811" s="508"/>
      <c r="H811" s="509"/>
      <c r="I811" s="509"/>
      <c r="J811" s="509"/>
      <c r="K811" s="509"/>
      <c r="L811" s="510"/>
      <c r="M811" s="510"/>
    </row>
    <row r="812">
      <c r="A812" s="507"/>
      <c r="B812" s="507" t="s">
        <v>2007</v>
      </c>
      <c r="C812" s="507" t="s">
        <v>2011</v>
      </c>
      <c r="D812" s="507" t="s">
        <v>2012</v>
      </c>
      <c r="E812" s="507" t="s">
        <v>2013</v>
      </c>
      <c r="F812" s="507"/>
      <c r="G812" s="508"/>
      <c r="H812" s="509"/>
      <c r="I812" s="509"/>
      <c r="J812" s="509"/>
      <c r="K812" s="509"/>
      <c r="L812" s="510"/>
      <c r="M812" s="510"/>
    </row>
    <row r="813">
      <c r="A813" s="507"/>
      <c r="B813" s="507" t="s">
        <v>2015</v>
      </c>
      <c r="C813" s="507" t="s">
        <v>2016</v>
      </c>
      <c r="D813" s="507" t="s">
        <v>2017</v>
      </c>
      <c r="E813" s="507" t="s">
        <v>2018</v>
      </c>
      <c r="F813" s="507"/>
      <c r="G813" s="508"/>
      <c r="H813" s="509"/>
      <c r="I813" s="509"/>
      <c r="J813" s="509"/>
      <c r="K813" s="509"/>
      <c r="L813" s="510"/>
      <c r="M813" s="510"/>
    </row>
    <row r="814">
      <c r="A814" s="507"/>
      <c r="B814" s="507" t="s">
        <v>2015</v>
      </c>
      <c r="C814" s="507" t="s">
        <v>2019</v>
      </c>
      <c r="D814" s="507" t="s">
        <v>2020</v>
      </c>
      <c r="E814" s="507" t="s">
        <v>2021</v>
      </c>
      <c r="F814" s="507"/>
      <c r="G814" s="508"/>
      <c r="H814" s="509"/>
      <c r="I814" s="509"/>
      <c r="J814" s="509"/>
      <c r="K814" s="509"/>
      <c r="L814" s="510"/>
      <c r="M814" s="510"/>
    </row>
    <row r="815">
      <c r="A815" s="507"/>
      <c r="B815" s="507" t="s">
        <v>2022</v>
      </c>
      <c r="C815" s="507" t="s">
        <v>2023</v>
      </c>
      <c r="D815" s="507" t="s">
        <v>2024</v>
      </c>
      <c r="E815" s="507" t="s">
        <v>2025</v>
      </c>
      <c r="F815" s="507"/>
      <c r="G815" s="508"/>
      <c r="H815" s="509"/>
      <c r="I815" s="509"/>
      <c r="J815" s="509"/>
      <c r="K815" s="509"/>
      <c r="L815" s="510"/>
      <c r="M815" s="510"/>
    </row>
    <row r="816">
      <c r="A816" s="507"/>
      <c r="B816" s="507" t="s">
        <v>2022</v>
      </c>
      <c r="C816" s="507" t="s">
        <v>2026</v>
      </c>
      <c r="D816" s="507" t="s">
        <v>2027</v>
      </c>
      <c r="E816" s="507" t="s">
        <v>2028</v>
      </c>
      <c r="F816" s="507"/>
      <c r="G816" s="508"/>
      <c r="H816" s="509"/>
      <c r="I816" s="509"/>
      <c r="J816" s="509"/>
      <c r="K816" s="509"/>
      <c r="L816" s="510"/>
      <c r="M816" s="510"/>
    </row>
    <row r="817">
      <c r="A817" s="507"/>
      <c r="B817" s="507" t="s">
        <v>2029</v>
      </c>
      <c r="C817" s="507" t="s">
        <v>2030</v>
      </c>
      <c r="D817" s="507" t="s">
        <v>2031</v>
      </c>
      <c r="E817" s="507" t="s">
        <v>2032</v>
      </c>
      <c r="F817" s="507"/>
      <c r="G817" s="508"/>
      <c r="H817" s="509"/>
      <c r="I817" s="509"/>
      <c r="J817" s="509"/>
      <c r="K817" s="509"/>
      <c r="L817" s="510"/>
      <c r="M817" s="510"/>
    </row>
    <row r="818">
      <c r="A818" s="507"/>
      <c r="B818" s="507" t="s">
        <v>2029</v>
      </c>
      <c r="C818" s="507" t="s">
        <v>2033</v>
      </c>
      <c r="D818" s="507" t="s">
        <v>2034</v>
      </c>
      <c r="E818" s="507" t="s">
        <v>2035</v>
      </c>
      <c r="F818" s="507"/>
      <c r="G818" s="508"/>
      <c r="H818" s="509"/>
      <c r="I818" s="509"/>
      <c r="J818" s="509"/>
      <c r="K818" s="509"/>
      <c r="L818" s="510"/>
      <c r="M818" s="510"/>
    </row>
    <row r="819">
      <c r="A819" s="507"/>
      <c r="B819" s="507" t="s">
        <v>2038</v>
      </c>
      <c r="C819" s="507" t="s">
        <v>2039</v>
      </c>
      <c r="D819" s="507" t="s">
        <v>2040</v>
      </c>
      <c r="E819" s="507" t="s">
        <v>2042</v>
      </c>
      <c r="F819" s="507"/>
      <c r="G819" s="508"/>
      <c r="H819" s="509"/>
      <c r="I819" s="509"/>
      <c r="J819" s="509"/>
      <c r="K819" s="509"/>
      <c r="L819" s="510"/>
      <c r="M819" s="510"/>
    </row>
    <row r="820">
      <c r="A820" s="507"/>
      <c r="B820" s="507" t="s">
        <v>2044</v>
      </c>
      <c r="C820" s="507" t="s">
        <v>2045</v>
      </c>
      <c r="D820" s="507" t="s">
        <v>2047</v>
      </c>
      <c r="E820" s="507" t="s">
        <v>2048</v>
      </c>
      <c r="F820" s="507"/>
      <c r="G820" s="508"/>
      <c r="H820" s="509"/>
      <c r="I820" s="509"/>
      <c r="J820" s="509"/>
      <c r="K820" s="509"/>
      <c r="L820" s="510"/>
      <c r="M820" s="510"/>
    </row>
    <row r="821">
      <c r="A821" s="507"/>
      <c r="B821" s="507" t="s">
        <v>2044</v>
      </c>
      <c r="C821" s="507" t="s">
        <v>2051</v>
      </c>
      <c r="D821" s="507" t="s">
        <v>2052</v>
      </c>
      <c r="E821" s="507" t="s">
        <v>2053</v>
      </c>
      <c r="F821" s="507"/>
      <c r="G821" s="508"/>
      <c r="H821" s="509"/>
      <c r="I821" s="509"/>
      <c r="J821" s="509"/>
      <c r="K821" s="509"/>
      <c r="L821" s="510"/>
      <c r="M821" s="510"/>
    </row>
    <row r="822">
      <c r="A822" s="507"/>
      <c r="B822" s="507" t="s">
        <v>2044</v>
      </c>
      <c r="C822" s="507" t="s">
        <v>2055</v>
      </c>
      <c r="D822" s="507" t="s">
        <v>2056</v>
      </c>
      <c r="E822" s="507" t="s">
        <v>2057</v>
      </c>
      <c r="F822" s="507"/>
      <c r="G822" s="508"/>
      <c r="H822" s="509"/>
      <c r="I822" s="509"/>
      <c r="J822" s="509"/>
      <c r="K822" s="509"/>
      <c r="L822" s="510"/>
      <c r="M822" s="510"/>
    </row>
    <row r="823">
      <c r="A823" s="507"/>
      <c r="B823" s="507" t="s">
        <v>2044</v>
      </c>
      <c r="C823" s="507" t="s">
        <v>2059</v>
      </c>
      <c r="D823" s="507" t="s">
        <v>2060</v>
      </c>
      <c r="E823" s="507" t="s">
        <v>2062</v>
      </c>
      <c r="F823" s="507"/>
      <c r="G823" s="508"/>
      <c r="H823" s="509"/>
      <c r="I823" s="509"/>
      <c r="J823" s="509"/>
      <c r="K823" s="509"/>
      <c r="L823" s="510"/>
      <c r="M823" s="510"/>
    </row>
    <row r="824">
      <c r="A824" s="507"/>
      <c r="B824" s="507" t="s">
        <v>2064</v>
      </c>
      <c r="C824" s="507" t="s">
        <v>2066</v>
      </c>
      <c r="D824" s="507" t="s">
        <v>2067</v>
      </c>
      <c r="E824" s="507" t="s">
        <v>2068</v>
      </c>
      <c r="F824" s="507"/>
      <c r="G824" s="508"/>
      <c r="H824" s="509"/>
      <c r="I824" s="509"/>
      <c r="J824" s="509"/>
      <c r="K824" s="509"/>
      <c r="L824" s="510"/>
      <c r="M824" s="510"/>
    </row>
    <row r="825">
      <c r="A825" s="507"/>
      <c r="B825" s="507" t="s">
        <v>2064</v>
      </c>
      <c r="C825" s="507" t="s">
        <v>2070</v>
      </c>
      <c r="D825" s="507" t="s">
        <v>2072</v>
      </c>
      <c r="E825" s="507" t="s">
        <v>2073</v>
      </c>
      <c r="F825" s="507"/>
      <c r="G825" s="508"/>
      <c r="H825" s="509"/>
      <c r="I825" s="509"/>
      <c r="J825" s="509"/>
      <c r="K825" s="509"/>
      <c r="L825" s="510"/>
      <c r="M825" s="510"/>
    </row>
    <row r="826">
      <c r="A826" s="507"/>
      <c r="B826" s="507" t="s">
        <v>2064</v>
      </c>
      <c r="C826" s="507" t="s">
        <v>2074</v>
      </c>
      <c r="D826" s="507" t="s">
        <v>2075</v>
      </c>
      <c r="E826" s="507" t="s">
        <v>2076</v>
      </c>
      <c r="F826" s="507"/>
      <c r="G826" s="508"/>
      <c r="H826" s="509"/>
      <c r="I826" s="509"/>
      <c r="J826" s="509"/>
      <c r="K826" s="509"/>
      <c r="L826" s="510"/>
      <c r="M826" s="510"/>
    </row>
    <row r="827">
      <c r="A827" s="507"/>
      <c r="B827" s="507" t="s">
        <v>2077</v>
      </c>
      <c r="C827" s="507" t="s">
        <v>2078</v>
      </c>
      <c r="D827" s="507" t="s">
        <v>2079</v>
      </c>
      <c r="E827" s="507" t="s">
        <v>2080</v>
      </c>
      <c r="F827" s="507"/>
      <c r="G827" s="508"/>
      <c r="H827" s="509"/>
      <c r="I827" s="509"/>
      <c r="J827" s="509"/>
      <c r="K827" s="509"/>
      <c r="L827" s="510"/>
      <c r="M827" s="510"/>
    </row>
    <row r="828">
      <c r="A828" s="507"/>
      <c r="B828" s="507" t="s">
        <v>2077</v>
      </c>
      <c r="C828" s="507" t="s">
        <v>2081</v>
      </c>
      <c r="D828" s="507" t="s">
        <v>2082</v>
      </c>
      <c r="E828" s="507" t="s">
        <v>2083</v>
      </c>
      <c r="F828" s="507"/>
      <c r="G828" s="508"/>
      <c r="H828" s="509"/>
      <c r="I828" s="509"/>
      <c r="J828" s="509"/>
      <c r="K828" s="509"/>
      <c r="L828" s="510"/>
      <c r="M828" s="510"/>
    </row>
    <row r="829">
      <c r="A829" s="507"/>
      <c r="B829" s="507" t="s">
        <v>2084</v>
      </c>
      <c r="C829" s="507" t="s">
        <v>2085</v>
      </c>
      <c r="D829" s="507" t="s">
        <v>2086</v>
      </c>
      <c r="E829" s="507" t="s">
        <v>2087</v>
      </c>
      <c r="F829" s="507"/>
      <c r="G829" s="508"/>
      <c r="H829" s="509"/>
      <c r="I829" s="509"/>
      <c r="J829" s="509"/>
      <c r="K829" s="509"/>
      <c r="L829" s="510"/>
      <c r="M829" s="510"/>
    </row>
    <row r="830">
      <c r="A830" s="507"/>
      <c r="B830" s="507" t="s">
        <v>2084</v>
      </c>
      <c r="C830" s="507" t="s">
        <v>2088</v>
      </c>
      <c r="D830" s="507" t="s">
        <v>2089</v>
      </c>
      <c r="E830" s="507" t="s">
        <v>2090</v>
      </c>
      <c r="F830" s="507"/>
      <c r="G830" s="508"/>
      <c r="H830" s="509"/>
      <c r="I830" s="509"/>
      <c r="J830" s="509"/>
      <c r="K830" s="509"/>
      <c r="L830" s="510"/>
      <c r="M830" s="510"/>
    </row>
    <row r="831">
      <c r="A831" s="507"/>
      <c r="B831" s="507" t="s">
        <v>2091</v>
      </c>
      <c r="C831" s="507" t="s">
        <v>2092</v>
      </c>
      <c r="D831" s="507" t="s">
        <v>2093</v>
      </c>
      <c r="E831" s="507" t="s">
        <v>2094</v>
      </c>
      <c r="F831" s="507"/>
      <c r="G831" s="508"/>
      <c r="H831" s="509"/>
      <c r="I831" s="509"/>
      <c r="J831" s="509"/>
      <c r="K831" s="509"/>
      <c r="L831" s="510"/>
      <c r="M831" s="510"/>
    </row>
    <row r="832">
      <c r="A832" s="507"/>
      <c r="B832" s="507" t="s">
        <v>2091</v>
      </c>
      <c r="C832" s="507" t="s">
        <v>2095</v>
      </c>
      <c r="D832" s="507" t="s">
        <v>2096</v>
      </c>
      <c r="E832" s="507" t="s">
        <v>2097</v>
      </c>
      <c r="F832" s="507"/>
      <c r="G832" s="508"/>
      <c r="H832" s="509"/>
      <c r="I832" s="509"/>
      <c r="J832" s="509"/>
      <c r="K832" s="509"/>
      <c r="L832" s="510"/>
      <c r="M832" s="510"/>
    </row>
    <row r="833">
      <c r="A833" s="507"/>
      <c r="B833" s="507" t="s">
        <v>2091</v>
      </c>
      <c r="C833" s="507" t="s">
        <v>2099</v>
      </c>
      <c r="D833" s="507" t="s">
        <v>2100</v>
      </c>
      <c r="E833" s="507" t="s">
        <v>2102</v>
      </c>
      <c r="F833" s="507"/>
      <c r="G833" s="508"/>
      <c r="H833" s="509"/>
      <c r="I833" s="509"/>
      <c r="J833" s="509"/>
      <c r="K833" s="509"/>
      <c r="L833" s="510"/>
      <c r="M833" s="510"/>
    </row>
    <row r="834">
      <c r="A834" s="507"/>
      <c r="B834" s="507" t="s">
        <v>2103</v>
      </c>
      <c r="C834" s="507" t="s">
        <v>2104</v>
      </c>
      <c r="D834" s="507" t="s">
        <v>2105</v>
      </c>
      <c r="E834" s="507" t="s">
        <v>2106</v>
      </c>
      <c r="F834" s="507"/>
      <c r="G834" s="508"/>
      <c r="H834" s="509"/>
      <c r="I834" s="509"/>
      <c r="J834" s="509"/>
      <c r="K834" s="509"/>
      <c r="L834" s="510"/>
      <c r="M834" s="510"/>
    </row>
    <row r="835">
      <c r="A835" s="507"/>
      <c r="B835" s="507" t="s">
        <v>2103</v>
      </c>
      <c r="C835" s="507" t="s">
        <v>2107</v>
      </c>
      <c r="D835" s="507" t="s">
        <v>2108</v>
      </c>
      <c r="E835" s="507" t="s">
        <v>2109</v>
      </c>
      <c r="F835" s="507"/>
      <c r="G835" s="508"/>
      <c r="H835" s="509"/>
      <c r="I835" s="509"/>
      <c r="J835" s="509"/>
      <c r="K835" s="509"/>
      <c r="L835" s="510"/>
      <c r="M835" s="510"/>
    </row>
    <row r="836">
      <c r="A836" s="507"/>
      <c r="B836" s="507" t="s">
        <v>2110</v>
      </c>
      <c r="C836" s="507" t="s">
        <v>2111</v>
      </c>
      <c r="D836" s="507" t="s">
        <v>2112</v>
      </c>
      <c r="E836" s="507" t="s">
        <v>2113</v>
      </c>
      <c r="F836" s="507"/>
      <c r="G836" s="508"/>
      <c r="H836" s="509"/>
      <c r="I836" s="509"/>
      <c r="J836" s="509"/>
      <c r="K836" s="509"/>
      <c r="L836" s="510"/>
      <c r="M836" s="510"/>
    </row>
    <row r="837">
      <c r="A837" s="507"/>
      <c r="B837" s="507" t="s">
        <v>2110</v>
      </c>
      <c r="C837" s="507" t="s">
        <v>2115</v>
      </c>
      <c r="D837" s="507" t="s">
        <v>2117</v>
      </c>
      <c r="E837" s="507" t="s">
        <v>2118</v>
      </c>
      <c r="F837" s="507"/>
      <c r="G837" s="508"/>
      <c r="H837" s="509"/>
      <c r="I837" s="509"/>
      <c r="J837" s="509"/>
      <c r="K837" s="509"/>
      <c r="L837" s="510"/>
      <c r="M837" s="510"/>
    </row>
    <row r="838">
      <c r="A838" s="507"/>
      <c r="B838" s="507" t="s">
        <v>2110</v>
      </c>
      <c r="C838" s="507" t="s">
        <v>2121</v>
      </c>
      <c r="D838" s="507" t="s">
        <v>2122</v>
      </c>
      <c r="E838" s="507" t="s">
        <v>2124</v>
      </c>
      <c r="F838" s="507"/>
      <c r="G838" s="508"/>
      <c r="H838" s="509"/>
      <c r="I838" s="509"/>
      <c r="J838" s="509"/>
      <c r="K838" s="509"/>
      <c r="L838" s="510"/>
      <c r="M838" s="510"/>
    </row>
    <row r="839">
      <c r="A839" s="507"/>
      <c r="B839" s="507" t="s">
        <v>2125</v>
      </c>
      <c r="C839" s="507" t="s">
        <v>2127</v>
      </c>
      <c r="D839" s="507" t="s">
        <v>2128</v>
      </c>
      <c r="E839" s="507" t="s">
        <v>2129</v>
      </c>
      <c r="F839" s="507"/>
      <c r="G839" s="508"/>
      <c r="H839" s="509"/>
      <c r="I839" s="509"/>
      <c r="J839" s="509"/>
      <c r="K839" s="509"/>
      <c r="L839" s="510"/>
      <c r="M839" s="510"/>
    </row>
    <row r="840">
      <c r="A840" s="507"/>
      <c r="B840" s="507" t="s">
        <v>2125</v>
      </c>
      <c r="C840" s="507" t="s">
        <v>2130</v>
      </c>
      <c r="D840" s="507" t="s">
        <v>2132</v>
      </c>
      <c r="E840" s="507" t="s">
        <v>2133</v>
      </c>
      <c r="F840" s="507"/>
      <c r="G840" s="508"/>
      <c r="H840" s="509"/>
      <c r="I840" s="509"/>
      <c r="J840" s="509"/>
      <c r="K840" s="509"/>
      <c r="L840" s="510"/>
      <c r="M840" s="510"/>
    </row>
    <row r="841">
      <c r="A841" s="507"/>
      <c r="B841" s="507" t="s">
        <v>2134</v>
      </c>
      <c r="C841" s="507" t="s">
        <v>2135</v>
      </c>
      <c r="D841" s="507" t="s">
        <v>2137</v>
      </c>
      <c r="E841" s="507" t="s">
        <v>2138</v>
      </c>
      <c r="F841" s="507"/>
      <c r="G841" s="508"/>
      <c r="H841" s="509"/>
      <c r="I841" s="509"/>
      <c r="J841" s="509"/>
      <c r="K841" s="509"/>
      <c r="L841" s="510"/>
      <c r="M841" s="510"/>
    </row>
    <row r="842">
      <c r="A842" s="507"/>
      <c r="B842" s="507" t="s">
        <v>2134</v>
      </c>
      <c r="C842" s="507" t="s">
        <v>2140</v>
      </c>
      <c r="D842" s="507" t="s">
        <v>2141</v>
      </c>
      <c r="E842" s="507" t="s">
        <v>2142</v>
      </c>
      <c r="F842" s="507"/>
      <c r="G842" s="508"/>
      <c r="H842" s="509"/>
      <c r="I842" s="509"/>
      <c r="J842" s="509"/>
      <c r="K842" s="509"/>
      <c r="L842" s="510"/>
      <c r="M842" s="510"/>
    </row>
    <row r="843">
      <c r="A843" s="507"/>
      <c r="B843" s="507" t="s">
        <v>2145</v>
      </c>
      <c r="C843" s="507" t="s">
        <v>2146</v>
      </c>
      <c r="D843" s="507" t="s">
        <v>2148</v>
      </c>
      <c r="E843" s="507" t="s">
        <v>2149</v>
      </c>
      <c r="F843" s="507"/>
      <c r="G843" s="508"/>
      <c r="H843" s="509"/>
      <c r="I843" s="509"/>
      <c r="J843" s="509"/>
      <c r="K843" s="509"/>
      <c r="L843" s="510"/>
      <c r="M843" s="510"/>
    </row>
    <row r="844">
      <c r="A844" s="507"/>
      <c r="B844" s="507" t="s">
        <v>2151</v>
      </c>
      <c r="C844" s="507" t="s">
        <v>2152</v>
      </c>
      <c r="D844" s="507" t="s">
        <v>2153</v>
      </c>
      <c r="E844" s="507" t="s">
        <v>2154</v>
      </c>
      <c r="F844" s="507"/>
      <c r="G844" s="508"/>
      <c r="H844" s="509"/>
      <c r="I844" s="509"/>
      <c r="J844" s="509"/>
      <c r="K844" s="509"/>
      <c r="L844" s="510"/>
      <c r="M844" s="510"/>
    </row>
    <row r="845">
      <c r="A845" s="507"/>
      <c r="B845" s="507" t="s">
        <v>2151</v>
      </c>
      <c r="C845" s="507" t="s">
        <v>2155</v>
      </c>
      <c r="D845" s="507" t="s">
        <v>2156</v>
      </c>
      <c r="E845" s="507" t="s">
        <v>2157</v>
      </c>
      <c r="F845" s="507"/>
      <c r="G845" s="508"/>
      <c r="H845" s="509"/>
      <c r="I845" s="509"/>
      <c r="J845" s="509"/>
      <c r="K845" s="509"/>
      <c r="L845" s="510"/>
      <c r="M845" s="510"/>
    </row>
    <row r="846">
      <c r="A846" s="507"/>
      <c r="B846" s="507" t="s">
        <v>2158</v>
      </c>
      <c r="C846" s="507" t="s">
        <v>2159</v>
      </c>
      <c r="D846" s="507" t="s">
        <v>2160</v>
      </c>
      <c r="E846" s="507" t="s">
        <v>2161</v>
      </c>
      <c r="F846" s="507"/>
      <c r="G846" s="508"/>
      <c r="H846" s="509"/>
      <c r="I846" s="509"/>
      <c r="J846" s="509"/>
      <c r="K846" s="509"/>
      <c r="L846" s="510"/>
      <c r="M846" s="510"/>
    </row>
    <row r="847">
      <c r="A847" s="507"/>
      <c r="B847" s="507" t="s">
        <v>2158</v>
      </c>
      <c r="C847" s="507" t="s">
        <v>2162</v>
      </c>
      <c r="D847" s="507" t="s">
        <v>2163</v>
      </c>
      <c r="E847" s="507" t="s">
        <v>2164</v>
      </c>
      <c r="F847" s="507"/>
      <c r="G847" s="508"/>
      <c r="H847" s="509"/>
      <c r="I847" s="509"/>
      <c r="J847" s="509"/>
      <c r="K847" s="509"/>
      <c r="L847" s="510"/>
      <c r="M847" s="510"/>
    </row>
    <row r="848">
      <c r="A848" s="507"/>
      <c r="B848" s="507" t="s">
        <v>2165</v>
      </c>
      <c r="C848" s="507" t="s">
        <v>2166</v>
      </c>
      <c r="D848" s="507" t="s">
        <v>2167</v>
      </c>
      <c r="E848" s="507" t="s">
        <v>2168</v>
      </c>
      <c r="F848" s="507"/>
      <c r="G848" s="508"/>
      <c r="H848" s="509"/>
      <c r="I848" s="509"/>
      <c r="J848" s="509"/>
      <c r="K848" s="509"/>
      <c r="L848" s="510"/>
      <c r="M848" s="510"/>
    </row>
    <row r="849">
      <c r="A849" s="507"/>
      <c r="B849" s="507" t="s">
        <v>2165</v>
      </c>
      <c r="C849" s="507" t="s">
        <v>2169</v>
      </c>
      <c r="D849" s="507" t="s">
        <v>2170</v>
      </c>
      <c r="E849" s="507" t="s">
        <v>2171</v>
      </c>
      <c r="F849" s="507"/>
      <c r="G849" s="508"/>
      <c r="H849" s="509"/>
      <c r="I849" s="509"/>
      <c r="J849" s="509"/>
      <c r="K849" s="509"/>
      <c r="L849" s="510"/>
      <c r="M849" s="510"/>
    </row>
    <row r="850">
      <c r="A850" s="507"/>
      <c r="B850" s="507" t="s">
        <v>2173</v>
      </c>
      <c r="C850" s="507" t="s">
        <v>2174</v>
      </c>
      <c r="D850" s="507" t="s">
        <v>2175</v>
      </c>
      <c r="E850" s="507" t="s">
        <v>2176</v>
      </c>
      <c r="F850" s="507"/>
      <c r="G850" s="508"/>
      <c r="H850" s="509"/>
      <c r="I850" s="509"/>
      <c r="J850" s="509"/>
      <c r="K850" s="509"/>
      <c r="L850" s="510"/>
      <c r="M850" s="510"/>
    </row>
    <row r="851">
      <c r="A851" s="507"/>
      <c r="B851" s="507" t="s">
        <v>2173</v>
      </c>
      <c r="C851" s="507" t="s">
        <v>2177</v>
      </c>
      <c r="D851" s="507" t="s">
        <v>2178</v>
      </c>
      <c r="E851" s="507" t="s">
        <v>2179</v>
      </c>
      <c r="F851" s="507"/>
      <c r="G851" s="508"/>
      <c r="H851" s="509"/>
      <c r="I851" s="509"/>
      <c r="J851" s="509"/>
      <c r="K851" s="509"/>
      <c r="L851" s="510"/>
      <c r="M851" s="510"/>
    </row>
    <row r="852">
      <c r="A852" s="507"/>
      <c r="B852" s="507" t="s">
        <v>2180</v>
      </c>
      <c r="C852" s="507" t="s">
        <v>2181</v>
      </c>
      <c r="D852" s="507" t="s">
        <v>2182</v>
      </c>
      <c r="E852" s="507" t="s">
        <v>2183</v>
      </c>
      <c r="F852" s="507"/>
      <c r="G852" s="508"/>
      <c r="H852" s="509"/>
      <c r="I852" s="509"/>
      <c r="J852" s="509"/>
      <c r="K852" s="509"/>
      <c r="L852" s="510"/>
      <c r="M852" s="510"/>
    </row>
    <row r="853">
      <c r="A853" s="507"/>
      <c r="B853" s="507" t="s">
        <v>2180</v>
      </c>
      <c r="C853" s="507" t="s">
        <v>2184</v>
      </c>
      <c r="D853" s="507" t="s">
        <v>2185</v>
      </c>
      <c r="E853" s="507" t="s">
        <v>2186</v>
      </c>
      <c r="F853" s="507"/>
      <c r="G853" s="508"/>
      <c r="H853" s="509"/>
      <c r="I853" s="509"/>
      <c r="J853" s="509"/>
      <c r="K853" s="509"/>
      <c r="L853" s="510"/>
      <c r="M853" s="510"/>
    </row>
    <row r="854">
      <c r="A854" s="507"/>
      <c r="B854" s="507" t="s">
        <v>2180</v>
      </c>
      <c r="C854" s="507" t="s">
        <v>2187</v>
      </c>
      <c r="D854" s="507" t="s">
        <v>2188</v>
      </c>
      <c r="E854" s="507" t="s">
        <v>2190</v>
      </c>
      <c r="F854" s="507"/>
      <c r="G854" s="508"/>
      <c r="H854" s="509"/>
      <c r="I854" s="509"/>
      <c r="J854" s="509"/>
      <c r="K854" s="509"/>
      <c r="L854" s="510"/>
      <c r="M854" s="510"/>
    </row>
    <row r="855">
      <c r="A855" s="507"/>
      <c r="B855" s="507" t="s">
        <v>2192</v>
      </c>
      <c r="C855" s="507" t="s">
        <v>2194</v>
      </c>
      <c r="D855" s="507" t="s">
        <v>1721</v>
      </c>
      <c r="E855" s="507" t="s">
        <v>2195</v>
      </c>
      <c r="F855" s="507"/>
      <c r="G855" s="508"/>
      <c r="H855" s="509"/>
      <c r="I855" s="509"/>
      <c r="J855" s="509"/>
      <c r="K855" s="509"/>
      <c r="L855" s="510"/>
      <c r="M855" s="510"/>
    </row>
    <row r="856">
      <c r="A856" s="507"/>
      <c r="B856" s="507" t="s">
        <v>2192</v>
      </c>
      <c r="C856" s="507" t="s">
        <v>2197</v>
      </c>
      <c r="D856" s="507" t="s">
        <v>2199</v>
      </c>
      <c r="E856" s="507" t="s">
        <v>2200</v>
      </c>
      <c r="F856" s="507"/>
      <c r="G856" s="508"/>
      <c r="H856" s="509"/>
      <c r="I856" s="509"/>
      <c r="J856" s="509"/>
      <c r="K856" s="509"/>
      <c r="L856" s="510"/>
      <c r="M856" s="510"/>
    </row>
    <row r="857">
      <c r="A857" s="507"/>
      <c r="B857" s="507" t="s">
        <v>2202</v>
      </c>
      <c r="C857" s="507" t="s">
        <v>2203</v>
      </c>
      <c r="D857" s="507" t="s">
        <v>2204</v>
      </c>
      <c r="E857" s="507" t="s">
        <v>2205</v>
      </c>
      <c r="F857" s="507"/>
      <c r="G857" s="508"/>
      <c r="H857" s="509"/>
      <c r="I857" s="509"/>
      <c r="J857" s="509"/>
      <c r="K857" s="509"/>
      <c r="L857" s="510"/>
      <c r="M857" s="510"/>
    </row>
    <row r="858">
      <c r="A858" s="507"/>
      <c r="B858" s="507" t="s">
        <v>2202</v>
      </c>
      <c r="C858" s="507" t="s">
        <v>2206</v>
      </c>
      <c r="D858" s="507" t="s">
        <v>2208</v>
      </c>
      <c r="E858" s="507" t="s">
        <v>2209</v>
      </c>
      <c r="F858" s="507"/>
      <c r="G858" s="508"/>
      <c r="H858" s="509"/>
      <c r="I858" s="509"/>
      <c r="J858" s="509"/>
      <c r="K858" s="509"/>
      <c r="L858" s="510"/>
      <c r="M858" s="510"/>
    </row>
    <row r="859">
      <c r="A859" s="507"/>
      <c r="B859" s="507" t="s">
        <v>2210</v>
      </c>
      <c r="C859" s="507" t="s">
        <v>2211</v>
      </c>
      <c r="D859" s="507" t="s">
        <v>2212</v>
      </c>
      <c r="E859" s="507" t="s">
        <v>2214</v>
      </c>
      <c r="F859" s="507"/>
      <c r="G859" s="508"/>
      <c r="H859" s="509"/>
      <c r="I859" s="509"/>
      <c r="J859" s="509"/>
      <c r="K859" s="509"/>
      <c r="L859" s="510"/>
      <c r="M859" s="510"/>
    </row>
    <row r="860">
      <c r="A860" s="507"/>
      <c r="B860" s="507" t="s">
        <v>2210</v>
      </c>
      <c r="C860" s="507" t="s">
        <v>2216</v>
      </c>
      <c r="D860" s="507" t="s">
        <v>2217</v>
      </c>
      <c r="E860" s="507" t="s">
        <v>2218</v>
      </c>
      <c r="F860" s="507"/>
      <c r="G860" s="508"/>
      <c r="H860" s="509"/>
      <c r="I860" s="509"/>
      <c r="J860" s="509"/>
      <c r="K860" s="509"/>
      <c r="L860" s="510"/>
      <c r="M860" s="510"/>
    </row>
    <row r="861">
      <c r="A861" s="507"/>
      <c r="B861" s="507" t="s">
        <v>2219</v>
      </c>
      <c r="C861" s="507" t="s">
        <v>2220</v>
      </c>
      <c r="D861" s="507" t="s">
        <v>2221</v>
      </c>
      <c r="E861" s="507" t="s">
        <v>2222</v>
      </c>
      <c r="F861" s="507"/>
      <c r="G861" s="508"/>
      <c r="H861" s="509"/>
      <c r="I861" s="509"/>
      <c r="J861" s="509"/>
      <c r="K861" s="509"/>
      <c r="L861" s="510"/>
      <c r="M861" s="510"/>
    </row>
    <row r="862">
      <c r="A862" s="507"/>
      <c r="B862" s="507" t="s">
        <v>577</v>
      </c>
      <c r="C862" s="507" t="s">
        <v>2223</v>
      </c>
      <c r="D862" s="507" t="s">
        <v>2224</v>
      </c>
      <c r="E862" s="507" t="s">
        <v>2225</v>
      </c>
      <c r="F862" s="507"/>
      <c r="G862" s="508"/>
      <c r="H862" s="509"/>
      <c r="I862" s="509"/>
      <c r="J862" s="509"/>
      <c r="K862" s="509"/>
      <c r="L862" s="510"/>
      <c r="M862" s="510"/>
    </row>
    <row r="863">
      <c r="A863" s="507"/>
      <c r="B863" s="507" t="s">
        <v>577</v>
      </c>
      <c r="C863" s="507" t="s">
        <v>2227</v>
      </c>
      <c r="D863" s="507" t="s">
        <v>2228</v>
      </c>
      <c r="E863" s="507" t="s">
        <v>2229</v>
      </c>
      <c r="F863" s="507"/>
      <c r="G863" s="508"/>
      <c r="H863" s="509"/>
      <c r="I863" s="509"/>
      <c r="J863" s="509"/>
      <c r="K863" s="509"/>
      <c r="L863" s="510"/>
      <c r="M863" s="510"/>
    </row>
    <row r="864">
      <c r="A864" s="507"/>
      <c r="B864" s="507" t="s">
        <v>577</v>
      </c>
      <c r="C864" s="507" t="s">
        <v>2231</v>
      </c>
      <c r="D864" s="507" t="s">
        <v>2232</v>
      </c>
      <c r="E864" s="507" t="s">
        <v>2234</v>
      </c>
      <c r="F864" s="507"/>
      <c r="G864" s="508"/>
      <c r="H864" s="509"/>
      <c r="I864" s="509"/>
      <c r="J864" s="509"/>
      <c r="K864" s="509"/>
      <c r="L864" s="510"/>
      <c r="M864" s="510"/>
    </row>
    <row r="865">
      <c r="A865" s="507"/>
      <c r="B865" s="507" t="s">
        <v>2236</v>
      </c>
      <c r="C865" s="507" t="s">
        <v>2237</v>
      </c>
      <c r="D865" s="507" t="s">
        <v>2238</v>
      </c>
      <c r="E865" s="507" t="s">
        <v>2239</v>
      </c>
      <c r="F865" s="507"/>
      <c r="G865" s="508"/>
      <c r="H865" s="509"/>
      <c r="I865" s="509"/>
      <c r="J865" s="509"/>
      <c r="K865" s="509"/>
      <c r="L865" s="510"/>
      <c r="M865" s="510"/>
    </row>
    <row r="866">
      <c r="A866" s="507"/>
      <c r="B866" s="507" t="s">
        <v>2236</v>
      </c>
      <c r="C866" s="507" t="s">
        <v>2241</v>
      </c>
      <c r="D866" s="507" t="s">
        <v>2242</v>
      </c>
      <c r="E866" s="507" t="s">
        <v>2243</v>
      </c>
      <c r="F866" s="507"/>
      <c r="G866" s="508"/>
      <c r="H866" s="509"/>
      <c r="I866" s="509"/>
      <c r="J866" s="509"/>
      <c r="K866" s="509"/>
      <c r="L866" s="510"/>
      <c r="M866" s="510"/>
    </row>
    <row r="867">
      <c r="A867" s="507"/>
      <c r="B867" s="507" t="s">
        <v>2245</v>
      </c>
      <c r="C867" s="507" t="s">
        <v>2246</v>
      </c>
      <c r="D867" s="507" t="s">
        <v>2247</v>
      </c>
      <c r="E867" s="507" t="s">
        <v>2248</v>
      </c>
      <c r="F867" s="507"/>
      <c r="G867" s="508"/>
      <c r="H867" s="509"/>
      <c r="I867" s="509"/>
      <c r="J867" s="509"/>
      <c r="K867" s="509"/>
      <c r="L867" s="510"/>
      <c r="M867" s="510"/>
    </row>
    <row r="868">
      <c r="A868" s="507"/>
      <c r="B868" s="507" t="s">
        <v>2245</v>
      </c>
      <c r="C868" s="507" t="s">
        <v>2249</v>
      </c>
      <c r="D868" s="507" t="s">
        <v>2250</v>
      </c>
      <c r="E868" s="507" t="s">
        <v>2251</v>
      </c>
      <c r="F868" s="507"/>
      <c r="G868" s="508"/>
      <c r="H868" s="509"/>
      <c r="I868" s="509"/>
      <c r="J868" s="509"/>
      <c r="K868" s="509"/>
      <c r="L868" s="510"/>
      <c r="M868" s="510"/>
    </row>
    <row r="869">
      <c r="A869" s="507"/>
      <c r="B869" s="507" t="s">
        <v>588</v>
      </c>
      <c r="C869" s="507" t="s">
        <v>2252</v>
      </c>
      <c r="D869" s="507" t="s">
        <v>2253</v>
      </c>
      <c r="E869" s="507" t="s">
        <v>2254</v>
      </c>
      <c r="F869" s="507"/>
      <c r="G869" s="508"/>
      <c r="H869" s="509"/>
      <c r="I869" s="509"/>
      <c r="J869" s="509"/>
      <c r="K869" s="509"/>
      <c r="L869" s="510"/>
      <c r="M869" s="510"/>
    </row>
    <row r="870">
      <c r="A870" s="507"/>
      <c r="B870" s="507" t="s">
        <v>588</v>
      </c>
      <c r="C870" s="507" t="s">
        <v>2255</v>
      </c>
      <c r="D870" s="507" t="s">
        <v>2256</v>
      </c>
      <c r="E870" s="507" t="s">
        <v>2257</v>
      </c>
      <c r="F870" s="507"/>
      <c r="G870" s="508"/>
      <c r="H870" s="509"/>
      <c r="I870" s="509"/>
      <c r="J870" s="509"/>
      <c r="K870" s="509"/>
      <c r="L870" s="510"/>
      <c r="M870" s="510"/>
    </row>
    <row r="871">
      <c r="A871" s="507"/>
      <c r="B871" s="507" t="s">
        <v>593</v>
      </c>
      <c r="C871" s="507" t="s">
        <v>2258</v>
      </c>
      <c r="D871" s="507" t="s">
        <v>2259</v>
      </c>
      <c r="E871" s="507" t="s">
        <v>2260</v>
      </c>
      <c r="F871" s="507"/>
      <c r="G871" s="508"/>
      <c r="H871" s="509"/>
      <c r="I871" s="509"/>
      <c r="J871" s="509"/>
      <c r="K871" s="509"/>
      <c r="L871" s="510"/>
      <c r="M871" s="510"/>
    </row>
    <row r="872">
      <c r="A872" s="507"/>
      <c r="B872" s="507" t="s">
        <v>593</v>
      </c>
      <c r="C872" s="507" t="s">
        <v>2261</v>
      </c>
      <c r="D872" s="507" t="s">
        <v>2262</v>
      </c>
      <c r="E872" s="507" t="s">
        <v>2263</v>
      </c>
      <c r="F872" s="507"/>
      <c r="G872" s="508"/>
      <c r="H872" s="509"/>
      <c r="I872" s="509"/>
      <c r="J872" s="509"/>
      <c r="K872" s="509"/>
      <c r="L872" s="510"/>
      <c r="M872" s="510"/>
    </row>
    <row r="873">
      <c r="A873" s="507"/>
      <c r="B873" s="507" t="s">
        <v>597</v>
      </c>
      <c r="C873" s="507" t="s">
        <v>2264</v>
      </c>
      <c r="D873" s="507" t="s">
        <v>2265</v>
      </c>
      <c r="E873" s="507" t="s">
        <v>2266</v>
      </c>
      <c r="F873" s="507"/>
      <c r="G873" s="508"/>
      <c r="H873" s="509"/>
      <c r="I873" s="509"/>
      <c r="J873" s="509"/>
      <c r="K873" s="509"/>
      <c r="L873" s="510"/>
      <c r="M873" s="510"/>
    </row>
    <row r="874">
      <c r="A874" s="507"/>
      <c r="B874" s="507" t="s">
        <v>597</v>
      </c>
      <c r="C874" s="507" t="s">
        <v>2267</v>
      </c>
      <c r="D874" s="507" t="s">
        <v>2268</v>
      </c>
      <c r="E874" s="507" t="s">
        <v>2269</v>
      </c>
      <c r="F874" s="507"/>
      <c r="G874" s="508"/>
      <c r="H874" s="509"/>
      <c r="I874" s="509"/>
      <c r="J874" s="509"/>
      <c r="K874" s="509"/>
      <c r="L874" s="510"/>
      <c r="M874" s="510"/>
    </row>
    <row r="875">
      <c r="A875" s="507"/>
      <c r="B875" s="507" t="s">
        <v>599</v>
      </c>
      <c r="C875" s="507" t="s">
        <v>2270</v>
      </c>
      <c r="D875" s="507" t="s">
        <v>2271</v>
      </c>
      <c r="E875" s="507" t="s">
        <v>2272</v>
      </c>
      <c r="F875" s="507"/>
      <c r="G875" s="508"/>
      <c r="H875" s="509"/>
      <c r="I875" s="509"/>
      <c r="J875" s="509"/>
      <c r="K875" s="509"/>
      <c r="L875" s="510"/>
      <c r="M875" s="510"/>
    </row>
    <row r="876">
      <c r="A876" s="507"/>
      <c r="B876" s="507" t="s">
        <v>599</v>
      </c>
      <c r="C876" s="507" t="s">
        <v>2273</v>
      </c>
      <c r="D876" s="507" t="s">
        <v>2274</v>
      </c>
      <c r="E876" s="507" t="s">
        <v>2275</v>
      </c>
      <c r="F876" s="507"/>
      <c r="G876" s="508"/>
      <c r="H876" s="509"/>
      <c r="I876" s="509"/>
      <c r="J876" s="509"/>
      <c r="K876" s="509"/>
      <c r="L876" s="510"/>
      <c r="M876" s="510"/>
    </row>
    <row r="877">
      <c r="A877" s="507"/>
      <c r="B877" s="507" t="s">
        <v>600</v>
      </c>
      <c r="C877" s="507" t="s">
        <v>2277</v>
      </c>
      <c r="D877" s="507" t="s">
        <v>2278</v>
      </c>
      <c r="E877" s="507" t="s">
        <v>2279</v>
      </c>
      <c r="F877" s="507"/>
      <c r="G877" s="508"/>
      <c r="H877" s="509"/>
      <c r="I877" s="509"/>
      <c r="J877" s="509"/>
      <c r="K877" s="509"/>
      <c r="L877" s="510"/>
      <c r="M877" s="510"/>
    </row>
    <row r="878">
      <c r="A878" s="507"/>
      <c r="B878" s="507" t="s">
        <v>600</v>
      </c>
      <c r="C878" s="507" t="s">
        <v>2280</v>
      </c>
      <c r="D878" s="507" t="s">
        <v>2281</v>
      </c>
      <c r="E878" s="507" t="s">
        <v>2282</v>
      </c>
      <c r="F878" s="507"/>
      <c r="G878" s="508"/>
      <c r="H878" s="509"/>
      <c r="I878" s="509"/>
      <c r="J878" s="509"/>
      <c r="K878" s="509"/>
      <c r="L878" s="510"/>
      <c r="M878" s="510"/>
    </row>
    <row r="879">
      <c r="A879" s="507"/>
      <c r="B879" s="507" t="s">
        <v>2284</v>
      </c>
      <c r="C879" s="507" t="s">
        <v>2285</v>
      </c>
      <c r="D879" s="507" t="s">
        <v>1721</v>
      </c>
      <c r="E879" s="507" t="s">
        <v>2286</v>
      </c>
      <c r="F879" s="507"/>
      <c r="G879" s="508"/>
      <c r="H879" s="509"/>
      <c r="I879" s="509"/>
      <c r="J879" s="509"/>
      <c r="K879" s="509"/>
      <c r="L879" s="510"/>
      <c r="M879" s="510"/>
    </row>
    <row r="880">
      <c r="A880" s="507"/>
      <c r="B880" s="507" t="s">
        <v>2284</v>
      </c>
      <c r="C880" s="507" t="s">
        <v>2287</v>
      </c>
      <c r="D880" s="507" t="s">
        <v>2288</v>
      </c>
      <c r="E880" s="507" t="s">
        <v>2289</v>
      </c>
      <c r="F880" s="507"/>
      <c r="G880" s="508"/>
      <c r="H880" s="509"/>
      <c r="I880" s="509"/>
      <c r="J880" s="509"/>
      <c r="K880" s="509"/>
      <c r="L880" s="510"/>
      <c r="M880" s="510"/>
    </row>
    <row r="881">
      <c r="A881" s="507"/>
      <c r="B881" s="507" t="s">
        <v>2290</v>
      </c>
      <c r="C881" s="507" t="s">
        <v>2291</v>
      </c>
      <c r="D881" s="507" t="s">
        <v>2292</v>
      </c>
      <c r="E881" s="507" t="s">
        <v>2293</v>
      </c>
      <c r="F881" s="507"/>
      <c r="G881" s="508"/>
      <c r="H881" s="509"/>
      <c r="I881" s="509"/>
      <c r="J881" s="509"/>
      <c r="K881" s="509"/>
      <c r="L881" s="510"/>
      <c r="M881" s="510"/>
    </row>
    <row r="882">
      <c r="A882" s="507"/>
      <c r="B882" s="507" t="s">
        <v>2290</v>
      </c>
      <c r="C882" s="507" t="s">
        <v>2294</v>
      </c>
      <c r="D882" s="507" t="s">
        <v>2295</v>
      </c>
      <c r="E882" s="507" t="s">
        <v>2296</v>
      </c>
      <c r="F882" s="507"/>
      <c r="G882" s="508"/>
      <c r="H882" s="509"/>
      <c r="I882" s="509"/>
      <c r="J882" s="509"/>
      <c r="K882" s="509"/>
      <c r="L882" s="510"/>
      <c r="M882" s="510"/>
    </row>
    <row r="883">
      <c r="A883" s="507"/>
      <c r="B883" s="507" t="s">
        <v>2297</v>
      </c>
      <c r="C883" s="507" t="s">
        <v>2298</v>
      </c>
      <c r="D883" s="507" t="s">
        <v>2299</v>
      </c>
      <c r="E883" s="507" t="s">
        <v>2300</v>
      </c>
      <c r="F883" s="507"/>
      <c r="G883" s="508"/>
      <c r="H883" s="509"/>
      <c r="I883" s="509"/>
      <c r="J883" s="509"/>
      <c r="K883" s="509"/>
      <c r="L883" s="510"/>
      <c r="M883" s="510"/>
    </row>
    <row r="884">
      <c r="A884" s="507"/>
      <c r="B884" s="507" t="s">
        <v>2297</v>
      </c>
      <c r="C884" s="507" t="s">
        <v>2301</v>
      </c>
      <c r="D884" s="507" t="s">
        <v>2302</v>
      </c>
      <c r="E884" s="507" t="s">
        <v>2303</v>
      </c>
      <c r="F884" s="507"/>
      <c r="G884" s="508"/>
      <c r="H884" s="509"/>
      <c r="I884" s="509"/>
      <c r="J884" s="509"/>
      <c r="K884" s="509"/>
      <c r="L884" s="510"/>
      <c r="M884" s="510"/>
    </row>
    <row r="885">
      <c r="A885" s="507"/>
      <c r="B885" s="507" t="s">
        <v>2304</v>
      </c>
      <c r="C885" s="507" t="s">
        <v>2305</v>
      </c>
      <c r="D885" s="507" t="s">
        <v>2306</v>
      </c>
      <c r="E885" s="507" t="s">
        <v>2307</v>
      </c>
      <c r="F885" s="507"/>
      <c r="G885" s="508"/>
      <c r="H885" s="509"/>
      <c r="I885" s="509"/>
      <c r="J885" s="509"/>
      <c r="K885" s="509"/>
      <c r="L885" s="510"/>
      <c r="M885" s="510"/>
    </row>
    <row r="886">
      <c r="A886" s="507"/>
      <c r="B886" s="507" t="s">
        <v>2304</v>
      </c>
      <c r="C886" s="507" t="s">
        <v>2309</v>
      </c>
      <c r="D886" s="507" t="s">
        <v>2311</v>
      </c>
      <c r="E886" s="507" t="s">
        <v>2312</v>
      </c>
      <c r="F886" s="507"/>
      <c r="G886" s="508"/>
      <c r="H886" s="509"/>
      <c r="I886" s="509"/>
      <c r="J886" s="509"/>
      <c r="K886" s="509"/>
      <c r="L886" s="510"/>
      <c r="M886" s="510"/>
    </row>
    <row r="887">
      <c r="A887" s="507"/>
      <c r="B887" s="507" t="s">
        <v>2314</v>
      </c>
      <c r="C887" s="507" t="s">
        <v>2315</v>
      </c>
      <c r="D887" s="507" t="s">
        <v>2316</v>
      </c>
      <c r="E887" s="507" t="s">
        <v>2317</v>
      </c>
      <c r="F887" s="507"/>
      <c r="G887" s="508"/>
      <c r="H887" s="509"/>
      <c r="I887" s="509"/>
      <c r="J887" s="509"/>
      <c r="K887" s="509"/>
      <c r="L887" s="510"/>
      <c r="M887" s="510"/>
    </row>
    <row r="888">
      <c r="A888" s="507"/>
      <c r="B888" s="507" t="s">
        <v>621</v>
      </c>
      <c r="C888" s="507" t="s">
        <v>2319</v>
      </c>
      <c r="D888" s="507" t="s">
        <v>2320</v>
      </c>
      <c r="E888" s="507" t="s">
        <v>2321</v>
      </c>
      <c r="F888" s="507"/>
      <c r="G888" s="508"/>
      <c r="H888" s="509"/>
      <c r="I888" s="509"/>
      <c r="J888" s="509"/>
      <c r="K888" s="509"/>
      <c r="L888" s="510"/>
      <c r="M888" s="510"/>
    </row>
    <row r="889">
      <c r="A889" s="507"/>
      <c r="B889" s="507" t="s">
        <v>621</v>
      </c>
      <c r="C889" s="507" t="s">
        <v>2323</v>
      </c>
      <c r="D889" s="507" t="s">
        <v>2324</v>
      </c>
      <c r="E889" s="507" t="s">
        <v>2325</v>
      </c>
      <c r="F889" s="507"/>
      <c r="G889" s="508"/>
      <c r="H889" s="509"/>
      <c r="I889" s="509"/>
      <c r="J889" s="509"/>
      <c r="K889" s="509"/>
      <c r="L889" s="510"/>
      <c r="M889" s="510"/>
    </row>
    <row r="890">
      <c r="A890" s="507"/>
      <c r="B890" s="507" t="s">
        <v>2328</v>
      </c>
      <c r="C890" s="507" t="s">
        <v>2329</v>
      </c>
      <c r="D890" s="507" t="s">
        <v>2330</v>
      </c>
      <c r="E890" s="507" t="s">
        <v>2331</v>
      </c>
      <c r="F890" s="507"/>
      <c r="G890" s="508"/>
      <c r="H890" s="509"/>
      <c r="I890" s="509"/>
      <c r="J890" s="509"/>
      <c r="K890" s="509"/>
      <c r="L890" s="510"/>
      <c r="M890" s="510"/>
    </row>
    <row r="891">
      <c r="A891" s="507"/>
      <c r="B891" s="507" t="s">
        <v>2328</v>
      </c>
      <c r="C891" s="507" t="s">
        <v>2334</v>
      </c>
      <c r="D891" s="507" t="s">
        <v>2335</v>
      </c>
      <c r="E891" s="507" t="s">
        <v>2336</v>
      </c>
      <c r="F891" s="507"/>
      <c r="G891" s="508"/>
      <c r="H891" s="509"/>
      <c r="I891" s="509"/>
      <c r="J891" s="509"/>
      <c r="K891" s="509"/>
      <c r="L891" s="510"/>
      <c r="M891" s="510"/>
    </row>
    <row r="892">
      <c r="A892" s="507"/>
      <c r="B892" s="507" t="s">
        <v>2339</v>
      </c>
      <c r="C892" s="507" t="s">
        <v>2340</v>
      </c>
      <c r="D892" s="507" t="s">
        <v>2341</v>
      </c>
      <c r="E892" s="507" t="s">
        <v>2342</v>
      </c>
      <c r="F892" s="507"/>
      <c r="G892" s="508"/>
      <c r="H892" s="509"/>
      <c r="I892" s="509"/>
      <c r="J892" s="509"/>
      <c r="K892" s="509"/>
      <c r="L892" s="510"/>
      <c r="M892" s="510"/>
    </row>
    <row r="893">
      <c r="A893" s="507"/>
      <c r="B893" s="507" t="s">
        <v>2339</v>
      </c>
      <c r="C893" s="507" t="s">
        <v>2345</v>
      </c>
      <c r="D893" s="507" t="s">
        <v>2346</v>
      </c>
      <c r="E893" s="507" t="s">
        <v>2347</v>
      </c>
      <c r="F893" s="507"/>
      <c r="G893" s="508"/>
      <c r="H893" s="509"/>
      <c r="I893" s="509"/>
      <c r="J893" s="509"/>
      <c r="K893" s="509"/>
      <c r="L893" s="510"/>
      <c r="M893" s="510"/>
    </row>
    <row r="894">
      <c r="A894" s="507"/>
      <c r="B894" s="507" t="s">
        <v>2339</v>
      </c>
      <c r="C894" s="507" t="s">
        <v>2349</v>
      </c>
      <c r="D894" s="507" t="s">
        <v>2350</v>
      </c>
      <c r="E894" s="507" t="s">
        <v>2351</v>
      </c>
      <c r="F894" s="507"/>
      <c r="G894" s="508"/>
      <c r="H894" s="509"/>
      <c r="I894" s="509"/>
      <c r="J894" s="509"/>
      <c r="K894" s="509"/>
      <c r="L894" s="510"/>
      <c r="M894" s="510"/>
    </row>
    <row r="895">
      <c r="A895" s="507"/>
      <c r="B895" s="507" t="s">
        <v>2352</v>
      </c>
      <c r="C895" s="507" t="s">
        <v>2353</v>
      </c>
      <c r="D895" s="507" t="s">
        <v>2354</v>
      </c>
      <c r="E895" s="507" t="s">
        <v>2355</v>
      </c>
      <c r="F895" s="507"/>
      <c r="G895" s="508"/>
      <c r="H895" s="509"/>
      <c r="I895" s="509"/>
      <c r="J895" s="509"/>
      <c r="K895" s="509"/>
      <c r="L895" s="510"/>
      <c r="M895" s="510"/>
    </row>
    <row r="896">
      <c r="A896" s="507"/>
      <c r="B896" s="507" t="s">
        <v>2352</v>
      </c>
      <c r="C896" s="507" t="s">
        <v>2356</v>
      </c>
      <c r="D896" s="507" t="s">
        <v>2357</v>
      </c>
      <c r="E896" s="507" t="s">
        <v>2358</v>
      </c>
      <c r="F896" s="507"/>
      <c r="G896" s="508"/>
      <c r="H896" s="509"/>
      <c r="I896" s="509"/>
      <c r="J896" s="509"/>
      <c r="K896" s="509"/>
      <c r="L896" s="510"/>
      <c r="M896" s="510"/>
    </row>
    <row r="897">
      <c r="A897" s="507"/>
      <c r="B897" s="507" t="s">
        <v>2359</v>
      </c>
      <c r="C897" s="507" t="s">
        <v>2360</v>
      </c>
      <c r="D897" s="507" t="s">
        <v>2361</v>
      </c>
      <c r="E897" s="507" t="s">
        <v>2362</v>
      </c>
      <c r="F897" s="507"/>
      <c r="G897" s="508"/>
      <c r="H897" s="509"/>
      <c r="I897" s="509"/>
      <c r="J897" s="509"/>
      <c r="K897" s="509"/>
      <c r="L897" s="510"/>
      <c r="M897" s="510"/>
    </row>
    <row r="898">
      <c r="A898" s="507"/>
      <c r="B898" s="507" t="s">
        <v>2359</v>
      </c>
      <c r="C898" s="507" t="s">
        <v>2363</v>
      </c>
      <c r="D898" s="507" t="s">
        <v>2364</v>
      </c>
      <c r="E898" s="507" t="s">
        <v>2365</v>
      </c>
      <c r="F898" s="507"/>
      <c r="G898" s="508"/>
      <c r="H898" s="509"/>
      <c r="I898" s="509"/>
      <c r="J898" s="509"/>
      <c r="K898" s="509"/>
      <c r="L898" s="510"/>
      <c r="M898" s="510"/>
    </row>
    <row r="899">
      <c r="A899" s="507"/>
      <c r="B899" s="507" t="s">
        <v>2359</v>
      </c>
      <c r="C899" s="507" t="s">
        <v>2366</v>
      </c>
      <c r="D899" s="507" t="s">
        <v>2367</v>
      </c>
      <c r="E899" s="507" t="s">
        <v>2368</v>
      </c>
      <c r="F899" s="507"/>
      <c r="G899" s="508"/>
      <c r="H899" s="509"/>
      <c r="I899" s="509"/>
      <c r="J899" s="509"/>
      <c r="K899" s="509"/>
      <c r="L899" s="510"/>
      <c r="M899" s="510"/>
    </row>
    <row r="900">
      <c r="A900" s="507"/>
      <c r="B900" s="507" t="s">
        <v>2369</v>
      </c>
      <c r="C900" s="507" t="s">
        <v>2370</v>
      </c>
      <c r="D900" s="507" t="s">
        <v>2371</v>
      </c>
      <c r="E900" s="507" t="s">
        <v>2372</v>
      </c>
      <c r="F900" s="507"/>
      <c r="G900" s="508"/>
      <c r="H900" s="509"/>
      <c r="I900" s="509"/>
      <c r="J900" s="509"/>
      <c r="K900" s="509"/>
      <c r="L900" s="510"/>
      <c r="M900" s="510"/>
    </row>
    <row r="901">
      <c r="A901" s="507"/>
      <c r="B901" s="507" t="s">
        <v>2369</v>
      </c>
      <c r="C901" s="507" t="s">
        <v>2373</v>
      </c>
      <c r="D901" s="507" t="s">
        <v>2374</v>
      </c>
      <c r="E901" s="507" t="s">
        <v>2375</v>
      </c>
      <c r="F901" s="507"/>
      <c r="G901" s="508"/>
      <c r="H901" s="509"/>
      <c r="I901" s="509"/>
      <c r="J901" s="509"/>
      <c r="K901" s="509"/>
      <c r="L901" s="510"/>
      <c r="M901" s="510"/>
    </row>
    <row r="902">
      <c r="A902" s="507"/>
      <c r="B902" s="507" t="s">
        <v>2377</v>
      </c>
      <c r="C902" s="507" t="s">
        <v>2378</v>
      </c>
      <c r="D902" s="507" t="s">
        <v>2379</v>
      </c>
      <c r="E902" s="507" t="s">
        <v>2380</v>
      </c>
      <c r="F902" s="507"/>
      <c r="G902" s="508"/>
      <c r="H902" s="509"/>
      <c r="I902" s="509"/>
      <c r="J902" s="509"/>
      <c r="K902" s="509"/>
      <c r="L902" s="510"/>
      <c r="M902" s="510"/>
    </row>
    <row r="903">
      <c r="A903" s="507"/>
      <c r="B903" s="507" t="s">
        <v>2377</v>
      </c>
      <c r="C903" s="507" t="s">
        <v>2381</v>
      </c>
      <c r="D903" s="507" t="s">
        <v>2382</v>
      </c>
      <c r="E903" s="507" t="s">
        <v>2383</v>
      </c>
      <c r="F903" s="507"/>
      <c r="G903" s="508"/>
      <c r="H903" s="509"/>
      <c r="I903" s="509"/>
      <c r="J903" s="509"/>
      <c r="K903" s="509"/>
      <c r="L903" s="510"/>
      <c r="M903" s="510"/>
    </row>
    <row r="904">
      <c r="A904" s="507"/>
      <c r="B904" s="507" t="s">
        <v>2384</v>
      </c>
      <c r="C904" s="507" t="s">
        <v>2385</v>
      </c>
      <c r="D904" s="507" t="s">
        <v>2386</v>
      </c>
      <c r="E904" s="507" t="s">
        <v>2387</v>
      </c>
      <c r="F904" s="507"/>
      <c r="G904" s="508"/>
      <c r="H904" s="509"/>
      <c r="I904" s="509"/>
      <c r="J904" s="509"/>
      <c r="K904" s="509"/>
      <c r="L904" s="510"/>
      <c r="M904" s="510"/>
    </row>
    <row r="905">
      <c r="A905" s="507"/>
      <c r="B905" s="507" t="s">
        <v>2384</v>
      </c>
      <c r="C905" s="507" t="s">
        <v>2388</v>
      </c>
      <c r="D905" s="507" t="s">
        <v>2389</v>
      </c>
      <c r="E905" s="507" t="s">
        <v>2390</v>
      </c>
      <c r="F905" s="507"/>
      <c r="G905" s="508"/>
      <c r="H905" s="509"/>
      <c r="I905" s="509"/>
      <c r="J905" s="509"/>
      <c r="K905" s="509"/>
      <c r="L905" s="510"/>
      <c r="M905" s="510"/>
    </row>
    <row r="906">
      <c r="A906" s="507"/>
      <c r="B906" s="507" t="s">
        <v>2393</v>
      </c>
      <c r="C906" s="507" t="s">
        <v>2394</v>
      </c>
      <c r="D906" s="507" t="s">
        <v>2396</v>
      </c>
      <c r="E906" s="507" t="s">
        <v>2397</v>
      </c>
      <c r="F906" s="507"/>
      <c r="G906" s="508"/>
      <c r="H906" s="509"/>
      <c r="I906" s="509"/>
      <c r="J906" s="509"/>
      <c r="K906" s="509"/>
      <c r="L906" s="510"/>
      <c r="M906" s="510"/>
    </row>
    <row r="907">
      <c r="A907" s="507"/>
      <c r="B907" s="507" t="s">
        <v>2393</v>
      </c>
      <c r="C907" s="507" t="s">
        <v>2399</v>
      </c>
      <c r="D907" s="507" t="s">
        <v>2400</v>
      </c>
      <c r="E907" s="507" t="s">
        <v>2401</v>
      </c>
      <c r="F907" s="507"/>
      <c r="G907" s="508"/>
      <c r="H907" s="509"/>
      <c r="I907" s="509"/>
      <c r="J907" s="509"/>
      <c r="K907" s="509"/>
      <c r="L907" s="510"/>
      <c r="M907" s="510"/>
    </row>
    <row r="908">
      <c r="A908" s="507"/>
      <c r="B908" s="507" t="s">
        <v>2402</v>
      </c>
      <c r="C908" s="507" t="s">
        <v>2403</v>
      </c>
      <c r="D908" s="507" t="s">
        <v>2404</v>
      </c>
      <c r="E908" s="507" t="s">
        <v>2406</v>
      </c>
      <c r="F908" s="507"/>
      <c r="G908" s="508"/>
      <c r="H908" s="509"/>
      <c r="I908" s="509"/>
      <c r="J908" s="509"/>
      <c r="K908" s="509"/>
      <c r="L908" s="510"/>
      <c r="M908" s="510"/>
    </row>
    <row r="909">
      <c r="A909" s="507"/>
      <c r="B909" s="507" t="s">
        <v>2402</v>
      </c>
      <c r="C909" s="507" t="s">
        <v>2408</v>
      </c>
      <c r="D909" s="507" t="s">
        <v>2409</v>
      </c>
      <c r="E909" s="507" t="s">
        <v>2410</v>
      </c>
      <c r="F909" s="507"/>
      <c r="G909" s="508"/>
      <c r="H909" s="509"/>
      <c r="I909" s="509"/>
      <c r="J909" s="509"/>
      <c r="K909" s="509"/>
      <c r="L909" s="510"/>
      <c r="M909" s="510"/>
    </row>
    <row r="910">
      <c r="A910" s="507"/>
      <c r="B910" s="507" t="s">
        <v>759</v>
      </c>
      <c r="C910" s="507" t="s">
        <v>2413</v>
      </c>
      <c r="D910" s="507" t="s">
        <v>2415</v>
      </c>
      <c r="E910" s="507" t="s">
        <v>2416</v>
      </c>
      <c r="F910" s="507"/>
      <c r="G910" s="508"/>
      <c r="H910" s="509"/>
      <c r="I910" s="509"/>
      <c r="J910" s="509"/>
      <c r="K910" s="509"/>
      <c r="L910" s="510"/>
      <c r="M910" s="510"/>
    </row>
    <row r="911">
      <c r="A911" s="507"/>
      <c r="B911" s="507" t="s">
        <v>759</v>
      </c>
      <c r="C911" s="507" t="s">
        <v>2418</v>
      </c>
      <c r="D911" s="507" t="s">
        <v>2419</v>
      </c>
      <c r="E911" s="507" t="s">
        <v>2420</v>
      </c>
      <c r="F911" s="507"/>
      <c r="G911" s="508"/>
      <c r="H911" s="509"/>
      <c r="I911" s="509"/>
      <c r="J911" s="509"/>
      <c r="K911" s="509"/>
      <c r="L911" s="510"/>
      <c r="M911" s="510"/>
    </row>
    <row r="912">
      <c r="A912" s="507"/>
      <c r="B912" s="507" t="s">
        <v>2422</v>
      </c>
      <c r="C912" s="507" t="s">
        <v>2423</v>
      </c>
      <c r="D912" s="507" t="s">
        <v>2424</v>
      </c>
      <c r="E912" s="507" t="s">
        <v>2425</v>
      </c>
      <c r="F912" s="507"/>
      <c r="G912" s="508"/>
      <c r="H912" s="509"/>
      <c r="I912" s="509"/>
      <c r="J912" s="509"/>
      <c r="K912" s="509"/>
      <c r="L912" s="510"/>
      <c r="M912" s="510"/>
    </row>
    <row r="913">
      <c r="A913" s="507"/>
      <c r="B913" s="507" t="s">
        <v>2422</v>
      </c>
      <c r="C913" s="507" t="s">
        <v>2426</v>
      </c>
      <c r="D913" s="507" t="s">
        <v>2427</v>
      </c>
      <c r="E913" s="507" t="s">
        <v>2428</v>
      </c>
      <c r="F913" s="507"/>
      <c r="G913" s="508"/>
      <c r="H913" s="509"/>
      <c r="I913" s="509"/>
      <c r="J913" s="509"/>
      <c r="K913" s="509"/>
      <c r="L913" s="510"/>
      <c r="M913" s="510"/>
    </row>
    <row r="914">
      <c r="A914" s="507"/>
      <c r="B914" s="507" t="s">
        <v>2429</v>
      </c>
      <c r="C914" s="507" t="s">
        <v>2430</v>
      </c>
      <c r="D914" s="507" t="s">
        <v>2431</v>
      </c>
      <c r="E914" s="507" t="s">
        <v>2432</v>
      </c>
      <c r="F914" s="507"/>
      <c r="G914" s="508"/>
      <c r="H914" s="509"/>
      <c r="I914" s="509"/>
      <c r="J914" s="509"/>
      <c r="K914" s="509"/>
      <c r="L914" s="510"/>
      <c r="M914" s="510"/>
    </row>
    <row r="915">
      <c r="A915" s="507"/>
      <c r="B915" s="507" t="s">
        <v>2429</v>
      </c>
      <c r="C915" s="507" t="s">
        <v>2433</v>
      </c>
      <c r="D915" s="507" t="s">
        <v>2434</v>
      </c>
      <c r="E915" s="507" t="s">
        <v>2435</v>
      </c>
      <c r="F915" s="507"/>
      <c r="G915" s="508"/>
      <c r="H915" s="509"/>
      <c r="I915" s="509"/>
      <c r="J915" s="509"/>
      <c r="K915" s="509"/>
      <c r="L915" s="510"/>
      <c r="M915" s="510"/>
    </row>
    <row r="916">
      <c r="A916" s="507"/>
      <c r="B916" s="507" t="s">
        <v>2436</v>
      </c>
      <c r="C916" s="507" t="s">
        <v>2437</v>
      </c>
      <c r="D916" s="507" t="s">
        <v>2438</v>
      </c>
      <c r="E916" s="507" t="s">
        <v>2439</v>
      </c>
      <c r="F916" s="507"/>
      <c r="G916" s="508"/>
      <c r="H916" s="509"/>
      <c r="I916" s="509"/>
      <c r="J916" s="509"/>
      <c r="K916" s="509"/>
      <c r="L916" s="510"/>
      <c r="M916" s="510"/>
    </row>
    <row r="917">
      <c r="A917" s="507"/>
      <c r="B917" s="507" t="s">
        <v>2436</v>
      </c>
      <c r="C917" s="507" t="s">
        <v>2440</v>
      </c>
      <c r="D917" s="507" t="s">
        <v>2442</v>
      </c>
      <c r="E917" s="507" t="s">
        <v>2443</v>
      </c>
      <c r="F917" s="507"/>
      <c r="G917" s="508"/>
      <c r="H917" s="509"/>
      <c r="I917" s="509"/>
      <c r="J917" s="509"/>
      <c r="K917" s="509"/>
      <c r="L917" s="510"/>
      <c r="M917" s="510"/>
    </row>
    <row r="918">
      <c r="A918" s="507"/>
      <c r="B918" s="507" t="s">
        <v>2436</v>
      </c>
      <c r="C918" s="507" t="s">
        <v>2444</v>
      </c>
      <c r="D918" s="507" t="s">
        <v>2445</v>
      </c>
      <c r="E918" s="507" t="s">
        <v>2446</v>
      </c>
      <c r="F918" s="507"/>
      <c r="G918" s="508"/>
      <c r="H918" s="509"/>
      <c r="I918" s="509"/>
      <c r="J918" s="509"/>
      <c r="K918" s="509"/>
      <c r="L918" s="510"/>
      <c r="M918" s="510"/>
    </row>
    <row r="919">
      <c r="A919" s="507"/>
      <c r="B919" s="507" t="s">
        <v>2447</v>
      </c>
      <c r="C919" s="507" t="s">
        <v>2448</v>
      </c>
      <c r="D919" s="507" t="s">
        <v>2449</v>
      </c>
      <c r="E919" s="507" t="s">
        <v>2450</v>
      </c>
      <c r="F919" s="507"/>
      <c r="G919" s="508"/>
      <c r="H919" s="509"/>
      <c r="I919" s="509"/>
      <c r="J919" s="509"/>
      <c r="K919" s="509"/>
      <c r="L919" s="510"/>
      <c r="M919" s="510"/>
    </row>
    <row r="920">
      <c r="A920" s="507"/>
      <c r="B920" s="507" t="s">
        <v>2447</v>
      </c>
      <c r="C920" s="507" t="s">
        <v>2451</v>
      </c>
      <c r="D920" s="507" t="s">
        <v>2452</v>
      </c>
      <c r="E920" s="507" t="s">
        <v>2453</v>
      </c>
      <c r="F920" s="507"/>
      <c r="G920" s="508"/>
      <c r="H920" s="509"/>
      <c r="I920" s="509"/>
      <c r="J920" s="509"/>
      <c r="K920" s="509"/>
      <c r="L920" s="510"/>
      <c r="M920" s="510"/>
    </row>
    <row r="921">
      <c r="A921" s="507"/>
      <c r="B921" s="507" t="s">
        <v>2447</v>
      </c>
      <c r="C921" s="507" t="s">
        <v>2454</v>
      </c>
      <c r="D921" s="507" t="s">
        <v>2455</v>
      </c>
      <c r="E921" s="507" t="s">
        <v>2457</v>
      </c>
      <c r="F921" s="507"/>
      <c r="G921" s="508"/>
      <c r="H921" s="509"/>
      <c r="I921" s="509"/>
      <c r="J921" s="509"/>
      <c r="K921" s="509"/>
      <c r="L921" s="510"/>
      <c r="M921" s="510"/>
    </row>
    <row r="922">
      <c r="A922" s="507"/>
      <c r="B922" s="507" t="s">
        <v>2459</v>
      </c>
      <c r="C922" s="507" t="s">
        <v>2461</v>
      </c>
      <c r="D922" s="507" t="s">
        <v>2462</v>
      </c>
      <c r="E922" s="507" t="s">
        <v>2463</v>
      </c>
      <c r="F922" s="507"/>
      <c r="G922" s="508"/>
      <c r="H922" s="509"/>
      <c r="I922" s="509"/>
      <c r="J922" s="509"/>
      <c r="K922" s="509"/>
      <c r="L922" s="510"/>
      <c r="M922" s="510"/>
    </row>
    <row r="923">
      <c r="A923" s="507"/>
      <c r="B923" s="507" t="s">
        <v>2459</v>
      </c>
      <c r="C923" s="507" t="s">
        <v>2465</v>
      </c>
      <c r="D923" s="507" t="s">
        <v>2467</v>
      </c>
      <c r="E923" s="507" t="s">
        <v>2468</v>
      </c>
      <c r="F923" s="507"/>
      <c r="G923" s="508"/>
      <c r="H923" s="509"/>
      <c r="I923" s="509"/>
      <c r="J923" s="509"/>
      <c r="K923" s="509"/>
      <c r="L923" s="510"/>
      <c r="M923" s="510"/>
    </row>
    <row r="924">
      <c r="A924" s="507"/>
      <c r="B924" s="507" t="s">
        <v>2470</v>
      </c>
      <c r="C924" s="507" t="s">
        <v>2471</v>
      </c>
      <c r="D924" s="507" t="s">
        <v>2472</v>
      </c>
      <c r="E924" s="507" t="s">
        <v>2473</v>
      </c>
      <c r="F924" s="507"/>
      <c r="G924" s="508"/>
      <c r="H924" s="509"/>
      <c r="I924" s="509"/>
      <c r="J924" s="509"/>
      <c r="K924" s="509"/>
      <c r="L924" s="510"/>
      <c r="M924" s="510"/>
    </row>
    <row r="925">
      <c r="A925" s="507"/>
      <c r="B925" s="507" t="s">
        <v>2470</v>
      </c>
      <c r="C925" s="507" t="s">
        <v>2476</v>
      </c>
      <c r="D925" s="507" t="s">
        <v>2477</v>
      </c>
      <c r="E925" s="507" t="s">
        <v>2478</v>
      </c>
      <c r="F925" s="507"/>
      <c r="G925" s="508"/>
      <c r="H925" s="509"/>
      <c r="I925" s="509"/>
      <c r="J925" s="509"/>
      <c r="K925" s="509"/>
      <c r="L925" s="510"/>
      <c r="M925" s="510"/>
    </row>
    <row r="926">
      <c r="A926" s="507"/>
      <c r="B926" s="507" t="s">
        <v>2480</v>
      </c>
      <c r="C926" s="507" t="s">
        <v>2482</v>
      </c>
      <c r="D926" s="507" t="s">
        <v>2483</v>
      </c>
      <c r="E926" s="507" t="s">
        <v>2484</v>
      </c>
      <c r="F926" s="507"/>
      <c r="G926" s="508"/>
      <c r="H926" s="509"/>
      <c r="I926" s="509"/>
      <c r="J926" s="509"/>
      <c r="K926" s="509"/>
      <c r="L926" s="510"/>
      <c r="M926" s="510"/>
    </row>
    <row r="927">
      <c r="A927" s="507"/>
      <c r="B927" s="507" t="s">
        <v>2480</v>
      </c>
      <c r="C927" s="507" t="s">
        <v>2487</v>
      </c>
      <c r="D927" s="507" t="s">
        <v>2488</v>
      </c>
      <c r="E927" s="507" t="s">
        <v>2489</v>
      </c>
      <c r="F927" s="507"/>
      <c r="G927" s="508"/>
      <c r="H927" s="509"/>
      <c r="I927" s="509"/>
      <c r="J927" s="509"/>
      <c r="K927" s="509"/>
      <c r="L927" s="510"/>
      <c r="M927" s="510"/>
    </row>
    <row r="928">
      <c r="A928" s="507"/>
      <c r="B928" s="507" t="s">
        <v>2491</v>
      </c>
      <c r="C928" s="507" t="s">
        <v>2492</v>
      </c>
      <c r="D928" s="507" t="s">
        <v>2493</v>
      </c>
      <c r="E928" s="507" t="s">
        <v>2494</v>
      </c>
      <c r="F928" s="507"/>
      <c r="G928" s="508"/>
      <c r="H928" s="509"/>
      <c r="I928" s="509"/>
      <c r="J928" s="509"/>
      <c r="K928" s="509"/>
      <c r="L928" s="510"/>
      <c r="M928" s="510"/>
    </row>
    <row r="929">
      <c r="A929" s="507"/>
      <c r="B929" s="507" t="s">
        <v>2491</v>
      </c>
      <c r="C929" s="507" t="s">
        <v>2495</v>
      </c>
      <c r="D929" s="507" t="s">
        <v>2496</v>
      </c>
      <c r="E929" s="507" t="s">
        <v>2497</v>
      </c>
      <c r="F929" s="507"/>
      <c r="G929" s="508"/>
      <c r="H929" s="509"/>
      <c r="I929" s="509"/>
      <c r="J929" s="509"/>
      <c r="K929" s="509"/>
      <c r="L929" s="510"/>
      <c r="M929" s="510"/>
    </row>
    <row r="930">
      <c r="A930" s="507"/>
      <c r="B930" s="507" t="s">
        <v>2498</v>
      </c>
      <c r="C930" s="507" t="s">
        <v>2499</v>
      </c>
      <c r="D930" s="507" t="s">
        <v>2500</v>
      </c>
      <c r="E930" s="507" t="s">
        <v>2501</v>
      </c>
      <c r="F930" s="507"/>
      <c r="G930" s="508"/>
      <c r="H930" s="509"/>
      <c r="I930" s="509"/>
      <c r="J930" s="509"/>
      <c r="K930" s="509"/>
      <c r="L930" s="510"/>
      <c r="M930" s="510"/>
    </row>
    <row r="931">
      <c r="A931" s="507"/>
      <c r="B931" s="507" t="s">
        <v>2498</v>
      </c>
      <c r="C931" s="507" t="s">
        <v>2502</v>
      </c>
      <c r="D931" s="507" t="s">
        <v>2374</v>
      </c>
      <c r="E931" s="507" t="s">
        <v>2503</v>
      </c>
      <c r="F931" s="507"/>
      <c r="G931" s="508"/>
      <c r="H931" s="509"/>
      <c r="I931" s="509"/>
      <c r="J931" s="509"/>
      <c r="K931" s="509"/>
      <c r="L931" s="510"/>
      <c r="M931" s="510"/>
    </row>
    <row r="932">
      <c r="A932" s="507"/>
      <c r="B932" s="507" t="s">
        <v>2504</v>
      </c>
      <c r="C932" s="507" t="s">
        <v>2505</v>
      </c>
      <c r="D932" s="507" t="s">
        <v>2506</v>
      </c>
      <c r="E932" s="507" t="s">
        <v>2507</v>
      </c>
      <c r="F932" s="507"/>
      <c r="G932" s="508"/>
      <c r="H932" s="509"/>
      <c r="I932" s="509"/>
      <c r="J932" s="509"/>
      <c r="K932" s="509"/>
      <c r="L932" s="510"/>
      <c r="M932" s="510"/>
    </row>
    <row r="933">
      <c r="A933" s="507"/>
      <c r="B933" s="507" t="s">
        <v>2504</v>
      </c>
      <c r="C933" s="507" t="s">
        <v>2508</v>
      </c>
      <c r="D933" s="507" t="s">
        <v>2509</v>
      </c>
      <c r="E933" s="507" t="s">
        <v>2510</v>
      </c>
      <c r="F933" s="507"/>
      <c r="G933" s="508"/>
      <c r="H933" s="509"/>
      <c r="I933" s="509"/>
      <c r="J933" s="509"/>
      <c r="K933" s="509"/>
      <c r="L933" s="510"/>
      <c r="M933" s="510"/>
    </row>
    <row r="934">
      <c r="A934" s="507"/>
      <c r="B934" s="507" t="s">
        <v>2511</v>
      </c>
      <c r="C934" s="507" t="s">
        <v>2512</v>
      </c>
      <c r="D934" s="507" t="s">
        <v>2513</v>
      </c>
      <c r="E934" s="507" t="s">
        <v>2514</v>
      </c>
      <c r="F934" s="507"/>
      <c r="G934" s="508"/>
      <c r="H934" s="509"/>
      <c r="I934" s="509"/>
      <c r="J934" s="509"/>
      <c r="K934" s="509"/>
      <c r="L934" s="510"/>
      <c r="M934" s="510"/>
    </row>
    <row r="935">
      <c r="A935" s="507"/>
      <c r="B935" s="507" t="s">
        <v>2511</v>
      </c>
      <c r="C935" s="507" t="s">
        <v>2516</v>
      </c>
      <c r="D935" s="507" t="s">
        <v>2517</v>
      </c>
      <c r="E935" s="507" t="s">
        <v>2518</v>
      </c>
      <c r="F935" s="507"/>
      <c r="G935" s="508"/>
      <c r="H935" s="509"/>
      <c r="I935" s="509"/>
      <c r="J935" s="509"/>
      <c r="K935" s="509"/>
      <c r="L935" s="510"/>
      <c r="M935" s="510"/>
    </row>
    <row r="936">
      <c r="A936" s="507"/>
      <c r="B936" s="507" t="s">
        <v>2520</v>
      </c>
      <c r="C936" s="507" t="s">
        <v>2521</v>
      </c>
      <c r="D936" s="507" t="s">
        <v>2522</v>
      </c>
      <c r="E936" s="507" t="s">
        <v>2523</v>
      </c>
      <c r="F936" s="507"/>
      <c r="G936" s="508"/>
      <c r="H936" s="509"/>
      <c r="I936" s="509"/>
      <c r="J936" s="509"/>
      <c r="K936" s="509"/>
      <c r="L936" s="510"/>
      <c r="M936" s="510"/>
    </row>
    <row r="937">
      <c r="A937" s="507"/>
      <c r="B937" s="507" t="s">
        <v>2524</v>
      </c>
      <c r="C937" s="507" t="s">
        <v>2525</v>
      </c>
      <c r="D937" s="507" t="s">
        <v>2526</v>
      </c>
      <c r="E937" s="507" t="s">
        <v>2527</v>
      </c>
      <c r="F937" s="507"/>
      <c r="G937" s="508"/>
      <c r="H937" s="509"/>
      <c r="I937" s="509"/>
      <c r="J937" s="509"/>
      <c r="K937" s="509"/>
      <c r="L937" s="510"/>
      <c r="M937" s="510"/>
    </row>
    <row r="938">
      <c r="A938" s="507"/>
      <c r="B938" s="507" t="s">
        <v>2524</v>
      </c>
      <c r="C938" s="507" t="s">
        <v>2528</v>
      </c>
      <c r="D938" s="507" t="s">
        <v>2529</v>
      </c>
      <c r="E938" s="507" t="s">
        <v>2530</v>
      </c>
      <c r="F938" s="507"/>
      <c r="G938" s="508"/>
      <c r="H938" s="509"/>
      <c r="I938" s="509"/>
      <c r="J938" s="509"/>
      <c r="K938" s="509"/>
      <c r="L938" s="510"/>
      <c r="M938" s="510"/>
    </row>
    <row r="939">
      <c r="A939" s="507"/>
      <c r="B939" s="507" t="s">
        <v>2533</v>
      </c>
      <c r="C939" s="507" t="s">
        <v>2534</v>
      </c>
      <c r="D939" s="507" t="s">
        <v>2535</v>
      </c>
      <c r="E939" s="507" t="s">
        <v>2536</v>
      </c>
      <c r="F939" s="507"/>
      <c r="G939" s="508"/>
      <c r="H939" s="509"/>
      <c r="I939" s="509"/>
      <c r="J939" s="509"/>
      <c r="K939" s="509"/>
      <c r="L939" s="510"/>
      <c r="M939" s="510"/>
    </row>
    <row r="940">
      <c r="A940" s="507"/>
      <c r="B940" s="507" t="s">
        <v>2533</v>
      </c>
      <c r="C940" s="507" t="s">
        <v>2539</v>
      </c>
      <c r="D940" s="507" t="s">
        <v>2540</v>
      </c>
      <c r="E940" s="507" t="s">
        <v>2542</v>
      </c>
      <c r="F940" s="507"/>
      <c r="G940" s="508"/>
      <c r="H940" s="509"/>
      <c r="I940" s="509"/>
      <c r="J940" s="509"/>
      <c r="K940" s="509"/>
      <c r="L940" s="510"/>
      <c r="M940" s="510"/>
    </row>
    <row r="941">
      <c r="A941" s="507"/>
      <c r="B941" s="507" t="s">
        <v>2544</v>
      </c>
      <c r="C941" s="507" t="s">
        <v>2545</v>
      </c>
      <c r="D941" s="507" t="s">
        <v>2546</v>
      </c>
      <c r="E941" s="507" t="s">
        <v>2547</v>
      </c>
      <c r="F941" s="507"/>
      <c r="G941" s="508"/>
      <c r="H941" s="509"/>
      <c r="I941" s="509"/>
      <c r="J941" s="509"/>
      <c r="K941" s="509"/>
      <c r="L941" s="510"/>
      <c r="M941" s="510"/>
    </row>
    <row r="942">
      <c r="A942" s="507"/>
      <c r="B942" s="507" t="s">
        <v>2544</v>
      </c>
      <c r="C942" s="507" t="s">
        <v>2549</v>
      </c>
      <c r="D942" s="507" t="s">
        <v>2551</v>
      </c>
      <c r="E942" s="507" t="s">
        <v>2552</v>
      </c>
      <c r="F942" s="507"/>
      <c r="G942" s="508"/>
      <c r="H942" s="509"/>
      <c r="I942" s="509"/>
      <c r="J942" s="509"/>
      <c r="K942" s="509"/>
      <c r="L942" s="510"/>
      <c r="M942" s="510"/>
    </row>
    <row r="943">
      <c r="A943" s="507"/>
      <c r="B943" s="507" t="s">
        <v>968</v>
      </c>
      <c r="C943" s="507" t="s">
        <v>2554</v>
      </c>
      <c r="D943" s="507" t="s">
        <v>2555</v>
      </c>
      <c r="E943" s="507" t="s">
        <v>2557</v>
      </c>
      <c r="F943" s="507"/>
      <c r="G943" s="508"/>
      <c r="H943" s="509"/>
      <c r="I943" s="509"/>
      <c r="J943" s="509"/>
      <c r="K943" s="509"/>
      <c r="L943" s="510"/>
      <c r="M943" s="510"/>
    </row>
    <row r="944">
      <c r="A944" s="507"/>
      <c r="B944" s="507" t="s">
        <v>968</v>
      </c>
      <c r="C944" s="507" t="s">
        <v>2559</v>
      </c>
      <c r="D944" s="507" t="s">
        <v>2560</v>
      </c>
      <c r="E944" s="507" t="s">
        <v>2562</v>
      </c>
      <c r="F944" s="507"/>
      <c r="G944" s="508"/>
      <c r="H944" s="509"/>
      <c r="I944" s="509"/>
      <c r="J944" s="509"/>
      <c r="K944" s="509"/>
      <c r="L944" s="510"/>
      <c r="M944" s="510"/>
    </row>
    <row r="945">
      <c r="A945" s="507"/>
      <c r="B945" s="507" t="s">
        <v>968</v>
      </c>
      <c r="C945" s="507" t="s">
        <v>2564</v>
      </c>
      <c r="D945" s="507" t="s">
        <v>2565</v>
      </c>
      <c r="E945" s="507" t="s">
        <v>2566</v>
      </c>
      <c r="F945" s="507"/>
      <c r="G945" s="508"/>
      <c r="H945" s="509"/>
      <c r="I945" s="509"/>
      <c r="J945" s="509"/>
      <c r="K945" s="509"/>
      <c r="L945" s="510"/>
      <c r="M945" s="510"/>
    </row>
    <row r="946">
      <c r="A946" s="507"/>
      <c r="B946" s="507" t="s">
        <v>968</v>
      </c>
      <c r="C946" s="507" t="s">
        <v>2567</v>
      </c>
      <c r="D946" s="507" t="s">
        <v>2568</v>
      </c>
      <c r="E946" s="507" t="s">
        <v>2569</v>
      </c>
      <c r="F946" s="507"/>
      <c r="G946" s="508"/>
      <c r="H946" s="509"/>
      <c r="I946" s="509"/>
      <c r="J946" s="509"/>
      <c r="K946" s="509"/>
      <c r="L946" s="510"/>
      <c r="M946" s="510"/>
    </row>
    <row r="947">
      <c r="A947" s="507"/>
      <c r="B947" s="507" t="s">
        <v>968</v>
      </c>
      <c r="C947" s="507" t="s">
        <v>2039</v>
      </c>
      <c r="D947" s="507" t="s">
        <v>2040</v>
      </c>
      <c r="E947" s="507" t="s">
        <v>2042</v>
      </c>
      <c r="F947" s="507"/>
      <c r="G947" s="508"/>
      <c r="H947" s="509"/>
      <c r="I947" s="509"/>
      <c r="J947" s="509"/>
      <c r="K947" s="509"/>
      <c r="L947" s="510"/>
      <c r="M947" s="510"/>
    </row>
    <row r="948">
      <c r="A948" s="507"/>
      <c r="B948" s="507" t="s">
        <v>2570</v>
      </c>
      <c r="C948" s="507" t="s">
        <v>2571</v>
      </c>
      <c r="D948" s="507" t="s">
        <v>2572</v>
      </c>
      <c r="E948" s="507" t="s">
        <v>2573</v>
      </c>
      <c r="F948" s="507"/>
      <c r="G948" s="508"/>
      <c r="H948" s="509"/>
      <c r="I948" s="509"/>
      <c r="J948" s="509"/>
      <c r="K948" s="509"/>
      <c r="L948" s="510"/>
      <c r="M948" s="510"/>
    </row>
    <row r="949">
      <c r="A949" s="507"/>
      <c r="B949" s="507" t="s">
        <v>2570</v>
      </c>
      <c r="C949" s="507" t="s">
        <v>2574</v>
      </c>
      <c r="D949" s="507" t="s">
        <v>2575</v>
      </c>
      <c r="E949" s="507" t="s">
        <v>2576</v>
      </c>
      <c r="F949" s="507"/>
      <c r="G949" s="508"/>
      <c r="H949" s="509"/>
      <c r="I949" s="509"/>
      <c r="J949" s="509"/>
      <c r="K949" s="509"/>
      <c r="L949" s="510"/>
      <c r="M949" s="510"/>
    </row>
    <row r="950">
      <c r="A950" s="507"/>
      <c r="B950" s="507" t="s">
        <v>2570</v>
      </c>
      <c r="C950" s="507" t="s">
        <v>2577</v>
      </c>
      <c r="D950" s="507" t="s">
        <v>2242</v>
      </c>
      <c r="E950" s="507" t="s">
        <v>2578</v>
      </c>
      <c r="F950" s="507"/>
      <c r="G950" s="508"/>
      <c r="H950" s="509"/>
      <c r="I950" s="509"/>
      <c r="J950" s="509"/>
      <c r="K950" s="509"/>
      <c r="L950" s="510"/>
      <c r="M950" s="510"/>
    </row>
    <row r="951">
      <c r="A951" s="507"/>
      <c r="B951" s="507" t="s">
        <v>2579</v>
      </c>
      <c r="C951" s="507" t="s">
        <v>2580</v>
      </c>
      <c r="D951" s="507" t="s">
        <v>2581</v>
      </c>
      <c r="E951" s="507" t="s">
        <v>2582</v>
      </c>
      <c r="F951" s="507"/>
      <c r="G951" s="508"/>
      <c r="H951" s="509"/>
      <c r="I951" s="509"/>
      <c r="J951" s="509"/>
      <c r="K951" s="509"/>
      <c r="L951" s="510"/>
      <c r="M951" s="510"/>
    </row>
    <row r="952">
      <c r="A952" s="507"/>
      <c r="B952" s="507" t="s">
        <v>2579</v>
      </c>
      <c r="C952" s="507" t="s">
        <v>2583</v>
      </c>
      <c r="D952" s="507" t="s">
        <v>2585</v>
      </c>
      <c r="E952" s="507" t="s">
        <v>2586</v>
      </c>
      <c r="F952" s="507"/>
      <c r="G952" s="508"/>
      <c r="H952" s="509"/>
      <c r="I952" s="509"/>
      <c r="J952" s="509"/>
      <c r="K952" s="509"/>
      <c r="L952" s="510"/>
      <c r="M952" s="510"/>
    </row>
    <row r="953">
      <c r="A953" s="507"/>
      <c r="B953" s="507" t="s">
        <v>2587</v>
      </c>
      <c r="C953" s="507" t="s">
        <v>2588</v>
      </c>
      <c r="D953" s="507" t="s">
        <v>2589</v>
      </c>
      <c r="E953" s="507" t="s">
        <v>2590</v>
      </c>
      <c r="F953" s="507"/>
      <c r="G953" s="508"/>
      <c r="H953" s="509"/>
      <c r="I953" s="509"/>
      <c r="J953" s="509"/>
      <c r="K953" s="509"/>
      <c r="L953" s="510"/>
      <c r="M953" s="510"/>
    </row>
    <row r="954">
      <c r="A954" s="507"/>
      <c r="B954" s="507" t="s">
        <v>2587</v>
      </c>
      <c r="C954" s="507" t="s">
        <v>2592</v>
      </c>
      <c r="D954" s="507" t="s">
        <v>2593</v>
      </c>
      <c r="E954" s="507" t="s">
        <v>2594</v>
      </c>
      <c r="F954" s="507"/>
      <c r="G954" s="508"/>
      <c r="H954" s="509"/>
      <c r="I954" s="509"/>
      <c r="J954" s="509"/>
      <c r="K954" s="509"/>
      <c r="L954" s="510"/>
      <c r="M954" s="510"/>
    </row>
    <row r="955">
      <c r="A955" s="507"/>
      <c r="B955" s="507" t="s">
        <v>1039</v>
      </c>
      <c r="C955" s="507" t="s">
        <v>2596</v>
      </c>
      <c r="D955" s="507" t="s">
        <v>2598</v>
      </c>
      <c r="E955" s="507" t="s">
        <v>2599</v>
      </c>
      <c r="F955" s="507"/>
      <c r="G955" s="508"/>
      <c r="H955" s="509"/>
      <c r="I955" s="509"/>
      <c r="J955" s="509"/>
      <c r="K955" s="509"/>
      <c r="L955" s="510"/>
      <c r="M955" s="510"/>
    </row>
    <row r="956">
      <c r="A956" s="507"/>
      <c r="B956" s="507" t="s">
        <v>1039</v>
      </c>
      <c r="C956" s="507" t="s">
        <v>2601</v>
      </c>
      <c r="D956" s="507" t="s">
        <v>2602</v>
      </c>
      <c r="E956" s="507" t="s">
        <v>2603</v>
      </c>
      <c r="F956" s="507"/>
      <c r="G956" s="508"/>
      <c r="H956" s="509"/>
      <c r="I956" s="509"/>
      <c r="J956" s="509"/>
      <c r="K956" s="509"/>
      <c r="L956" s="510"/>
      <c r="M956" s="510"/>
    </row>
    <row r="957">
      <c r="A957" s="507"/>
      <c r="B957" s="507" t="s">
        <v>1039</v>
      </c>
      <c r="C957" s="507" t="s">
        <v>2604</v>
      </c>
      <c r="D957" s="507" t="s">
        <v>2607</v>
      </c>
      <c r="E957" s="507" t="s">
        <v>2608</v>
      </c>
      <c r="F957" s="507"/>
      <c r="G957" s="508"/>
      <c r="H957" s="509"/>
      <c r="I957" s="509"/>
      <c r="J957" s="509"/>
      <c r="K957" s="509"/>
      <c r="L957" s="510"/>
      <c r="M957" s="510"/>
    </row>
    <row r="958">
      <c r="A958" s="507"/>
      <c r="B958" s="507" t="s">
        <v>2611</v>
      </c>
      <c r="C958" s="507" t="s">
        <v>2612</v>
      </c>
      <c r="D958" s="507" t="s">
        <v>2613</v>
      </c>
      <c r="E958" s="507" t="s">
        <v>2614</v>
      </c>
      <c r="F958" s="507"/>
      <c r="G958" s="508"/>
      <c r="H958" s="509"/>
      <c r="I958" s="509"/>
      <c r="J958" s="509"/>
      <c r="K958" s="509"/>
      <c r="L958" s="510"/>
      <c r="M958" s="510"/>
    </row>
    <row r="959">
      <c r="A959" s="507"/>
      <c r="B959" s="507" t="s">
        <v>2611</v>
      </c>
      <c r="C959" s="507" t="s">
        <v>2616</v>
      </c>
      <c r="D959" s="507" t="s">
        <v>2617</v>
      </c>
      <c r="E959" s="507" t="s">
        <v>2619</v>
      </c>
      <c r="F959" s="507"/>
      <c r="G959" s="508"/>
      <c r="H959" s="509"/>
      <c r="I959" s="509"/>
      <c r="J959" s="509"/>
      <c r="K959" s="509"/>
      <c r="L959" s="510"/>
      <c r="M959" s="510"/>
    </row>
    <row r="960">
      <c r="A960" s="507"/>
      <c r="B960" s="507" t="s">
        <v>2620</v>
      </c>
      <c r="C960" s="507" t="s">
        <v>2621</v>
      </c>
      <c r="D960" s="507" t="s">
        <v>2622</v>
      </c>
      <c r="E960" s="507" t="s">
        <v>2624</v>
      </c>
      <c r="F960" s="507"/>
      <c r="G960" s="508"/>
      <c r="H960" s="509"/>
      <c r="I960" s="509"/>
      <c r="J960" s="509"/>
      <c r="K960" s="509"/>
      <c r="L960" s="510"/>
      <c r="M960" s="510"/>
    </row>
    <row r="961">
      <c r="A961" s="507"/>
      <c r="B961" s="507" t="s">
        <v>2620</v>
      </c>
      <c r="C961" s="507" t="s">
        <v>2625</v>
      </c>
      <c r="D961" s="507" t="s">
        <v>2626</v>
      </c>
      <c r="E961" s="507" t="s">
        <v>2628</v>
      </c>
      <c r="F961" s="507"/>
      <c r="G961" s="508"/>
      <c r="H961" s="509"/>
      <c r="I961" s="509"/>
      <c r="J961" s="509"/>
      <c r="K961" s="509"/>
      <c r="L961" s="510"/>
      <c r="M961" s="510"/>
    </row>
    <row r="962">
      <c r="A962" s="507"/>
      <c r="B962" s="507" t="s">
        <v>2630</v>
      </c>
      <c r="C962" s="507" t="s">
        <v>2631</v>
      </c>
      <c r="D962" s="507" t="s">
        <v>2632</v>
      </c>
      <c r="E962" s="507" t="s">
        <v>2634</v>
      </c>
      <c r="F962" s="507"/>
      <c r="G962" s="508"/>
      <c r="H962" s="509"/>
      <c r="I962" s="509"/>
      <c r="J962" s="509"/>
      <c r="K962" s="509"/>
      <c r="L962" s="510"/>
      <c r="M962" s="510"/>
    </row>
    <row r="963">
      <c r="A963" s="507"/>
      <c r="B963" s="507" t="s">
        <v>2630</v>
      </c>
      <c r="C963" s="507" t="s">
        <v>2636</v>
      </c>
      <c r="D963" s="507" t="s">
        <v>2637</v>
      </c>
      <c r="E963" s="507" t="s">
        <v>2638</v>
      </c>
      <c r="F963" s="507"/>
      <c r="G963" s="508"/>
      <c r="H963" s="509"/>
      <c r="I963" s="509"/>
      <c r="J963" s="509"/>
      <c r="K963" s="509"/>
      <c r="L963" s="510"/>
      <c r="M963" s="510"/>
    </row>
    <row r="964">
      <c r="A964" s="507"/>
      <c r="B964" s="507" t="s">
        <v>2640</v>
      </c>
      <c r="C964" s="507" t="s">
        <v>2641</v>
      </c>
      <c r="D964" s="507" t="s">
        <v>2642</v>
      </c>
      <c r="E964" s="507" t="s">
        <v>2643</v>
      </c>
      <c r="F964" s="507"/>
      <c r="G964" s="508"/>
      <c r="H964" s="509"/>
      <c r="I964" s="509"/>
      <c r="J964" s="509"/>
      <c r="K964" s="509"/>
      <c r="L964" s="510"/>
      <c r="M964" s="510"/>
    </row>
    <row r="965">
      <c r="A965" s="507"/>
      <c r="B965" s="507" t="s">
        <v>2640</v>
      </c>
      <c r="C965" s="507" t="s">
        <v>2644</v>
      </c>
      <c r="D965" s="507" t="s">
        <v>2645</v>
      </c>
      <c r="E965" s="507" t="s">
        <v>2646</v>
      </c>
      <c r="F965" s="507"/>
      <c r="G965" s="508"/>
      <c r="H965" s="509"/>
      <c r="I965" s="509"/>
      <c r="J965" s="509"/>
      <c r="K965" s="509"/>
      <c r="L965" s="510"/>
      <c r="M965" s="510"/>
    </row>
    <row r="966">
      <c r="A966" s="507"/>
      <c r="B966" s="507" t="s">
        <v>2647</v>
      </c>
      <c r="C966" s="507" t="s">
        <v>2648</v>
      </c>
      <c r="D966" s="507" t="s">
        <v>2649</v>
      </c>
      <c r="E966" s="507" t="s">
        <v>2650</v>
      </c>
      <c r="F966" s="507"/>
      <c r="G966" s="508"/>
      <c r="H966" s="509"/>
      <c r="I966" s="509"/>
      <c r="J966" s="509"/>
      <c r="K966" s="509"/>
      <c r="L966" s="510"/>
      <c r="M966" s="510"/>
    </row>
    <row r="967">
      <c r="A967" s="507"/>
      <c r="B967" s="507" t="s">
        <v>2647</v>
      </c>
      <c r="C967" s="507" t="s">
        <v>2651</v>
      </c>
      <c r="D967" s="507" t="s">
        <v>2652</v>
      </c>
      <c r="E967" s="507" t="s">
        <v>2653</v>
      </c>
      <c r="F967" s="507"/>
      <c r="G967" s="508"/>
      <c r="H967" s="509"/>
      <c r="I967" s="509"/>
      <c r="J967" s="509"/>
      <c r="K967" s="509"/>
      <c r="L967" s="510"/>
      <c r="M967" s="510"/>
    </row>
    <row r="968">
      <c r="A968" s="507"/>
      <c r="B968" s="507" t="s">
        <v>2654</v>
      </c>
      <c r="C968" s="507" t="s">
        <v>2655</v>
      </c>
      <c r="D968" s="507" t="s">
        <v>2656</v>
      </c>
      <c r="E968" s="507" t="s">
        <v>2657</v>
      </c>
      <c r="F968" s="507"/>
      <c r="G968" s="508"/>
      <c r="H968" s="509"/>
      <c r="I968" s="509"/>
      <c r="J968" s="509"/>
      <c r="K968" s="509"/>
      <c r="L968" s="510"/>
      <c r="M968" s="510"/>
    </row>
    <row r="969">
      <c r="A969" s="507"/>
      <c r="B969" s="507" t="s">
        <v>2654</v>
      </c>
      <c r="C969" s="507" t="s">
        <v>2658</v>
      </c>
      <c r="D969" s="507" t="s">
        <v>2659</v>
      </c>
      <c r="E969" s="507" t="s">
        <v>2660</v>
      </c>
      <c r="F969" s="507"/>
      <c r="G969" s="508"/>
      <c r="H969" s="509"/>
      <c r="I969" s="509"/>
      <c r="J969" s="509"/>
      <c r="K969" s="509"/>
      <c r="L969" s="510"/>
      <c r="M969" s="510"/>
    </row>
    <row r="970">
      <c r="A970" s="507"/>
      <c r="B970" s="507" t="s">
        <v>2661</v>
      </c>
      <c r="C970" s="507" t="s">
        <v>2662</v>
      </c>
      <c r="D970" s="507" t="s">
        <v>2663</v>
      </c>
      <c r="E970" s="507" t="s">
        <v>2664</v>
      </c>
      <c r="F970" s="507"/>
      <c r="G970" s="508"/>
      <c r="H970" s="509"/>
      <c r="I970" s="509"/>
      <c r="J970" s="509"/>
      <c r="K970" s="509"/>
      <c r="L970" s="510"/>
      <c r="M970" s="510"/>
    </row>
    <row r="971">
      <c r="A971" s="507"/>
      <c r="B971" s="507" t="s">
        <v>2661</v>
      </c>
      <c r="C971" s="507" t="s">
        <v>2666</v>
      </c>
      <c r="D971" s="507" t="s">
        <v>2667</v>
      </c>
      <c r="E971" s="507" t="s">
        <v>2668</v>
      </c>
      <c r="F971" s="507"/>
      <c r="G971" s="508"/>
      <c r="H971" s="509"/>
      <c r="I971" s="509"/>
      <c r="J971" s="509"/>
      <c r="K971" s="509"/>
      <c r="L971" s="510"/>
      <c r="M971" s="510"/>
    </row>
    <row r="972">
      <c r="A972" s="507"/>
      <c r="B972" s="507" t="s">
        <v>2671</v>
      </c>
      <c r="C972" s="507" t="s">
        <v>2672</v>
      </c>
      <c r="D972" s="507" t="s">
        <v>2673</v>
      </c>
      <c r="E972" s="507" t="s">
        <v>2674</v>
      </c>
      <c r="F972" s="507"/>
      <c r="G972" s="508"/>
      <c r="H972" s="509"/>
      <c r="I972" s="509"/>
      <c r="J972" s="509"/>
      <c r="K972" s="509"/>
      <c r="L972" s="510"/>
      <c r="M972" s="510"/>
    </row>
    <row r="973">
      <c r="A973" s="507"/>
      <c r="B973" s="507" t="s">
        <v>2671</v>
      </c>
      <c r="C973" s="507" t="s">
        <v>2675</v>
      </c>
      <c r="D973" s="507" t="s">
        <v>2676</v>
      </c>
      <c r="E973" s="507" t="s">
        <v>2677</v>
      </c>
      <c r="F973" s="507"/>
      <c r="G973" s="508"/>
      <c r="H973" s="509"/>
      <c r="I973" s="509"/>
      <c r="J973" s="509"/>
      <c r="K973" s="509"/>
      <c r="L973" s="510"/>
      <c r="M973" s="510"/>
    </row>
    <row r="974">
      <c r="A974" s="507"/>
      <c r="B974" s="507" t="s">
        <v>2678</v>
      </c>
      <c r="C974" s="507" t="s">
        <v>2679</v>
      </c>
      <c r="D974" s="507" t="s">
        <v>2680</v>
      </c>
      <c r="E974" s="507" t="s">
        <v>2682</v>
      </c>
      <c r="F974" s="507"/>
      <c r="G974" s="508"/>
      <c r="H974" s="509"/>
      <c r="I974" s="509"/>
      <c r="J974" s="509"/>
      <c r="K974" s="509"/>
      <c r="L974" s="510"/>
      <c r="M974" s="510"/>
    </row>
    <row r="975">
      <c r="A975" s="507"/>
      <c r="B975" s="507" t="s">
        <v>2678</v>
      </c>
      <c r="C975" s="507" t="s">
        <v>2685</v>
      </c>
      <c r="D975" s="507" t="s">
        <v>2686</v>
      </c>
      <c r="E975" s="507" t="s">
        <v>2688</v>
      </c>
      <c r="F975" s="507"/>
      <c r="G975" s="508"/>
      <c r="H975" s="509"/>
      <c r="I975" s="509"/>
      <c r="J975" s="509"/>
      <c r="K975" s="509"/>
      <c r="L975" s="510"/>
      <c r="M975" s="510"/>
    </row>
    <row r="976">
      <c r="A976" s="507"/>
      <c r="B976" s="507" t="s">
        <v>2690</v>
      </c>
      <c r="C976" s="507" t="s">
        <v>2691</v>
      </c>
      <c r="D976" s="507" t="s">
        <v>2692</v>
      </c>
      <c r="E976" s="507" t="s">
        <v>2693</v>
      </c>
      <c r="F976" s="507"/>
      <c r="G976" s="508"/>
      <c r="H976" s="509"/>
      <c r="I976" s="509"/>
      <c r="J976" s="509"/>
      <c r="K976" s="509"/>
      <c r="L976" s="510"/>
      <c r="M976" s="510"/>
    </row>
    <row r="977">
      <c r="A977" s="507"/>
      <c r="B977" s="507" t="s">
        <v>1193</v>
      </c>
      <c r="C977" s="507" t="s">
        <v>2694</v>
      </c>
      <c r="D977" s="507" t="s">
        <v>2695</v>
      </c>
      <c r="E977" s="507" t="s">
        <v>2696</v>
      </c>
      <c r="F977" s="507"/>
      <c r="G977" s="508"/>
      <c r="H977" s="509"/>
      <c r="I977" s="509"/>
      <c r="J977" s="509"/>
      <c r="K977" s="509"/>
      <c r="L977" s="510"/>
      <c r="M977" s="510"/>
    </row>
    <row r="978">
      <c r="A978" s="507"/>
      <c r="B978" s="507" t="s">
        <v>1193</v>
      </c>
      <c r="C978" s="507" t="s">
        <v>2698</v>
      </c>
      <c r="D978" s="507" t="s">
        <v>2699</v>
      </c>
      <c r="E978" s="507" t="s">
        <v>2700</v>
      </c>
      <c r="F978" s="507"/>
      <c r="G978" s="508"/>
      <c r="H978" s="509"/>
      <c r="I978" s="509"/>
      <c r="J978" s="509"/>
      <c r="K978" s="509"/>
      <c r="L978" s="510"/>
      <c r="M978" s="510"/>
    </row>
    <row r="979">
      <c r="A979" s="507"/>
      <c r="B979" s="507" t="s">
        <v>1193</v>
      </c>
      <c r="C979" s="507" t="s">
        <v>2701</v>
      </c>
      <c r="D979" s="507" t="s">
        <v>2703</v>
      </c>
      <c r="E979" s="507" t="s">
        <v>2704</v>
      </c>
      <c r="F979" s="507"/>
      <c r="G979" s="508"/>
      <c r="H979" s="509"/>
      <c r="I979" s="509"/>
      <c r="J979" s="509"/>
      <c r="K979" s="509"/>
      <c r="L979" s="510"/>
      <c r="M979" s="510"/>
    </row>
    <row r="980">
      <c r="A980" s="507"/>
      <c r="B980" s="507" t="s">
        <v>2707</v>
      </c>
      <c r="C980" s="507" t="s">
        <v>2708</v>
      </c>
      <c r="D980" s="507" t="s">
        <v>2709</v>
      </c>
      <c r="E980" s="507" t="s">
        <v>2710</v>
      </c>
      <c r="F980" s="507"/>
      <c r="G980" s="508"/>
      <c r="H980" s="509"/>
      <c r="I980" s="509"/>
      <c r="J980" s="509"/>
      <c r="K980" s="509"/>
      <c r="L980" s="510"/>
      <c r="M980" s="510"/>
    </row>
    <row r="981">
      <c r="A981" s="507"/>
      <c r="B981" s="507" t="s">
        <v>2711</v>
      </c>
      <c r="C981" s="507" t="s">
        <v>2713</v>
      </c>
      <c r="D981" s="507" t="s">
        <v>2714</v>
      </c>
      <c r="E981" s="507" t="s">
        <v>2715</v>
      </c>
      <c r="F981" s="507"/>
      <c r="G981" s="508"/>
      <c r="H981" s="509"/>
      <c r="I981" s="509"/>
      <c r="J981" s="509"/>
      <c r="K981" s="509"/>
      <c r="L981" s="510"/>
      <c r="M981" s="510"/>
    </row>
    <row r="982">
      <c r="A982" s="507"/>
      <c r="B982" s="507" t="s">
        <v>2711</v>
      </c>
      <c r="C982" s="507" t="s">
        <v>2716</v>
      </c>
      <c r="D982" s="507" t="s">
        <v>2717</v>
      </c>
      <c r="E982" s="507" t="s">
        <v>2718</v>
      </c>
      <c r="F982" s="507"/>
      <c r="G982" s="508"/>
      <c r="H982" s="509"/>
      <c r="I982" s="509"/>
      <c r="J982" s="509"/>
      <c r="K982" s="509"/>
      <c r="L982" s="510"/>
      <c r="M982" s="510"/>
    </row>
    <row r="983">
      <c r="A983" s="507"/>
      <c r="B983" s="507" t="s">
        <v>2719</v>
      </c>
      <c r="C983" s="507" t="s">
        <v>2720</v>
      </c>
      <c r="D983" s="507" t="s">
        <v>2721</v>
      </c>
      <c r="E983" s="507" t="s">
        <v>2722</v>
      </c>
      <c r="F983" s="507"/>
      <c r="G983" s="508"/>
      <c r="H983" s="509"/>
      <c r="I983" s="509"/>
      <c r="J983" s="509"/>
      <c r="K983" s="509"/>
      <c r="L983" s="510"/>
      <c r="M983" s="510"/>
    </row>
    <row r="984">
      <c r="A984" s="507"/>
      <c r="B984" s="507" t="s">
        <v>2723</v>
      </c>
      <c r="C984" s="507" t="s">
        <v>2724</v>
      </c>
      <c r="D984" s="507" t="s">
        <v>2725</v>
      </c>
      <c r="E984" s="507" t="s">
        <v>2726</v>
      </c>
      <c r="F984" s="507"/>
      <c r="G984" s="508"/>
      <c r="H984" s="509"/>
      <c r="I984" s="509"/>
      <c r="J984" s="509"/>
      <c r="K984" s="509"/>
      <c r="L984" s="510"/>
      <c r="M984" s="510"/>
    </row>
    <row r="985">
      <c r="A985" s="507"/>
      <c r="B985" s="507" t="s">
        <v>2727</v>
      </c>
      <c r="C985" s="507" t="s">
        <v>2728</v>
      </c>
      <c r="D985" s="507" t="s">
        <v>2729</v>
      </c>
      <c r="E985" s="507" t="s">
        <v>2730</v>
      </c>
      <c r="F985" s="507"/>
      <c r="G985" s="508"/>
      <c r="H985" s="509"/>
      <c r="I985" s="509"/>
      <c r="J985" s="509"/>
      <c r="K985" s="509"/>
      <c r="L985" s="510"/>
      <c r="M985" s="510"/>
    </row>
    <row r="986">
      <c r="A986" s="507"/>
      <c r="B986" s="507" t="s">
        <v>2731</v>
      </c>
      <c r="C986" s="507" t="s">
        <v>2732</v>
      </c>
      <c r="D986" s="507" t="s">
        <v>2733</v>
      </c>
      <c r="E986" s="507" t="s">
        <v>2734</v>
      </c>
      <c r="F986" s="507"/>
      <c r="G986" s="508"/>
      <c r="H986" s="509"/>
      <c r="I986" s="509"/>
      <c r="J986" s="509"/>
      <c r="K986" s="509"/>
      <c r="L986" s="510"/>
      <c r="M986" s="510"/>
    </row>
    <row r="987">
      <c r="A987" s="507"/>
      <c r="B987" s="507" t="s">
        <v>2735</v>
      </c>
      <c r="C987" s="507" t="s">
        <v>2736</v>
      </c>
      <c r="D987" s="507" t="s">
        <v>2737</v>
      </c>
      <c r="E987" s="507" t="s">
        <v>2738</v>
      </c>
      <c r="F987" s="507"/>
      <c r="G987" s="508"/>
      <c r="H987" s="509"/>
      <c r="I987" s="509"/>
      <c r="J987" s="509"/>
      <c r="K987" s="509"/>
      <c r="L987" s="510"/>
      <c r="M987" s="510"/>
    </row>
    <row r="988">
      <c r="A988" s="507"/>
      <c r="B988" s="507" t="s">
        <v>1319</v>
      </c>
      <c r="C988" s="507" t="s">
        <v>2740</v>
      </c>
      <c r="D988" s="507" t="s">
        <v>2741</v>
      </c>
      <c r="E988" s="507" t="s">
        <v>2742</v>
      </c>
      <c r="F988" s="507"/>
      <c r="G988" s="508"/>
      <c r="H988" s="509"/>
      <c r="I988" s="509"/>
      <c r="J988" s="509"/>
      <c r="K988" s="509"/>
      <c r="L988" s="510"/>
      <c r="M988" s="510"/>
    </row>
    <row r="989">
      <c r="A989" s="507"/>
      <c r="B989" s="507" t="s">
        <v>2743</v>
      </c>
      <c r="C989" s="507" t="s">
        <v>2744</v>
      </c>
      <c r="D989" s="507" t="s">
        <v>2745</v>
      </c>
      <c r="E989" s="507" t="s">
        <v>2746</v>
      </c>
      <c r="F989" s="507"/>
      <c r="G989" s="508"/>
      <c r="H989" s="509"/>
      <c r="I989" s="509"/>
      <c r="J989" s="509"/>
      <c r="K989" s="509"/>
      <c r="L989" s="510"/>
      <c r="M989" s="510"/>
    </row>
    <row r="990">
      <c r="A990" s="507"/>
      <c r="B990" s="507" t="s">
        <v>2747</v>
      </c>
      <c r="C990" s="507" t="s">
        <v>2748</v>
      </c>
      <c r="D990" s="507" t="s">
        <v>2749</v>
      </c>
      <c r="E990" s="507" t="s">
        <v>2750</v>
      </c>
      <c r="F990" s="507"/>
      <c r="G990" s="508"/>
      <c r="H990" s="509"/>
      <c r="I990" s="509"/>
      <c r="J990" s="509"/>
      <c r="K990" s="509"/>
      <c r="L990" s="510"/>
      <c r="M990" s="510"/>
    </row>
    <row r="991">
      <c r="A991" s="507"/>
      <c r="B991" s="507" t="s">
        <v>2747</v>
      </c>
      <c r="C991" s="507" t="s">
        <v>2751</v>
      </c>
      <c r="D991" s="507" t="s">
        <v>2752</v>
      </c>
      <c r="E991" s="507" t="s">
        <v>2753</v>
      </c>
      <c r="F991" s="507"/>
      <c r="G991" s="508"/>
      <c r="H991" s="509"/>
      <c r="I991" s="509"/>
      <c r="J991" s="509"/>
      <c r="K991" s="509"/>
      <c r="L991" s="510"/>
      <c r="M991" s="510"/>
    </row>
    <row r="992">
      <c r="A992" s="507"/>
      <c r="B992" s="507" t="s">
        <v>2754</v>
      </c>
      <c r="C992" s="507" t="s">
        <v>2755</v>
      </c>
      <c r="D992" s="507" t="s">
        <v>2756</v>
      </c>
      <c r="E992" s="507" t="s">
        <v>2757</v>
      </c>
      <c r="F992" s="507"/>
      <c r="G992" s="508"/>
      <c r="H992" s="509"/>
      <c r="I992" s="509"/>
      <c r="J992" s="509"/>
      <c r="K992" s="509"/>
      <c r="L992" s="510"/>
      <c r="M992" s="510"/>
    </row>
    <row r="993">
      <c r="A993" s="507"/>
      <c r="B993" s="507" t="s">
        <v>2754</v>
      </c>
      <c r="C993" s="507" t="s">
        <v>2759</v>
      </c>
      <c r="D993" s="507" t="s">
        <v>2760</v>
      </c>
      <c r="E993" s="507" t="s">
        <v>2762</v>
      </c>
      <c r="F993" s="507"/>
      <c r="G993" s="508"/>
      <c r="H993" s="509"/>
      <c r="I993" s="509"/>
      <c r="J993" s="509"/>
      <c r="K993" s="509"/>
      <c r="L993" s="510"/>
      <c r="M993" s="510"/>
    </row>
    <row r="994">
      <c r="A994" s="507"/>
      <c r="B994" s="507" t="s">
        <v>2765</v>
      </c>
      <c r="C994" s="507" t="s">
        <v>2766</v>
      </c>
      <c r="D994" s="507" t="s">
        <v>2767</v>
      </c>
      <c r="E994" s="507" t="s">
        <v>2769</v>
      </c>
      <c r="F994" s="507"/>
      <c r="G994" s="508"/>
      <c r="H994" s="509"/>
      <c r="I994" s="509"/>
      <c r="J994" s="509"/>
      <c r="K994" s="509"/>
      <c r="L994" s="510"/>
      <c r="M994" s="510"/>
    </row>
    <row r="995">
      <c r="A995" s="507"/>
      <c r="B995" s="507" t="s">
        <v>2765</v>
      </c>
      <c r="C995" s="507" t="s">
        <v>2770</v>
      </c>
      <c r="D995" s="507" t="s">
        <v>2771</v>
      </c>
      <c r="E995" s="507" t="s">
        <v>2772</v>
      </c>
      <c r="F995" s="507"/>
      <c r="G995" s="508"/>
      <c r="H995" s="509"/>
      <c r="I995" s="509"/>
      <c r="J995" s="509"/>
      <c r="K995" s="509"/>
      <c r="L995" s="510"/>
      <c r="M995" s="510"/>
    </row>
    <row r="996">
      <c r="A996" s="507"/>
      <c r="B996" s="507" t="s">
        <v>2773</v>
      </c>
      <c r="C996" s="507" t="s">
        <v>2774</v>
      </c>
      <c r="D996" s="507" t="s">
        <v>2775</v>
      </c>
      <c r="E996" s="507" t="s">
        <v>2776</v>
      </c>
      <c r="F996" s="507"/>
      <c r="G996" s="508"/>
      <c r="H996" s="509"/>
      <c r="I996" s="509"/>
      <c r="J996" s="509"/>
      <c r="K996" s="509"/>
      <c r="L996" s="510"/>
      <c r="M996" s="510"/>
    </row>
    <row r="997">
      <c r="A997" s="507"/>
      <c r="B997" s="507" t="s">
        <v>1380</v>
      </c>
      <c r="C997" s="507" t="s">
        <v>2779</v>
      </c>
      <c r="D997" s="507" t="s">
        <v>2780</v>
      </c>
      <c r="E997" s="507" t="s">
        <v>2781</v>
      </c>
      <c r="F997" s="507"/>
      <c r="G997" s="508"/>
      <c r="H997" s="509"/>
      <c r="I997" s="509"/>
      <c r="J997" s="509"/>
      <c r="K997" s="509"/>
      <c r="L997" s="510"/>
      <c r="M997" s="510"/>
    </row>
    <row r="998">
      <c r="A998" s="507"/>
      <c r="B998" s="507" t="s">
        <v>1380</v>
      </c>
      <c r="C998" s="507" t="s">
        <v>2783</v>
      </c>
      <c r="D998" s="507" t="s">
        <v>2784</v>
      </c>
      <c r="E998" s="507" t="s">
        <v>2785</v>
      </c>
      <c r="F998" s="507"/>
      <c r="G998" s="508"/>
      <c r="H998" s="509"/>
      <c r="I998" s="509"/>
      <c r="J998" s="509"/>
      <c r="K998" s="509"/>
      <c r="L998" s="510"/>
      <c r="M998" s="510"/>
    </row>
    <row r="999">
      <c r="A999" s="507"/>
      <c r="B999" s="507" t="s">
        <v>1380</v>
      </c>
      <c r="C999" s="507" t="s">
        <v>2788</v>
      </c>
      <c r="D999" s="507" t="s">
        <v>2789</v>
      </c>
      <c r="E999" s="507" t="s">
        <v>2790</v>
      </c>
      <c r="F999" s="507"/>
      <c r="G999" s="508"/>
      <c r="H999" s="509"/>
      <c r="I999" s="509"/>
      <c r="J999" s="509"/>
      <c r="K999" s="509"/>
      <c r="L999" s="510"/>
      <c r="M999" s="510"/>
    </row>
    <row r="1000">
      <c r="A1000" s="507"/>
      <c r="B1000" s="507" t="s">
        <v>1380</v>
      </c>
      <c r="C1000" s="507" t="s">
        <v>2792</v>
      </c>
      <c r="D1000" s="507" t="s">
        <v>2793</v>
      </c>
      <c r="E1000" s="507" t="s">
        <v>2794</v>
      </c>
      <c r="F1000" s="507"/>
      <c r="G1000" s="508"/>
      <c r="H1000" s="509"/>
      <c r="I1000" s="509"/>
      <c r="J1000" s="509"/>
      <c r="K1000" s="509"/>
      <c r="L1000" s="510"/>
      <c r="M1000" s="510"/>
    </row>
    <row r="1001">
      <c r="A1001" s="507"/>
      <c r="B1001" s="507" t="s">
        <v>2795</v>
      </c>
      <c r="C1001" s="507" t="s">
        <v>2796</v>
      </c>
      <c r="D1001" s="507" t="s">
        <v>2797</v>
      </c>
      <c r="E1001" s="507" t="s">
        <v>2798</v>
      </c>
      <c r="F1001" s="507"/>
      <c r="G1001" s="508"/>
      <c r="H1001" s="509"/>
      <c r="I1001" s="509"/>
      <c r="J1001" s="509"/>
      <c r="K1001" s="509"/>
      <c r="L1001" s="510"/>
      <c r="M1001" s="510"/>
    </row>
    <row r="1002">
      <c r="A1002" s="507"/>
      <c r="B1002" s="507" t="s">
        <v>2795</v>
      </c>
      <c r="C1002" s="507" t="s">
        <v>2799</v>
      </c>
      <c r="D1002" s="507" t="s">
        <v>2800</v>
      </c>
      <c r="E1002" s="507" t="s">
        <v>2801</v>
      </c>
      <c r="F1002" s="507"/>
      <c r="G1002" s="508"/>
      <c r="H1002" s="509"/>
      <c r="I1002" s="509"/>
      <c r="J1002" s="509"/>
      <c r="K1002" s="509"/>
      <c r="L1002" s="510"/>
      <c r="M1002" s="510"/>
    </row>
    <row r="1003">
      <c r="A1003" s="507"/>
      <c r="B1003" s="507" t="s">
        <v>2802</v>
      </c>
      <c r="C1003" s="507" t="s">
        <v>2803</v>
      </c>
      <c r="D1003" s="507" t="s">
        <v>2804</v>
      </c>
      <c r="E1003" s="507" t="s">
        <v>2805</v>
      </c>
      <c r="F1003" s="507"/>
      <c r="G1003" s="508"/>
      <c r="H1003" s="509"/>
      <c r="I1003" s="509"/>
      <c r="J1003" s="509"/>
      <c r="K1003" s="509"/>
      <c r="L1003" s="510"/>
      <c r="M1003" s="510"/>
    </row>
    <row r="1004">
      <c r="A1004" s="507"/>
      <c r="B1004" s="507" t="s">
        <v>2806</v>
      </c>
      <c r="C1004" s="507" t="s">
        <v>2807</v>
      </c>
      <c r="D1004" s="507" t="s">
        <v>2808</v>
      </c>
      <c r="E1004" s="507" t="s">
        <v>2809</v>
      </c>
      <c r="F1004" s="507"/>
      <c r="G1004" s="508"/>
      <c r="H1004" s="509"/>
      <c r="I1004" s="509"/>
      <c r="J1004" s="509"/>
      <c r="K1004" s="509"/>
      <c r="L1004" s="510"/>
      <c r="M1004" s="510"/>
    </row>
    <row r="1005">
      <c r="A1005" s="507"/>
      <c r="B1005" s="507" t="s">
        <v>2806</v>
      </c>
      <c r="C1005" s="507" t="s">
        <v>2810</v>
      </c>
      <c r="D1005" s="507" t="s">
        <v>2811</v>
      </c>
      <c r="E1005" s="507" t="s">
        <v>2812</v>
      </c>
      <c r="F1005" s="507"/>
      <c r="G1005" s="508"/>
      <c r="H1005" s="509"/>
      <c r="I1005" s="509"/>
      <c r="J1005" s="509"/>
      <c r="K1005" s="509"/>
      <c r="L1005" s="510"/>
      <c r="M1005" s="510"/>
    </row>
    <row r="1006">
      <c r="A1006" s="507"/>
      <c r="B1006" s="507" t="s">
        <v>2814</v>
      </c>
      <c r="C1006" s="507" t="s">
        <v>2815</v>
      </c>
      <c r="D1006" s="507" t="s">
        <v>2816</v>
      </c>
      <c r="E1006" s="507" t="s">
        <v>2817</v>
      </c>
      <c r="F1006" s="507"/>
      <c r="G1006" s="508"/>
      <c r="H1006" s="509"/>
      <c r="I1006" s="509"/>
      <c r="J1006" s="509"/>
      <c r="K1006" s="509"/>
      <c r="L1006" s="510"/>
      <c r="M1006" s="510"/>
    </row>
    <row r="1007">
      <c r="A1007" s="507"/>
      <c r="B1007" s="507" t="s">
        <v>2819</v>
      </c>
      <c r="C1007" s="507" t="s">
        <v>2820</v>
      </c>
      <c r="D1007" s="507" t="s">
        <v>2821</v>
      </c>
      <c r="E1007" s="507" t="s">
        <v>2822</v>
      </c>
      <c r="F1007" s="507"/>
      <c r="G1007" s="508"/>
      <c r="H1007" s="509"/>
      <c r="I1007" s="509"/>
      <c r="J1007" s="509"/>
      <c r="K1007" s="509"/>
      <c r="L1007" s="510"/>
      <c r="M1007" s="510"/>
    </row>
    <row r="1008">
      <c r="A1008" s="507"/>
      <c r="B1008" s="507" t="s">
        <v>2819</v>
      </c>
      <c r="C1008" s="507" t="s">
        <v>2823</v>
      </c>
      <c r="D1008" s="507" t="s">
        <v>2824</v>
      </c>
      <c r="E1008" s="507" t="s">
        <v>2825</v>
      </c>
      <c r="F1008" s="507"/>
      <c r="G1008" s="508"/>
      <c r="H1008" s="509"/>
      <c r="I1008" s="509"/>
      <c r="J1008" s="509"/>
      <c r="K1008" s="509"/>
      <c r="L1008" s="510"/>
      <c r="M1008" s="510"/>
    </row>
    <row r="1009">
      <c r="A1009" s="507"/>
      <c r="B1009" s="507" t="s">
        <v>2826</v>
      </c>
      <c r="C1009" s="507" t="s">
        <v>2827</v>
      </c>
      <c r="D1009" s="507" t="s">
        <v>2828</v>
      </c>
      <c r="E1009" s="507" t="s">
        <v>2829</v>
      </c>
      <c r="F1009" s="507"/>
      <c r="G1009" s="508"/>
      <c r="H1009" s="509"/>
      <c r="I1009" s="509"/>
      <c r="J1009" s="509"/>
      <c r="K1009" s="509"/>
      <c r="L1009" s="510"/>
      <c r="M1009" s="510"/>
    </row>
    <row r="1010">
      <c r="A1010" s="507"/>
      <c r="B1010" s="507" t="s">
        <v>2830</v>
      </c>
      <c r="C1010" s="507" t="s">
        <v>2831</v>
      </c>
      <c r="D1010" s="507" t="s">
        <v>2832</v>
      </c>
      <c r="E1010" s="507" t="s">
        <v>2833</v>
      </c>
      <c r="F1010" s="507"/>
      <c r="G1010" s="508"/>
      <c r="H1010" s="509"/>
      <c r="I1010" s="509"/>
      <c r="J1010" s="509"/>
      <c r="K1010" s="509"/>
      <c r="L1010" s="510"/>
      <c r="M1010" s="510"/>
    </row>
    <row r="1011">
      <c r="A1011" s="507"/>
      <c r="B1011" s="507" t="s">
        <v>1491</v>
      </c>
      <c r="C1011" s="507" t="s">
        <v>2834</v>
      </c>
      <c r="D1011" s="507" t="s">
        <v>2835</v>
      </c>
      <c r="E1011" s="507" t="s">
        <v>2836</v>
      </c>
      <c r="F1011" s="507"/>
      <c r="G1011" s="508"/>
      <c r="H1011" s="509"/>
      <c r="I1011" s="509"/>
      <c r="J1011" s="509"/>
      <c r="K1011" s="509"/>
      <c r="L1011" s="510"/>
      <c r="M1011" s="510"/>
    </row>
    <row r="1012">
      <c r="A1012" s="507"/>
      <c r="B1012" s="507" t="s">
        <v>1491</v>
      </c>
      <c r="C1012" s="507" t="s">
        <v>2837</v>
      </c>
      <c r="D1012" s="507" t="s">
        <v>2838</v>
      </c>
      <c r="E1012" s="507" t="s">
        <v>2839</v>
      </c>
      <c r="F1012" s="507"/>
      <c r="G1012" s="508"/>
      <c r="H1012" s="509"/>
      <c r="I1012" s="509"/>
      <c r="J1012" s="509"/>
      <c r="K1012" s="509"/>
      <c r="L1012" s="510"/>
      <c r="M1012" s="510"/>
    </row>
    <row r="1013">
      <c r="A1013" s="507"/>
      <c r="B1013" s="507" t="s">
        <v>2840</v>
      </c>
      <c r="C1013" s="507" t="s">
        <v>2841</v>
      </c>
      <c r="D1013" s="507" t="s">
        <v>2842</v>
      </c>
      <c r="E1013" s="507" t="s">
        <v>2843</v>
      </c>
      <c r="F1013" s="507"/>
      <c r="G1013" s="508"/>
      <c r="H1013" s="509"/>
      <c r="I1013" s="509"/>
      <c r="J1013" s="509"/>
      <c r="K1013" s="509"/>
      <c r="L1013" s="510"/>
      <c r="M1013" s="510"/>
    </row>
    <row r="1014">
      <c r="A1014" s="507"/>
      <c r="B1014" s="507" t="s">
        <v>2840</v>
      </c>
      <c r="C1014" s="507" t="s">
        <v>2844</v>
      </c>
      <c r="D1014" s="507" t="s">
        <v>2846</v>
      </c>
      <c r="E1014" s="507" t="s">
        <v>2847</v>
      </c>
      <c r="F1014" s="507"/>
      <c r="G1014" s="508"/>
      <c r="H1014" s="509"/>
      <c r="I1014" s="509"/>
      <c r="J1014" s="509"/>
      <c r="K1014" s="509"/>
      <c r="L1014" s="510"/>
      <c r="M1014" s="510"/>
    </row>
    <row r="1015">
      <c r="A1015" s="507"/>
      <c r="B1015" s="507" t="s">
        <v>2850</v>
      </c>
      <c r="C1015" s="507" t="s">
        <v>2851</v>
      </c>
      <c r="D1015" s="507" t="s">
        <v>2853</v>
      </c>
      <c r="E1015" s="507" t="s">
        <v>2854</v>
      </c>
      <c r="F1015" s="507"/>
      <c r="G1015" s="508"/>
      <c r="H1015" s="509"/>
      <c r="I1015" s="509"/>
      <c r="J1015" s="509"/>
      <c r="K1015" s="509"/>
      <c r="L1015" s="510"/>
      <c r="M1015" s="510"/>
    </row>
    <row r="1016">
      <c r="A1016" s="507"/>
      <c r="B1016" s="507" t="s">
        <v>2856</v>
      </c>
      <c r="C1016" s="507" t="s">
        <v>2857</v>
      </c>
      <c r="D1016" s="507" t="s">
        <v>2858</v>
      </c>
      <c r="E1016" s="507" t="s">
        <v>2860</v>
      </c>
      <c r="F1016" s="507"/>
      <c r="G1016" s="508"/>
      <c r="H1016" s="509"/>
      <c r="I1016" s="509"/>
      <c r="J1016" s="509"/>
      <c r="K1016" s="509"/>
      <c r="L1016" s="510"/>
      <c r="M1016" s="510"/>
    </row>
    <row r="1017">
      <c r="A1017" s="507"/>
      <c r="B1017" s="507" t="s">
        <v>2856</v>
      </c>
      <c r="C1017" s="507" t="s">
        <v>2861</v>
      </c>
      <c r="D1017" s="507" t="s">
        <v>2862</v>
      </c>
      <c r="E1017" s="507" t="s">
        <v>2864</v>
      </c>
      <c r="F1017" s="507"/>
      <c r="G1017" s="508"/>
      <c r="H1017" s="509"/>
      <c r="I1017" s="509"/>
      <c r="J1017" s="509"/>
      <c r="K1017" s="509"/>
      <c r="L1017" s="510"/>
      <c r="M1017" s="510"/>
    </row>
    <row r="1018">
      <c r="A1018" s="507"/>
      <c r="B1018" s="507" t="s">
        <v>2865</v>
      </c>
      <c r="C1018" s="507" t="s">
        <v>2866</v>
      </c>
      <c r="D1018" s="507" t="s">
        <v>2867</v>
      </c>
      <c r="E1018" s="507" t="s">
        <v>2868</v>
      </c>
      <c r="F1018" s="507"/>
      <c r="G1018" s="508"/>
      <c r="H1018" s="509"/>
      <c r="I1018" s="509"/>
      <c r="J1018" s="509"/>
      <c r="K1018" s="509"/>
      <c r="L1018" s="510"/>
      <c r="M1018" s="510"/>
    </row>
    <row r="1019">
      <c r="A1019" s="507"/>
      <c r="B1019" s="507" t="s">
        <v>2865</v>
      </c>
      <c r="C1019" s="507" t="s">
        <v>2870</v>
      </c>
      <c r="D1019" s="507" t="s">
        <v>2871</v>
      </c>
      <c r="E1019" s="507" t="s">
        <v>2872</v>
      </c>
      <c r="F1019" s="507"/>
      <c r="G1019" s="508"/>
      <c r="H1019" s="509"/>
      <c r="I1019" s="509"/>
      <c r="J1019" s="509"/>
      <c r="K1019" s="509"/>
      <c r="L1019" s="510"/>
      <c r="M1019" s="510"/>
    </row>
    <row r="1020">
      <c r="A1020" s="507"/>
      <c r="B1020" s="507" t="s">
        <v>2874</v>
      </c>
      <c r="C1020" s="507" t="s">
        <v>2875</v>
      </c>
      <c r="D1020" s="507" t="s">
        <v>2876</v>
      </c>
      <c r="E1020" s="507" t="s">
        <v>2877</v>
      </c>
      <c r="F1020" s="507"/>
      <c r="G1020" s="508"/>
      <c r="H1020" s="509"/>
      <c r="I1020" s="509"/>
      <c r="J1020" s="509"/>
      <c r="K1020" s="509"/>
      <c r="L1020" s="510"/>
      <c r="M1020" s="510"/>
    </row>
    <row r="1021">
      <c r="A1021" s="507"/>
      <c r="B1021" s="507" t="s">
        <v>2874</v>
      </c>
      <c r="C1021" s="507" t="s">
        <v>2879</v>
      </c>
      <c r="D1021" s="507" t="s">
        <v>2880</v>
      </c>
      <c r="E1021" s="507" t="s">
        <v>2881</v>
      </c>
      <c r="F1021" s="507"/>
      <c r="G1021" s="508"/>
      <c r="H1021" s="509"/>
      <c r="I1021" s="509"/>
      <c r="J1021" s="509"/>
      <c r="K1021" s="509"/>
      <c r="L1021" s="510"/>
      <c r="M1021" s="510"/>
    </row>
    <row r="1022">
      <c r="A1022" s="507"/>
      <c r="B1022" s="507" t="s">
        <v>1540</v>
      </c>
      <c r="C1022" s="507" t="s">
        <v>2882</v>
      </c>
      <c r="D1022" s="507" t="s">
        <v>2884</v>
      </c>
      <c r="E1022" s="507" t="s">
        <v>2885</v>
      </c>
      <c r="F1022" s="507"/>
      <c r="G1022" s="508"/>
      <c r="H1022" s="509"/>
      <c r="I1022" s="509"/>
      <c r="J1022" s="509"/>
      <c r="K1022" s="509"/>
      <c r="L1022" s="510"/>
      <c r="M1022" s="510"/>
    </row>
    <row r="1023">
      <c r="A1023" s="507"/>
      <c r="B1023" s="507" t="s">
        <v>1540</v>
      </c>
      <c r="C1023" s="507" t="s">
        <v>2886</v>
      </c>
      <c r="D1023" s="507" t="s">
        <v>2887</v>
      </c>
      <c r="E1023" s="507" t="s">
        <v>2888</v>
      </c>
      <c r="F1023" s="507"/>
      <c r="G1023" s="508"/>
      <c r="H1023" s="509"/>
      <c r="I1023" s="509"/>
      <c r="J1023" s="509"/>
      <c r="K1023" s="509"/>
      <c r="L1023" s="510"/>
      <c r="M1023" s="510"/>
    </row>
    <row r="1024">
      <c r="A1024" s="507"/>
      <c r="B1024" s="507" t="s">
        <v>1540</v>
      </c>
      <c r="C1024" s="507" t="s">
        <v>2889</v>
      </c>
      <c r="D1024" s="507" t="s">
        <v>2890</v>
      </c>
      <c r="E1024" s="507" t="s">
        <v>2891</v>
      </c>
      <c r="F1024" s="507"/>
      <c r="G1024" s="508"/>
      <c r="H1024" s="509"/>
      <c r="I1024" s="509"/>
      <c r="J1024" s="509"/>
      <c r="K1024" s="509"/>
      <c r="L1024" s="510"/>
      <c r="M1024" s="510"/>
    </row>
    <row r="1025">
      <c r="A1025" s="507"/>
      <c r="B1025" s="507" t="s">
        <v>2893</v>
      </c>
      <c r="C1025" s="507" t="s">
        <v>2894</v>
      </c>
      <c r="D1025" s="507" t="s">
        <v>2895</v>
      </c>
      <c r="E1025" s="507" t="s">
        <v>2896</v>
      </c>
      <c r="F1025" s="507"/>
      <c r="G1025" s="508"/>
      <c r="H1025" s="509"/>
      <c r="I1025" s="509"/>
      <c r="J1025" s="509"/>
      <c r="K1025" s="509"/>
      <c r="L1025" s="510"/>
      <c r="M1025" s="510"/>
    </row>
    <row r="1026">
      <c r="A1026" s="507"/>
      <c r="B1026" s="507" t="s">
        <v>1552</v>
      </c>
      <c r="C1026" s="507" t="s">
        <v>2897</v>
      </c>
      <c r="D1026" s="507" t="s">
        <v>2898</v>
      </c>
      <c r="E1026" s="507" t="s">
        <v>2899</v>
      </c>
      <c r="F1026" s="507"/>
      <c r="G1026" s="508"/>
      <c r="H1026" s="509"/>
      <c r="I1026" s="509"/>
      <c r="J1026" s="509"/>
      <c r="K1026" s="509"/>
      <c r="L1026" s="510"/>
      <c r="M1026" s="510"/>
    </row>
    <row r="1027">
      <c r="A1027" s="507"/>
      <c r="B1027" s="507" t="s">
        <v>1552</v>
      </c>
      <c r="C1027" s="507" t="s">
        <v>2900</v>
      </c>
      <c r="D1027" s="507" t="s">
        <v>2901</v>
      </c>
      <c r="E1027" s="507" t="s">
        <v>2902</v>
      </c>
      <c r="F1027" s="507"/>
      <c r="G1027" s="508"/>
      <c r="H1027" s="509"/>
      <c r="I1027" s="509"/>
      <c r="J1027" s="509"/>
      <c r="K1027" s="509"/>
      <c r="L1027" s="510"/>
      <c r="M1027" s="510"/>
    </row>
    <row r="1028">
      <c r="A1028" s="507"/>
      <c r="B1028" s="507" t="s">
        <v>1552</v>
      </c>
      <c r="C1028" s="507" t="s">
        <v>2903</v>
      </c>
      <c r="D1028" s="507" t="s">
        <v>2904</v>
      </c>
      <c r="E1028" s="507" t="s">
        <v>2905</v>
      </c>
      <c r="F1028" s="507"/>
      <c r="G1028" s="508"/>
      <c r="H1028" s="509"/>
      <c r="I1028" s="509"/>
      <c r="J1028" s="509"/>
      <c r="K1028" s="509"/>
      <c r="L1028" s="510"/>
      <c r="M1028" s="510"/>
    </row>
    <row r="1029">
      <c r="A1029" s="507"/>
      <c r="B1029" s="507" t="s">
        <v>2906</v>
      </c>
      <c r="C1029" s="507" t="s">
        <v>2907</v>
      </c>
      <c r="D1029" s="507" t="s">
        <v>2908</v>
      </c>
      <c r="E1029" s="507" t="s">
        <v>2909</v>
      </c>
      <c r="F1029" s="507"/>
      <c r="G1029" s="508"/>
      <c r="H1029" s="509"/>
      <c r="I1029" s="509"/>
      <c r="J1029" s="509"/>
      <c r="K1029" s="509"/>
      <c r="L1029" s="510"/>
      <c r="M1029" s="510"/>
    </row>
    <row r="1030">
      <c r="A1030" s="507"/>
      <c r="B1030" s="507" t="s">
        <v>2906</v>
      </c>
      <c r="C1030" s="507" t="s">
        <v>2910</v>
      </c>
      <c r="D1030" s="507" t="s">
        <v>2911</v>
      </c>
      <c r="E1030" s="507" t="s">
        <v>2912</v>
      </c>
      <c r="F1030" s="507"/>
      <c r="G1030" s="508"/>
      <c r="H1030" s="509"/>
      <c r="I1030" s="509"/>
      <c r="J1030" s="509"/>
      <c r="K1030" s="509"/>
      <c r="L1030" s="510"/>
      <c r="M1030" s="510"/>
    </row>
    <row r="1031">
      <c r="A1031" s="507"/>
      <c r="B1031" s="507" t="s">
        <v>2913</v>
      </c>
      <c r="C1031" s="507" t="s">
        <v>2914</v>
      </c>
      <c r="D1031" s="507" t="s">
        <v>2915</v>
      </c>
      <c r="E1031" s="507" t="s">
        <v>2916</v>
      </c>
      <c r="F1031" s="507"/>
      <c r="G1031" s="508"/>
      <c r="H1031" s="509"/>
      <c r="I1031" s="509"/>
      <c r="J1031" s="509"/>
      <c r="K1031" s="509"/>
      <c r="L1031" s="510"/>
      <c r="M1031" s="510"/>
    </row>
    <row r="1032">
      <c r="A1032" s="507"/>
      <c r="B1032" s="507" t="s">
        <v>2913</v>
      </c>
      <c r="C1032" s="507" t="s">
        <v>2917</v>
      </c>
      <c r="D1032" s="507" t="s">
        <v>2918</v>
      </c>
      <c r="E1032" s="507" t="s">
        <v>2919</v>
      </c>
      <c r="F1032" s="507"/>
      <c r="G1032" s="508"/>
      <c r="H1032" s="509"/>
      <c r="I1032" s="509"/>
      <c r="J1032" s="509"/>
      <c r="K1032" s="509"/>
      <c r="L1032" s="510"/>
      <c r="M1032" s="510"/>
    </row>
    <row r="1033">
      <c r="A1033" s="507"/>
      <c r="B1033" s="507" t="s">
        <v>2913</v>
      </c>
      <c r="C1033" s="507" t="s">
        <v>2920</v>
      </c>
      <c r="D1033" s="507" t="s">
        <v>2921</v>
      </c>
      <c r="E1033" s="507" t="s">
        <v>2922</v>
      </c>
      <c r="F1033" s="507"/>
      <c r="G1033" s="508"/>
      <c r="H1033" s="509"/>
      <c r="I1033" s="509"/>
      <c r="J1033" s="509"/>
      <c r="K1033" s="509"/>
      <c r="L1033" s="510"/>
      <c r="M1033" s="510"/>
    </row>
    <row r="1034">
      <c r="A1034" s="507"/>
      <c r="B1034" s="507" t="s">
        <v>2913</v>
      </c>
      <c r="C1034" s="507" t="s">
        <v>2923</v>
      </c>
      <c r="D1034" s="507" t="s">
        <v>2924</v>
      </c>
      <c r="E1034" s="507" t="s">
        <v>2925</v>
      </c>
      <c r="F1034" s="507"/>
      <c r="G1034" s="508"/>
      <c r="H1034" s="509"/>
      <c r="I1034" s="509"/>
      <c r="J1034" s="509"/>
      <c r="K1034" s="509"/>
      <c r="L1034" s="510"/>
      <c r="M1034" s="510"/>
    </row>
    <row r="1035">
      <c r="A1035" s="507"/>
      <c r="B1035" s="507" t="s">
        <v>2913</v>
      </c>
      <c r="C1035" s="507" t="s">
        <v>2926</v>
      </c>
      <c r="D1035" s="507" t="s">
        <v>2927</v>
      </c>
      <c r="E1035" s="507" t="s">
        <v>2929</v>
      </c>
      <c r="F1035" s="507"/>
      <c r="G1035" s="508"/>
      <c r="H1035" s="509"/>
      <c r="I1035" s="509"/>
      <c r="J1035" s="509"/>
      <c r="K1035" s="509"/>
      <c r="L1035" s="510"/>
      <c r="M1035" s="510"/>
    </row>
    <row r="1036">
      <c r="A1036" s="507"/>
      <c r="B1036" s="507" t="s">
        <v>2913</v>
      </c>
      <c r="C1036" s="507" t="s">
        <v>2930</v>
      </c>
      <c r="D1036" s="507" t="s">
        <v>2931</v>
      </c>
      <c r="E1036" s="507" t="s">
        <v>2932</v>
      </c>
      <c r="F1036" s="507"/>
      <c r="G1036" s="508"/>
      <c r="H1036" s="509"/>
      <c r="I1036" s="509"/>
      <c r="J1036" s="509"/>
      <c r="K1036" s="509"/>
      <c r="L1036" s="510"/>
      <c r="M1036" s="510"/>
    </row>
    <row r="1037">
      <c r="A1037" s="507"/>
      <c r="B1037" s="507" t="s">
        <v>2933</v>
      </c>
      <c r="C1037" s="507" t="s">
        <v>2934</v>
      </c>
      <c r="D1037" s="507" t="s">
        <v>2935</v>
      </c>
      <c r="E1037" s="507" t="s">
        <v>2936</v>
      </c>
      <c r="F1037" s="507"/>
      <c r="G1037" s="508"/>
      <c r="H1037" s="509"/>
      <c r="I1037" s="509"/>
      <c r="J1037" s="509"/>
      <c r="K1037" s="509"/>
      <c r="L1037" s="510"/>
      <c r="M1037" s="510"/>
    </row>
    <row r="1038">
      <c r="A1038" s="507"/>
      <c r="B1038" s="507" t="s">
        <v>2933</v>
      </c>
      <c r="C1038" s="507" t="s">
        <v>2937</v>
      </c>
      <c r="D1038" s="507" t="s">
        <v>2938</v>
      </c>
      <c r="E1038" s="507" t="s">
        <v>2939</v>
      </c>
      <c r="F1038" s="507"/>
      <c r="G1038" s="508"/>
      <c r="H1038" s="509"/>
      <c r="I1038" s="509"/>
      <c r="J1038" s="509"/>
      <c r="K1038" s="509"/>
      <c r="L1038" s="510"/>
      <c r="M1038" s="510"/>
    </row>
    <row r="1039">
      <c r="A1039" s="507"/>
      <c r="B1039" s="507" t="s">
        <v>2940</v>
      </c>
      <c r="C1039" s="507" t="s">
        <v>2941</v>
      </c>
      <c r="D1039" s="507" t="s">
        <v>2942</v>
      </c>
      <c r="E1039" s="507" t="s">
        <v>2943</v>
      </c>
      <c r="F1039" s="507"/>
      <c r="G1039" s="508"/>
      <c r="H1039" s="509"/>
      <c r="I1039" s="509"/>
      <c r="J1039" s="509"/>
      <c r="K1039" s="509"/>
      <c r="L1039" s="510"/>
      <c r="M1039" s="510"/>
    </row>
    <row r="1040">
      <c r="A1040" s="507"/>
      <c r="B1040" s="507" t="s">
        <v>2940</v>
      </c>
      <c r="C1040" s="507" t="s">
        <v>2944</v>
      </c>
      <c r="D1040" s="507" t="s">
        <v>2945</v>
      </c>
      <c r="E1040" s="507" t="s">
        <v>2946</v>
      </c>
      <c r="F1040" s="507"/>
      <c r="G1040" s="508"/>
      <c r="H1040" s="509"/>
      <c r="I1040" s="509"/>
      <c r="J1040" s="509"/>
      <c r="K1040" s="509"/>
      <c r="L1040" s="510"/>
      <c r="M1040" s="510"/>
    </row>
    <row r="1041">
      <c r="A1041" s="507"/>
      <c r="B1041" s="507" t="s">
        <v>2947</v>
      </c>
      <c r="C1041" s="507" t="s">
        <v>2948</v>
      </c>
      <c r="D1041" s="507" t="s">
        <v>2949</v>
      </c>
      <c r="E1041" s="507" t="s">
        <v>2950</v>
      </c>
      <c r="F1041" s="507"/>
      <c r="G1041" s="508"/>
      <c r="H1041" s="509"/>
      <c r="I1041" s="509"/>
      <c r="J1041" s="509"/>
      <c r="K1041" s="509"/>
      <c r="L1041" s="510"/>
      <c r="M1041" s="510"/>
    </row>
    <row r="1042">
      <c r="A1042" s="507"/>
      <c r="B1042" s="507" t="s">
        <v>2951</v>
      </c>
      <c r="C1042" s="507" t="s">
        <v>2952</v>
      </c>
      <c r="D1042" s="507" t="s">
        <v>2953</v>
      </c>
      <c r="E1042" s="507" t="s">
        <v>2954</v>
      </c>
      <c r="F1042" s="507"/>
      <c r="G1042" s="508"/>
      <c r="H1042" s="509"/>
      <c r="I1042" s="509"/>
      <c r="J1042" s="509"/>
      <c r="K1042" s="509"/>
      <c r="L1042" s="510"/>
      <c r="M1042" s="510"/>
    </row>
    <row r="1043">
      <c r="A1043" s="507"/>
      <c r="B1043" s="507" t="s">
        <v>2955</v>
      </c>
      <c r="C1043" s="507" t="s">
        <v>2956</v>
      </c>
      <c r="D1043" s="507" t="s">
        <v>2958</v>
      </c>
      <c r="E1043" s="507" t="s">
        <v>2959</v>
      </c>
      <c r="F1043" s="507"/>
      <c r="G1043" s="508"/>
      <c r="H1043" s="509"/>
      <c r="I1043" s="509"/>
      <c r="J1043" s="509"/>
      <c r="K1043" s="509"/>
      <c r="L1043" s="510"/>
      <c r="M1043" s="510"/>
    </row>
    <row r="1044">
      <c r="A1044" s="507"/>
      <c r="B1044" s="507" t="s">
        <v>2955</v>
      </c>
      <c r="C1044" s="507" t="s">
        <v>2961</v>
      </c>
      <c r="D1044" s="507" t="s">
        <v>2962</v>
      </c>
      <c r="E1044" s="507" t="s">
        <v>2963</v>
      </c>
      <c r="F1044" s="507"/>
      <c r="G1044" s="508"/>
      <c r="H1044" s="509"/>
      <c r="I1044" s="509"/>
      <c r="J1044" s="509"/>
      <c r="K1044" s="509"/>
      <c r="L1044" s="510"/>
      <c r="M1044" s="510"/>
    </row>
    <row r="1045">
      <c r="A1045" s="507"/>
      <c r="B1045" s="507" t="s">
        <v>2955</v>
      </c>
      <c r="C1045" s="507" t="s">
        <v>2965</v>
      </c>
      <c r="D1045" s="507" t="s">
        <v>2311</v>
      </c>
      <c r="E1045" s="507" t="s">
        <v>2966</v>
      </c>
      <c r="F1045" s="507"/>
      <c r="G1045" s="508"/>
      <c r="H1045" s="509"/>
      <c r="I1045" s="509"/>
      <c r="J1045" s="509"/>
      <c r="K1045" s="509"/>
      <c r="L1045" s="510"/>
      <c r="M1045" s="510"/>
    </row>
    <row r="1046">
      <c r="A1046" s="507"/>
      <c r="B1046" s="507" t="s">
        <v>2968</v>
      </c>
      <c r="C1046" s="507" t="s">
        <v>2969</v>
      </c>
      <c r="D1046" s="507" t="s">
        <v>2970</v>
      </c>
      <c r="E1046" s="507" t="s">
        <v>2971</v>
      </c>
      <c r="F1046" s="507"/>
      <c r="G1046" s="508"/>
      <c r="H1046" s="509"/>
      <c r="I1046" s="509"/>
      <c r="J1046" s="509"/>
      <c r="K1046" s="509"/>
      <c r="L1046" s="510"/>
      <c r="M1046" s="510"/>
    </row>
    <row r="1047">
      <c r="A1047" s="507"/>
      <c r="B1047" s="507" t="s">
        <v>2968</v>
      </c>
      <c r="C1047" s="507" t="s">
        <v>2973</v>
      </c>
      <c r="D1047" s="507" t="s">
        <v>2974</v>
      </c>
      <c r="E1047" s="507" t="s">
        <v>2975</v>
      </c>
      <c r="F1047" s="507"/>
      <c r="G1047" s="508"/>
      <c r="H1047" s="509"/>
      <c r="I1047" s="509"/>
      <c r="J1047" s="509"/>
      <c r="K1047" s="509"/>
      <c r="L1047" s="510"/>
      <c r="M1047" s="510"/>
    </row>
    <row r="1048">
      <c r="A1048" s="507"/>
      <c r="B1048" s="507" t="s">
        <v>2977</v>
      </c>
      <c r="C1048" s="507" t="s">
        <v>2978</v>
      </c>
      <c r="D1048" s="507" t="s">
        <v>2979</v>
      </c>
      <c r="E1048" s="507" t="s">
        <v>2980</v>
      </c>
      <c r="F1048" s="507"/>
      <c r="G1048" s="508"/>
      <c r="H1048" s="509"/>
      <c r="I1048" s="509"/>
      <c r="J1048" s="509"/>
      <c r="K1048" s="509"/>
      <c r="L1048" s="510"/>
      <c r="M1048" s="510"/>
    </row>
    <row r="1049">
      <c r="A1049" s="507"/>
      <c r="B1049" s="507" t="s">
        <v>2977</v>
      </c>
      <c r="C1049" s="507" t="s">
        <v>2983</v>
      </c>
      <c r="D1049" s="507" t="s">
        <v>2984</v>
      </c>
      <c r="E1049" s="507" t="s">
        <v>2986</v>
      </c>
      <c r="F1049" s="507"/>
      <c r="G1049" s="508"/>
      <c r="H1049" s="509"/>
      <c r="I1049" s="509"/>
      <c r="J1049" s="509"/>
      <c r="K1049" s="509"/>
      <c r="L1049" s="510"/>
      <c r="M1049" s="510"/>
    </row>
    <row r="1050">
      <c r="A1050" s="507"/>
      <c r="B1050" s="507" t="s">
        <v>2988</v>
      </c>
      <c r="C1050" s="507" t="s">
        <v>2989</v>
      </c>
      <c r="D1050" s="507" t="s">
        <v>2991</v>
      </c>
      <c r="E1050" s="507" t="s">
        <v>2992</v>
      </c>
      <c r="F1050" s="507"/>
      <c r="G1050" s="508"/>
      <c r="H1050" s="509"/>
      <c r="I1050" s="509"/>
      <c r="J1050" s="509"/>
      <c r="K1050" s="509"/>
      <c r="L1050" s="510"/>
      <c r="M1050" s="510"/>
    </row>
    <row r="1051">
      <c r="A1051" s="507"/>
      <c r="B1051" s="507" t="s">
        <v>2994</v>
      </c>
      <c r="C1051" s="507" t="s">
        <v>2995</v>
      </c>
      <c r="D1051" s="507" t="s">
        <v>2996</v>
      </c>
      <c r="E1051" s="507" t="s">
        <v>2997</v>
      </c>
      <c r="F1051" s="507"/>
      <c r="G1051" s="508"/>
      <c r="H1051" s="509"/>
      <c r="I1051" s="509"/>
      <c r="J1051" s="509"/>
      <c r="K1051" s="509"/>
      <c r="L1051" s="510"/>
      <c r="M1051" s="510"/>
    </row>
    <row r="1052">
      <c r="A1052" s="507"/>
      <c r="B1052" s="507" t="s">
        <v>2994</v>
      </c>
      <c r="C1052" s="507" t="s">
        <v>2998</v>
      </c>
      <c r="D1052" s="507" t="s">
        <v>2999</v>
      </c>
      <c r="E1052" s="507" t="s">
        <v>3000</v>
      </c>
      <c r="F1052" s="507"/>
      <c r="G1052" s="508"/>
      <c r="H1052" s="509"/>
      <c r="I1052" s="509"/>
      <c r="J1052" s="509"/>
      <c r="K1052" s="509"/>
      <c r="L1052" s="510"/>
      <c r="M1052" s="510"/>
    </row>
    <row r="1053">
      <c r="A1053" s="507"/>
      <c r="B1053" s="507" t="s">
        <v>3001</v>
      </c>
      <c r="C1053" s="507" t="s">
        <v>3002</v>
      </c>
      <c r="D1053" s="507" t="s">
        <v>3003</v>
      </c>
      <c r="E1053" s="507" t="s">
        <v>3004</v>
      </c>
      <c r="F1053" s="507"/>
      <c r="G1053" s="508"/>
      <c r="H1053" s="509"/>
      <c r="I1053" s="509"/>
      <c r="J1053" s="509"/>
      <c r="K1053" s="509"/>
      <c r="L1053" s="510"/>
      <c r="M1053" s="510"/>
    </row>
    <row r="1054">
      <c r="A1054" s="507"/>
      <c r="B1054" s="507" t="s">
        <v>3005</v>
      </c>
      <c r="C1054" s="507" t="s">
        <v>3006</v>
      </c>
      <c r="D1054" s="507" t="s">
        <v>3007</v>
      </c>
      <c r="E1054" s="507" t="s">
        <v>3008</v>
      </c>
      <c r="F1054" s="507"/>
      <c r="G1054" s="508"/>
      <c r="H1054" s="509"/>
      <c r="I1054" s="509"/>
      <c r="J1054" s="509"/>
      <c r="K1054" s="509"/>
      <c r="L1054" s="510"/>
      <c r="M1054" s="510"/>
    </row>
    <row r="1055">
      <c r="A1055" s="507"/>
      <c r="B1055" s="507" t="s">
        <v>3005</v>
      </c>
      <c r="C1055" s="507" t="s">
        <v>3009</v>
      </c>
      <c r="D1055" s="507" t="s">
        <v>3010</v>
      </c>
      <c r="E1055" s="507" t="s">
        <v>3011</v>
      </c>
      <c r="F1055" s="507"/>
      <c r="G1055" s="508"/>
      <c r="H1055" s="509"/>
      <c r="I1055" s="509"/>
      <c r="J1055" s="509"/>
      <c r="K1055" s="509"/>
      <c r="L1055" s="510"/>
      <c r="M1055" s="510"/>
    </row>
    <row r="1056">
      <c r="A1056" s="507"/>
      <c r="B1056" s="507" t="s">
        <v>3012</v>
      </c>
      <c r="C1056" s="507" t="s">
        <v>3013</v>
      </c>
      <c r="D1056" s="507" t="s">
        <v>3014</v>
      </c>
      <c r="E1056" s="507" t="s">
        <v>3015</v>
      </c>
      <c r="F1056" s="507"/>
      <c r="G1056" s="508"/>
      <c r="H1056" s="509"/>
      <c r="I1056" s="509"/>
      <c r="J1056" s="509"/>
      <c r="K1056" s="509"/>
      <c r="L1056" s="510"/>
      <c r="M1056" s="510"/>
    </row>
    <row r="1057">
      <c r="A1057" s="507"/>
      <c r="B1057" s="507" t="s">
        <v>3012</v>
      </c>
      <c r="C1057" s="507" t="s">
        <v>3017</v>
      </c>
      <c r="D1057" s="507" t="s">
        <v>3018</v>
      </c>
      <c r="E1057" s="507" t="s">
        <v>3019</v>
      </c>
      <c r="F1057" s="507"/>
      <c r="G1057" s="508"/>
      <c r="H1057" s="509"/>
      <c r="I1057" s="509"/>
      <c r="J1057" s="509"/>
      <c r="K1057" s="509"/>
      <c r="L1057" s="510"/>
      <c r="M1057" s="510"/>
    </row>
    <row r="1058">
      <c r="A1058" s="507"/>
      <c r="B1058" s="507" t="s">
        <v>3012</v>
      </c>
      <c r="C1058" s="507" t="s">
        <v>3021</v>
      </c>
      <c r="D1058" s="507" t="s">
        <v>3022</v>
      </c>
      <c r="E1058" s="507" t="s">
        <v>3023</v>
      </c>
      <c r="F1058" s="507"/>
      <c r="G1058" s="508"/>
      <c r="H1058" s="509"/>
      <c r="I1058" s="509"/>
      <c r="J1058" s="509"/>
      <c r="K1058" s="509"/>
      <c r="L1058" s="510"/>
      <c r="M1058" s="510"/>
    </row>
    <row r="1059">
      <c r="A1059" s="507"/>
      <c r="B1059" s="507" t="s">
        <v>3024</v>
      </c>
      <c r="C1059" s="507" t="s">
        <v>3025</v>
      </c>
      <c r="D1059" s="507" t="s">
        <v>3026</v>
      </c>
      <c r="E1059" s="507" t="s">
        <v>3027</v>
      </c>
      <c r="F1059" s="507"/>
      <c r="G1059" s="508"/>
      <c r="H1059" s="509"/>
      <c r="I1059" s="509"/>
      <c r="J1059" s="509"/>
      <c r="K1059" s="509"/>
      <c r="L1059" s="510"/>
      <c r="M1059" s="510"/>
    </row>
    <row r="1060">
      <c r="A1060" s="507"/>
      <c r="B1060" s="507" t="s">
        <v>3024</v>
      </c>
      <c r="C1060" s="507" t="s">
        <v>3028</v>
      </c>
      <c r="D1060" s="507" t="s">
        <v>3029</v>
      </c>
      <c r="E1060" s="507" t="s">
        <v>3031</v>
      </c>
      <c r="F1060" s="507"/>
      <c r="G1060" s="508"/>
      <c r="H1060" s="509"/>
      <c r="I1060" s="509"/>
      <c r="J1060" s="509"/>
      <c r="K1060" s="509"/>
      <c r="L1060" s="510"/>
      <c r="M1060" s="510"/>
    </row>
    <row r="1061">
      <c r="A1061" s="507"/>
      <c r="B1061" s="507" t="s">
        <v>3034</v>
      </c>
      <c r="C1061" s="507" t="s">
        <v>3036</v>
      </c>
      <c r="D1061" s="507" t="s">
        <v>3037</v>
      </c>
      <c r="E1061" s="507" t="s">
        <v>3038</v>
      </c>
      <c r="F1061" s="507"/>
      <c r="G1061" s="508"/>
      <c r="H1061" s="509"/>
      <c r="I1061" s="509"/>
      <c r="J1061" s="509"/>
      <c r="K1061" s="509"/>
      <c r="L1061" s="510"/>
      <c r="M1061" s="510"/>
    </row>
    <row r="1062">
      <c r="A1062" s="507"/>
      <c r="B1062" s="507" t="s">
        <v>3034</v>
      </c>
      <c r="C1062" s="507" t="s">
        <v>3041</v>
      </c>
      <c r="D1062" s="507" t="s">
        <v>3042</v>
      </c>
      <c r="E1062" s="507" t="s">
        <v>3043</v>
      </c>
      <c r="F1062" s="507"/>
      <c r="G1062" s="508"/>
      <c r="H1062" s="509"/>
      <c r="I1062" s="509"/>
      <c r="J1062" s="509"/>
      <c r="K1062" s="509"/>
      <c r="L1062" s="510"/>
      <c r="M1062" s="510"/>
    </row>
    <row r="1063">
      <c r="A1063" s="507"/>
      <c r="B1063" s="507" t="s">
        <v>1632</v>
      </c>
      <c r="C1063" s="507" t="s">
        <v>3045</v>
      </c>
      <c r="D1063" s="507" t="s">
        <v>3046</v>
      </c>
      <c r="E1063" s="507" t="s">
        <v>3047</v>
      </c>
      <c r="F1063" s="507"/>
      <c r="G1063" s="508"/>
      <c r="H1063" s="509"/>
      <c r="I1063" s="509"/>
      <c r="J1063" s="509"/>
      <c r="K1063" s="509"/>
      <c r="L1063" s="510"/>
      <c r="M1063" s="510"/>
    </row>
    <row r="1064">
      <c r="A1064" s="507"/>
      <c r="B1064" s="507" t="s">
        <v>1632</v>
      </c>
      <c r="C1064" s="507" t="s">
        <v>3049</v>
      </c>
      <c r="D1064" s="507" t="s">
        <v>3051</v>
      </c>
      <c r="E1064" s="507" t="s">
        <v>3052</v>
      </c>
      <c r="F1064" s="507"/>
      <c r="G1064" s="508"/>
      <c r="H1064" s="509"/>
      <c r="I1064" s="509"/>
      <c r="J1064" s="509"/>
      <c r="K1064" s="509"/>
      <c r="L1064" s="510"/>
      <c r="M1064" s="510"/>
    </row>
    <row r="1065">
      <c r="A1065" s="507"/>
      <c r="B1065" s="507" t="s">
        <v>1632</v>
      </c>
      <c r="C1065" s="507" t="s">
        <v>3055</v>
      </c>
      <c r="D1065" s="507" t="s">
        <v>3056</v>
      </c>
      <c r="E1065" s="507" t="s">
        <v>3058</v>
      </c>
      <c r="F1065" s="507"/>
      <c r="G1065" s="508"/>
      <c r="H1065" s="509"/>
      <c r="I1065" s="509"/>
      <c r="J1065" s="509"/>
      <c r="K1065" s="509"/>
      <c r="L1065" s="510"/>
      <c r="M1065" s="510"/>
    </row>
    <row r="1066">
      <c r="A1066" s="507"/>
      <c r="B1066" s="507" t="s">
        <v>1632</v>
      </c>
      <c r="C1066" s="507" t="s">
        <v>3059</v>
      </c>
      <c r="D1066" s="507" t="s">
        <v>3060</v>
      </c>
      <c r="E1066" s="507" t="s">
        <v>3061</v>
      </c>
      <c r="F1066" s="507"/>
      <c r="G1066" s="508"/>
      <c r="H1066" s="509"/>
      <c r="I1066" s="509"/>
      <c r="J1066" s="509"/>
      <c r="K1066" s="509"/>
      <c r="L1066" s="510"/>
      <c r="M1066" s="510"/>
    </row>
    <row r="1067">
      <c r="A1067" s="507"/>
      <c r="B1067" s="507" t="s">
        <v>1635</v>
      </c>
      <c r="C1067" s="507" t="s">
        <v>3062</v>
      </c>
      <c r="D1067" s="507" t="s">
        <v>3063</v>
      </c>
      <c r="E1067" s="507" t="s">
        <v>3064</v>
      </c>
      <c r="F1067" s="507"/>
      <c r="G1067" s="508"/>
      <c r="H1067" s="509"/>
      <c r="I1067" s="509"/>
      <c r="J1067" s="509"/>
      <c r="K1067" s="509"/>
      <c r="L1067" s="510"/>
      <c r="M1067" s="510"/>
    </row>
    <row r="1068">
      <c r="A1068" s="507"/>
      <c r="B1068" s="507" t="s">
        <v>1635</v>
      </c>
      <c r="C1068" s="507" t="s">
        <v>3065</v>
      </c>
      <c r="D1068" s="507" t="s">
        <v>3066</v>
      </c>
      <c r="E1068" s="507" t="s">
        <v>3067</v>
      </c>
      <c r="F1068" s="507"/>
      <c r="G1068" s="508"/>
      <c r="H1068" s="509"/>
      <c r="I1068" s="509"/>
      <c r="J1068" s="509"/>
      <c r="K1068" s="509"/>
      <c r="L1068" s="510"/>
      <c r="M1068" s="510"/>
    </row>
    <row r="1069">
      <c r="A1069" s="507"/>
      <c r="B1069" s="507" t="s">
        <v>3068</v>
      </c>
      <c r="C1069" s="507" t="s">
        <v>3069</v>
      </c>
      <c r="D1069" s="507" t="s">
        <v>3070</v>
      </c>
      <c r="E1069" s="507" t="s">
        <v>3071</v>
      </c>
      <c r="F1069" s="507"/>
      <c r="G1069" s="508"/>
      <c r="H1069" s="509"/>
      <c r="I1069" s="509"/>
      <c r="J1069" s="509"/>
      <c r="K1069" s="509"/>
      <c r="L1069" s="510"/>
      <c r="M1069" s="510"/>
    </row>
    <row r="1070">
      <c r="A1070" s="507"/>
      <c r="B1070" s="507" t="s">
        <v>3068</v>
      </c>
      <c r="C1070" s="507" t="s">
        <v>3072</v>
      </c>
      <c r="D1070" s="507" t="s">
        <v>3073</v>
      </c>
      <c r="E1070" s="507" t="s">
        <v>3075</v>
      </c>
      <c r="F1070" s="507"/>
      <c r="G1070" s="508"/>
      <c r="H1070" s="509"/>
      <c r="I1070" s="509"/>
      <c r="J1070" s="509"/>
      <c r="K1070" s="509"/>
      <c r="L1070" s="510"/>
      <c r="M1070" s="510"/>
    </row>
    <row r="1071">
      <c r="A1071" s="507"/>
      <c r="B1071" s="507" t="s">
        <v>3076</v>
      </c>
      <c r="C1071" s="507" t="s">
        <v>3077</v>
      </c>
      <c r="D1071" s="507" t="s">
        <v>2821</v>
      </c>
      <c r="E1071" s="507" t="s">
        <v>3078</v>
      </c>
      <c r="F1071" s="507"/>
      <c r="G1071" s="508"/>
      <c r="H1071" s="509"/>
      <c r="I1071" s="509"/>
      <c r="J1071" s="509"/>
      <c r="K1071" s="509"/>
      <c r="L1071" s="510"/>
      <c r="M1071" s="510"/>
    </row>
    <row r="1072">
      <c r="A1072" s="507"/>
      <c r="B1072" s="507" t="s">
        <v>3076</v>
      </c>
      <c r="C1072" s="507" t="s">
        <v>3079</v>
      </c>
      <c r="D1072" s="507" t="s">
        <v>3080</v>
      </c>
      <c r="E1072" s="507" t="s">
        <v>3081</v>
      </c>
      <c r="F1072" s="507"/>
      <c r="G1072" s="508"/>
      <c r="H1072" s="509"/>
      <c r="I1072" s="509"/>
      <c r="J1072" s="509"/>
      <c r="K1072" s="509"/>
      <c r="L1072" s="510"/>
      <c r="M1072" s="510"/>
    </row>
    <row r="1073">
      <c r="A1073" s="507"/>
      <c r="B1073" s="507">
        <v>342.0</v>
      </c>
      <c r="C1073" s="507" t="s">
        <v>1650</v>
      </c>
      <c r="D1073" s="507" t="s">
        <v>1651</v>
      </c>
      <c r="E1073" s="507" t="s">
        <v>3083</v>
      </c>
      <c r="F1073" s="507"/>
      <c r="G1073" s="508"/>
      <c r="H1073" s="509"/>
      <c r="I1073" s="509"/>
      <c r="J1073" s="509"/>
      <c r="K1073" s="509"/>
      <c r="L1073" s="510"/>
      <c r="M1073" s="510"/>
    </row>
    <row r="1074">
      <c r="A1074" s="507"/>
      <c r="B1074" s="507">
        <v>343.0</v>
      </c>
      <c r="C1074" s="507" t="s">
        <v>1655</v>
      </c>
      <c r="D1074" s="507" t="s">
        <v>1656</v>
      </c>
      <c r="E1074" s="507" t="s">
        <v>3085</v>
      </c>
      <c r="F1074" s="507"/>
      <c r="G1074" s="508"/>
      <c r="H1074" s="509"/>
      <c r="I1074" s="509"/>
      <c r="J1074" s="509"/>
      <c r="K1074" s="509"/>
      <c r="L1074" s="510"/>
      <c r="M1074" s="510"/>
    </row>
    <row r="1075">
      <c r="A1075" s="507"/>
      <c r="B1075" s="507">
        <v>344.0</v>
      </c>
      <c r="C1075" s="507" t="s">
        <v>1657</v>
      </c>
      <c r="D1075" s="507" t="s">
        <v>1658</v>
      </c>
      <c r="E1075" s="507" t="s">
        <v>3086</v>
      </c>
      <c r="F1075" s="507"/>
      <c r="G1075" s="508"/>
      <c r="H1075" s="509"/>
      <c r="I1075" s="509"/>
      <c r="J1075" s="509"/>
      <c r="K1075" s="509"/>
      <c r="L1075" s="510"/>
      <c r="M1075" s="510"/>
    </row>
    <row r="1076">
      <c r="A1076" s="507"/>
      <c r="B1076" s="507">
        <v>345.0</v>
      </c>
      <c r="C1076" s="507" t="s">
        <v>1659</v>
      </c>
      <c r="D1076" s="507" t="s">
        <v>1660</v>
      </c>
      <c r="E1076" s="507" t="s">
        <v>3089</v>
      </c>
      <c r="F1076" s="507"/>
      <c r="G1076" s="508"/>
      <c r="H1076" s="509"/>
      <c r="I1076" s="509"/>
      <c r="J1076" s="509"/>
      <c r="K1076" s="509"/>
      <c r="L1076" s="510"/>
      <c r="M1076" s="510"/>
    </row>
    <row r="1077">
      <c r="A1077" s="507"/>
      <c r="B1077" s="507">
        <v>346.0</v>
      </c>
      <c r="C1077" s="507" t="s">
        <v>1661</v>
      </c>
      <c r="D1077" s="507" t="s">
        <v>1662</v>
      </c>
      <c r="E1077" s="507" t="s">
        <v>3092</v>
      </c>
      <c r="F1077" s="507"/>
      <c r="G1077" s="508"/>
      <c r="H1077" s="509"/>
      <c r="I1077" s="509"/>
      <c r="J1077" s="509"/>
      <c r="K1077" s="509"/>
      <c r="L1077" s="510"/>
      <c r="M1077" s="510"/>
    </row>
    <row r="1078">
      <c r="A1078" s="507"/>
      <c r="B1078" s="507">
        <v>347.0</v>
      </c>
      <c r="C1078" s="507" t="s">
        <v>1663</v>
      </c>
      <c r="D1078" s="507" t="s">
        <v>1664</v>
      </c>
      <c r="E1078" s="507" t="s">
        <v>3094</v>
      </c>
      <c r="F1078" s="507"/>
      <c r="G1078" s="508"/>
      <c r="H1078" s="509"/>
      <c r="I1078" s="509"/>
      <c r="J1078" s="509"/>
      <c r="K1078" s="509"/>
      <c r="L1078" s="510"/>
      <c r="M1078" s="510"/>
    </row>
    <row r="1079">
      <c r="A1079" s="507"/>
      <c r="B1079" s="507">
        <v>348.0</v>
      </c>
      <c r="C1079" s="507" t="s">
        <v>1665</v>
      </c>
      <c r="D1079" s="507" t="s">
        <v>1667</v>
      </c>
      <c r="E1079" s="507" t="s">
        <v>3096</v>
      </c>
      <c r="F1079" s="507"/>
      <c r="G1079" s="508"/>
      <c r="H1079" s="509"/>
      <c r="I1079" s="509"/>
      <c r="J1079" s="509"/>
      <c r="K1079" s="509"/>
      <c r="L1079" s="510"/>
      <c r="M1079" s="510"/>
    </row>
    <row r="1080">
      <c r="A1080" s="507"/>
      <c r="B1080" s="507">
        <v>349.0</v>
      </c>
      <c r="C1080" s="507" t="s">
        <v>84</v>
      </c>
      <c r="D1080" s="507" t="s">
        <v>1668</v>
      </c>
      <c r="E1080" s="507" t="s">
        <v>3098</v>
      </c>
      <c r="F1080" s="507"/>
      <c r="G1080" s="508"/>
      <c r="H1080" s="509"/>
      <c r="I1080" s="509"/>
      <c r="J1080" s="509"/>
      <c r="K1080" s="509"/>
      <c r="L1080" s="510"/>
      <c r="M1080" s="510"/>
    </row>
    <row r="1081">
      <c r="A1081" s="507"/>
      <c r="B1081" s="507">
        <v>350.0</v>
      </c>
      <c r="C1081" s="507" t="s">
        <v>1669</v>
      </c>
      <c r="D1081" s="507" t="s">
        <v>1670</v>
      </c>
      <c r="E1081" s="507" t="s">
        <v>3100</v>
      </c>
      <c r="F1081" s="507"/>
      <c r="G1081" s="508"/>
      <c r="H1081" s="509"/>
      <c r="I1081" s="509"/>
      <c r="J1081" s="509"/>
      <c r="K1081" s="509"/>
      <c r="L1081" s="510"/>
      <c r="M1081" s="510"/>
    </row>
    <row r="1082">
      <c r="A1082" s="507"/>
      <c r="B1082" s="507">
        <v>351.0</v>
      </c>
      <c r="C1082" s="507" t="s">
        <v>1671</v>
      </c>
      <c r="D1082" s="507" t="s">
        <v>1672</v>
      </c>
      <c r="E1082" s="507" t="s">
        <v>3102</v>
      </c>
      <c r="F1082" s="507"/>
      <c r="G1082" s="508"/>
      <c r="H1082" s="509"/>
      <c r="I1082" s="509"/>
      <c r="J1082" s="509"/>
      <c r="K1082" s="509"/>
      <c r="L1082" s="510"/>
      <c r="M1082" s="510"/>
    </row>
    <row r="1083">
      <c r="A1083" s="507"/>
      <c r="B1083" s="507">
        <v>352.0</v>
      </c>
      <c r="C1083" s="507" t="s">
        <v>1673</v>
      </c>
      <c r="D1083" s="507" t="s">
        <v>1674</v>
      </c>
      <c r="E1083" s="507" t="s">
        <v>3105</v>
      </c>
      <c r="F1083" s="507"/>
      <c r="G1083" s="508"/>
      <c r="H1083" s="509"/>
      <c r="I1083" s="509"/>
      <c r="J1083" s="509"/>
      <c r="K1083" s="509"/>
      <c r="L1083" s="510"/>
      <c r="M1083" s="510"/>
    </row>
    <row r="1084">
      <c r="A1084" s="507"/>
      <c r="B1084" s="507">
        <v>353.0</v>
      </c>
      <c r="C1084" s="507" t="s">
        <v>1678</v>
      </c>
      <c r="D1084" s="507" t="s">
        <v>1679</v>
      </c>
      <c r="E1084" s="507" t="s">
        <v>3107</v>
      </c>
      <c r="F1084" s="507"/>
      <c r="G1084" s="508"/>
      <c r="H1084" s="509"/>
      <c r="I1084" s="509"/>
      <c r="J1084" s="509"/>
      <c r="K1084" s="509"/>
      <c r="L1084" s="510"/>
      <c r="M1084" s="510"/>
    </row>
    <row r="1085">
      <c r="A1085" s="507"/>
      <c r="B1085" s="507">
        <v>354.0</v>
      </c>
      <c r="C1085" s="507" t="s">
        <v>1682</v>
      </c>
      <c r="D1085" s="507" t="s">
        <v>1683</v>
      </c>
      <c r="E1085" s="507" t="s">
        <v>3109</v>
      </c>
      <c r="F1085" s="507"/>
      <c r="G1085" s="508"/>
      <c r="H1085" s="509"/>
      <c r="I1085" s="509"/>
      <c r="J1085" s="509"/>
      <c r="K1085" s="509"/>
      <c r="L1085" s="510"/>
      <c r="M1085" s="510"/>
    </row>
    <row r="1086">
      <c r="A1086" s="507"/>
      <c r="B1086" s="507">
        <v>355.0</v>
      </c>
      <c r="C1086" s="507" t="s">
        <v>1685</v>
      </c>
      <c r="D1086" s="507" t="s">
        <v>1686</v>
      </c>
      <c r="E1086" s="507" t="s">
        <v>3110</v>
      </c>
      <c r="F1086" s="507"/>
      <c r="G1086" s="508"/>
      <c r="H1086" s="509"/>
      <c r="I1086" s="509"/>
      <c r="J1086" s="509"/>
      <c r="K1086" s="509"/>
      <c r="L1086" s="510"/>
      <c r="M1086" s="510"/>
    </row>
    <row r="1087">
      <c r="A1087" s="507"/>
      <c r="B1087" s="507">
        <v>356.0</v>
      </c>
      <c r="C1087" s="507" t="s">
        <v>1691</v>
      </c>
      <c r="D1087" s="507" t="s">
        <v>1692</v>
      </c>
      <c r="E1087" s="507" t="s">
        <v>3111</v>
      </c>
      <c r="F1087" s="507"/>
      <c r="G1087" s="508"/>
      <c r="H1087" s="509"/>
      <c r="I1087" s="509"/>
      <c r="J1087" s="509"/>
      <c r="K1087" s="509"/>
      <c r="L1087" s="510"/>
      <c r="M1087" s="510"/>
    </row>
    <row r="1088">
      <c r="A1088" s="507"/>
      <c r="B1088" s="507">
        <v>357.0</v>
      </c>
      <c r="C1088" s="507" t="s">
        <v>1694</v>
      </c>
      <c r="D1088" s="507" t="s">
        <v>1695</v>
      </c>
      <c r="E1088" s="507" t="s">
        <v>3112</v>
      </c>
      <c r="F1088" s="507"/>
      <c r="G1088" s="508"/>
      <c r="H1088" s="509"/>
      <c r="I1088" s="509"/>
      <c r="J1088" s="509"/>
      <c r="K1088" s="509"/>
      <c r="L1088" s="510"/>
      <c r="M1088" s="510"/>
    </row>
    <row r="1089">
      <c r="A1089" s="507"/>
      <c r="B1089" s="507">
        <v>358.0</v>
      </c>
      <c r="C1089" s="507" t="s">
        <v>1699</v>
      </c>
      <c r="D1089" s="507" t="s">
        <v>1700</v>
      </c>
      <c r="E1089" s="507" t="s">
        <v>3113</v>
      </c>
      <c r="F1089" s="507"/>
      <c r="G1089" s="508"/>
      <c r="H1089" s="509"/>
      <c r="I1089" s="509"/>
      <c r="J1089" s="509"/>
      <c r="K1089" s="509"/>
      <c r="L1089" s="510"/>
      <c r="M1089" s="510"/>
    </row>
    <row r="1090">
      <c r="A1090" s="507"/>
      <c r="B1090" s="507">
        <v>359.0</v>
      </c>
      <c r="C1090" s="507" t="s">
        <v>1701</v>
      </c>
      <c r="D1090" s="507" t="s">
        <v>1702</v>
      </c>
      <c r="E1090" s="507" t="s">
        <v>3114</v>
      </c>
      <c r="F1090" s="507"/>
      <c r="G1090" s="508"/>
      <c r="H1090" s="509"/>
      <c r="I1090" s="509"/>
      <c r="J1090" s="509"/>
      <c r="K1090" s="509"/>
      <c r="L1090" s="510"/>
      <c r="M1090" s="510"/>
    </row>
    <row r="1091">
      <c r="A1091" s="507"/>
      <c r="B1091" s="507">
        <v>360.0</v>
      </c>
      <c r="C1091" s="507" t="s">
        <v>1703</v>
      </c>
      <c r="D1091" s="507" t="s">
        <v>1703</v>
      </c>
      <c r="E1091" s="507" t="s">
        <v>3115</v>
      </c>
      <c r="F1091" s="507"/>
      <c r="G1091" s="508"/>
      <c r="H1091" s="509"/>
      <c r="I1091" s="509"/>
      <c r="J1091" s="509"/>
      <c r="K1091" s="509"/>
      <c r="L1091" s="510"/>
      <c r="M1091" s="510"/>
    </row>
    <row r="1092">
      <c r="A1092" s="507"/>
      <c r="B1092" s="507"/>
      <c r="C1092" s="507"/>
      <c r="D1092" s="507"/>
      <c r="E1092" s="507"/>
      <c r="F1092" s="507"/>
      <c r="G1092" s="508"/>
      <c r="H1092" s="509"/>
      <c r="I1092" s="509"/>
      <c r="J1092" s="509"/>
      <c r="K1092" s="509"/>
      <c r="L1092" s="510"/>
      <c r="M1092" s="510"/>
    </row>
  </sheetData>
  <hyperlinks>
    <hyperlink r:id="rId1" ref="H569"/>
    <hyperlink r:id="rId2" ref="H582"/>
  </hyperlinks>
  <printOptions/>
  <pageMargins bottom="0.75" footer="0.0" header="0.0" left="0.7" right="0.7" top="0.75"/>
  <pageSetup orientation="portrait"/>
  <drawing r:id="rId3"/>
  <tableParts count="1">
    <tablePart r:id="rId5"/>
  </tableParts>
</worksheet>
</file>