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aron\OneDrive\Documents\"/>
    </mc:Choice>
  </mc:AlternateContent>
  <xr:revisionPtr revIDLastSave="0" documentId="13_ncr:1_{FE691814-F0A0-4D2A-ACE0-14F40DE15FD2}" xr6:coauthVersionLast="47" xr6:coauthVersionMax="47" xr10:uidLastSave="{00000000-0000-0000-0000-000000000000}"/>
  <bookViews>
    <workbookView xWindow="1308" yWindow="0" windowWidth="21420" windowHeight="13200" xr2:uid="{E41A62B8-A3F6-40DA-BDBC-4DCE044C0FA4}"/>
  </bookViews>
  <sheets>
    <sheet name="List of Diseases" sheetId="1" r:id="rId1"/>
    <sheet name="Synonym Key" sheetId="2"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09" i="1" l="1"/>
  <c r="D708" i="1"/>
  <c r="D707" i="1"/>
  <c r="D706" i="1"/>
  <c r="T705" i="1"/>
  <c r="S705" i="1"/>
  <c r="U705" i="1" s="1"/>
  <c r="V705" i="1" s="1"/>
  <c r="D705" i="1"/>
  <c r="T704" i="1"/>
  <c r="S704" i="1"/>
  <c r="U704" i="1" s="1"/>
  <c r="V704" i="1" s="1"/>
  <c r="D704" i="1"/>
  <c r="D703" i="1"/>
  <c r="T702" i="1"/>
  <c r="S702" i="1"/>
  <c r="U702" i="1" s="1"/>
  <c r="V702" i="1" s="1"/>
  <c r="D702" i="1"/>
  <c r="D701" i="1"/>
  <c r="D700" i="1"/>
  <c r="S699" i="1"/>
  <c r="D699" i="1"/>
  <c r="U698" i="1"/>
  <c r="V698" i="1" s="1"/>
  <c r="D698" i="1"/>
  <c r="D697" i="1"/>
  <c r="T696" i="1"/>
  <c r="S696" i="1"/>
  <c r="U696" i="1" s="1"/>
  <c r="V696" i="1" s="1"/>
  <c r="D696" i="1"/>
  <c r="D695" i="1"/>
  <c r="T694" i="1"/>
  <c r="S694" i="1"/>
  <c r="U694" i="1" s="1"/>
  <c r="V694" i="1" s="1"/>
  <c r="D694" i="1"/>
  <c r="D693" i="1"/>
  <c r="S692" i="1"/>
  <c r="D692" i="1"/>
  <c r="D691" i="1"/>
  <c r="D690" i="1"/>
  <c r="D689" i="1"/>
  <c r="U688" i="1"/>
  <c r="V688" i="1" s="1"/>
  <c r="D688" i="1"/>
  <c r="D687" i="1"/>
  <c r="T686" i="1"/>
  <c r="S686" i="1"/>
  <c r="U686" i="1" s="1"/>
  <c r="V686" i="1" s="1"/>
  <c r="D686" i="1"/>
  <c r="D685" i="1"/>
  <c r="T684" i="1"/>
  <c r="S684" i="1"/>
  <c r="U684" i="1" s="1"/>
  <c r="V684" i="1" s="1"/>
  <c r="D684" i="1"/>
  <c r="T683" i="1"/>
  <c r="S683" i="1"/>
  <c r="U683" i="1" s="1"/>
  <c r="V683" i="1" s="1"/>
  <c r="D683" i="1"/>
  <c r="T682" i="1"/>
  <c r="S682" i="1"/>
  <c r="U682" i="1" s="1"/>
  <c r="V682" i="1" s="1"/>
  <c r="D682" i="1"/>
  <c r="T681" i="1"/>
  <c r="S681" i="1"/>
  <c r="U681" i="1" s="1"/>
  <c r="V681" i="1" s="1"/>
  <c r="D681" i="1"/>
  <c r="S680" i="1"/>
  <c r="D680" i="1"/>
  <c r="S679" i="1"/>
  <c r="D679" i="1"/>
  <c r="T678" i="1"/>
  <c r="S678" i="1"/>
  <c r="U678" i="1" s="1"/>
  <c r="V678" i="1" s="1"/>
  <c r="D678" i="1"/>
  <c r="V677" i="1"/>
  <c r="D677" i="1"/>
  <c r="T676" i="1"/>
  <c r="S676" i="1"/>
  <c r="U676" i="1" s="1"/>
  <c r="V676" i="1" s="1"/>
  <c r="D676" i="1"/>
  <c r="D675" i="1"/>
  <c r="V674" i="1"/>
  <c r="D674" i="1"/>
  <c r="T673" i="1"/>
  <c r="S673" i="1"/>
  <c r="U673" i="1" s="1"/>
  <c r="V673" i="1" s="1"/>
  <c r="D673" i="1"/>
  <c r="V672" i="1"/>
  <c r="D672" i="1"/>
  <c r="T671" i="1"/>
  <c r="S671" i="1"/>
  <c r="D671" i="1"/>
  <c r="D670" i="1"/>
  <c r="D669" i="1"/>
  <c r="T668" i="1"/>
  <c r="S668" i="1"/>
  <c r="U668" i="1" s="1"/>
  <c r="V668" i="1" s="1"/>
  <c r="D668" i="1"/>
  <c r="T667" i="1"/>
  <c r="S667" i="1"/>
  <c r="U667" i="1" s="1"/>
  <c r="V667" i="1" s="1"/>
  <c r="D667" i="1"/>
  <c r="D666" i="1"/>
  <c r="T665" i="1"/>
  <c r="S665" i="1"/>
  <c r="U665" i="1" s="1"/>
  <c r="V665" i="1" s="1"/>
  <c r="D665" i="1"/>
  <c r="T664" i="1"/>
  <c r="S664" i="1"/>
  <c r="U664" i="1" s="1"/>
  <c r="V664" i="1" s="1"/>
  <c r="D664" i="1"/>
  <c r="D663" i="1"/>
  <c r="D662" i="1"/>
  <c r="S661" i="1"/>
  <c r="D661" i="1"/>
  <c r="D660" i="1"/>
  <c r="D659" i="1"/>
  <c r="S658" i="1"/>
  <c r="D658" i="1"/>
  <c r="D657" i="1"/>
  <c r="D656" i="1"/>
  <c r="T655" i="1"/>
  <c r="S655" i="1"/>
  <c r="U655" i="1" s="1"/>
  <c r="V655" i="1" s="1"/>
  <c r="D655" i="1"/>
  <c r="S654" i="1"/>
  <c r="D654" i="1"/>
  <c r="S653" i="1"/>
  <c r="D653" i="1"/>
  <c r="D652" i="1"/>
  <c r="S651" i="1"/>
  <c r="D651" i="1"/>
  <c r="D650" i="1"/>
  <c r="S649" i="1"/>
  <c r="D649" i="1"/>
  <c r="D648" i="1"/>
  <c r="S647" i="1"/>
  <c r="D647" i="1"/>
  <c r="S646" i="1"/>
  <c r="D646" i="1"/>
  <c r="Q645" i="1"/>
  <c r="T645" i="1" s="1"/>
  <c r="P645" i="1"/>
  <c r="S645" i="1" s="1"/>
  <c r="D645" i="1"/>
  <c r="Q644" i="1"/>
  <c r="T644" i="1" s="1"/>
  <c r="P644" i="1"/>
  <c r="S644" i="1" s="1"/>
  <c r="D644" i="1"/>
  <c r="T643" i="1"/>
  <c r="S643" i="1"/>
  <c r="U643" i="1" s="1"/>
  <c r="V643" i="1" s="1"/>
  <c r="D643" i="1"/>
  <c r="T642" i="1"/>
  <c r="S642" i="1"/>
  <c r="U642" i="1" s="1"/>
  <c r="V642" i="1" s="1"/>
  <c r="D642" i="1"/>
  <c r="T641" i="1"/>
  <c r="S641" i="1"/>
  <c r="U641" i="1" s="1"/>
  <c r="V641" i="1" s="1"/>
  <c r="D641" i="1"/>
  <c r="D640" i="1"/>
  <c r="T639" i="1"/>
  <c r="S639" i="1"/>
  <c r="U639" i="1" s="1"/>
  <c r="V639" i="1" s="1"/>
  <c r="D639" i="1"/>
  <c r="T638" i="1"/>
  <c r="S638" i="1"/>
  <c r="U638" i="1" s="1"/>
  <c r="V638" i="1" s="1"/>
  <c r="D638" i="1"/>
  <c r="T637" i="1"/>
  <c r="S637" i="1"/>
  <c r="U637" i="1" s="1"/>
  <c r="V637" i="1" s="1"/>
  <c r="D637" i="1"/>
  <c r="S636" i="1"/>
  <c r="D636" i="1"/>
  <c r="D635" i="1"/>
  <c r="D634" i="1"/>
  <c r="D633" i="1"/>
  <c r="D632" i="1"/>
  <c r="U631" i="1"/>
  <c r="V631" i="1" s="1"/>
  <c r="D631" i="1"/>
  <c r="T630" i="1"/>
  <c r="S630" i="1"/>
  <c r="U630" i="1" s="1"/>
  <c r="V630" i="1" s="1"/>
  <c r="D630" i="1"/>
  <c r="T629" i="1"/>
  <c r="S629" i="1"/>
  <c r="U629" i="1" s="1"/>
  <c r="V629" i="1" s="1"/>
  <c r="D629" i="1"/>
  <c r="D628" i="1"/>
  <c r="T627" i="1"/>
  <c r="S627" i="1"/>
  <c r="D627" i="1"/>
  <c r="D626" i="1"/>
  <c r="T625" i="1"/>
  <c r="S625" i="1"/>
  <c r="U625" i="1" s="1"/>
  <c r="V625" i="1" s="1"/>
  <c r="D625" i="1"/>
  <c r="T624" i="1"/>
  <c r="S624" i="1"/>
  <c r="U624" i="1" s="1"/>
  <c r="V624" i="1" s="1"/>
  <c r="D624" i="1"/>
  <c r="D623" i="1"/>
  <c r="D622" i="1"/>
  <c r="D621" i="1"/>
  <c r="D620" i="1"/>
  <c r="S619" i="1"/>
  <c r="D619" i="1"/>
  <c r="D618" i="1"/>
  <c r="U617" i="1"/>
  <c r="V617" i="1" s="1"/>
  <c r="D617" i="1"/>
  <c r="D616" i="1"/>
  <c r="U615" i="1"/>
  <c r="V615" i="1" s="1"/>
  <c r="D615" i="1"/>
  <c r="U614" i="1"/>
  <c r="V614" i="1" s="1"/>
  <c r="D614" i="1"/>
  <c r="D613" i="1"/>
  <c r="D612" i="1"/>
  <c r="D611" i="1"/>
  <c r="D610" i="1"/>
  <c r="U609" i="1"/>
  <c r="V609" i="1" s="1"/>
  <c r="D609" i="1"/>
  <c r="D608" i="1"/>
  <c r="D607" i="1"/>
  <c r="D606" i="1"/>
  <c r="T605" i="1"/>
  <c r="S605" i="1"/>
  <c r="D605" i="1"/>
  <c r="D604" i="1"/>
  <c r="D603" i="1"/>
  <c r="S602" i="1"/>
  <c r="T602" i="1" s="1"/>
  <c r="D602" i="1"/>
  <c r="D601" i="1"/>
  <c r="D600" i="1"/>
  <c r="D599" i="1"/>
  <c r="D598" i="1"/>
  <c r="S597" i="1"/>
  <c r="D597" i="1"/>
  <c r="D596" i="1"/>
  <c r="S595" i="1"/>
  <c r="D595" i="1"/>
  <c r="S594" i="1"/>
  <c r="D594" i="1"/>
  <c r="D593" i="1"/>
  <c r="D592" i="1"/>
  <c r="T591" i="1"/>
  <c r="S591" i="1"/>
  <c r="U591" i="1" s="1"/>
  <c r="V591" i="1" s="1"/>
  <c r="D591" i="1"/>
  <c r="D590" i="1"/>
  <c r="D589" i="1"/>
  <c r="T588" i="1"/>
  <c r="S588" i="1"/>
  <c r="U588" i="1" s="1"/>
  <c r="V588" i="1" s="1"/>
  <c r="D588" i="1"/>
  <c r="D587" i="1"/>
  <c r="D586" i="1"/>
  <c r="D585" i="1"/>
  <c r="T584" i="1"/>
  <c r="S584" i="1"/>
  <c r="U584" i="1" s="1"/>
  <c r="V584" i="1" s="1"/>
  <c r="D584" i="1"/>
  <c r="V583" i="1"/>
  <c r="D583" i="1"/>
  <c r="T582" i="1"/>
  <c r="S582" i="1"/>
  <c r="U582" i="1" s="1"/>
  <c r="V582" i="1" s="1"/>
  <c r="D582" i="1"/>
  <c r="T581" i="1"/>
  <c r="S581" i="1"/>
  <c r="D581" i="1"/>
  <c r="D580" i="1"/>
  <c r="D579" i="1"/>
  <c r="D578" i="1"/>
  <c r="D577" i="1"/>
  <c r="D576" i="1"/>
  <c r="T575" i="1"/>
  <c r="S575" i="1"/>
  <c r="U575" i="1" s="1"/>
  <c r="V575" i="1" s="1"/>
  <c r="D575" i="1"/>
  <c r="D574" i="1"/>
  <c r="T573" i="1"/>
  <c r="S573" i="1"/>
  <c r="D573" i="1"/>
  <c r="D572" i="1"/>
  <c r="D571" i="1"/>
  <c r="D570" i="1"/>
  <c r="T569" i="1"/>
  <c r="S569" i="1"/>
  <c r="U569" i="1" s="1"/>
  <c r="V569" i="1" s="1"/>
  <c r="D569" i="1"/>
  <c r="D568" i="1"/>
  <c r="D567" i="1"/>
  <c r="S566" i="1"/>
  <c r="D566" i="1"/>
  <c r="D565" i="1"/>
  <c r="S564" i="1"/>
  <c r="D564" i="1"/>
  <c r="D563" i="1"/>
  <c r="D562" i="1"/>
  <c r="D561" i="1"/>
  <c r="D560" i="1"/>
  <c r="T559" i="1"/>
  <c r="S559" i="1"/>
  <c r="D559" i="1"/>
  <c r="D558" i="1"/>
  <c r="D557" i="1"/>
  <c r="S556" i="1"/>
  <c r="D556" i="1"/>
  <c r="S555" i="1"/>
  <c r="D555" i="1"/>
  <c r="S554" i="1"/>
  <c r="D554" i="1"/>
  <c r="D553" i="1"/>
  <c r="D552" i="1"/>
  <c r="D551" i="1"/>
  <c r="D550" i="1"/>
  <c r="D549" i="1"/>
  <c r="D548" i="1"/>
  <c r="S547" i="1"/>
  <c r="D547" i="1"/>
  <c r="D546" i="1"/>
  <c r="T545" i="1"/>
  <c r="S545" i="1"/>
  <c r="U545" i="1" s="1"/>
  <c r="V545" i="1" s="1"/>
  <c r="D545" i="1"/>
  <c r="T544" i="1"/>
  <c r="S544" i="1"/>
  <c r="U544" i="1" s="1"/>
  <c r="V544" i="1" s="1"/>
  <c r="D544" i="1"/>
  <c r="U543" i="1"/>
  <c r="V543" i="1" s="1"/>
  <c r="D543" i="1"/>
  <c r="U542" i="1"/>
  <c r="V542" i="1" s="1"/>
  <c r="D542" i="1"/>
  <c r="U541" i="1"/>
  <c r="V541" i="1" s="1"/>
  <c r="D541" i="1"/>
  <c r="D540" i="1"/>
  <c r="D539" i="1"/>
  <c r="D538" i="1"/>
  <c r="U537" i="1"/>
  <c r="V537" i="1" s="1"/>
  <c r="D537" i="1"/>
  <c r="D536" i="1"/>
  <c r="D535" i="1"/>
  <c r="D534" i="1"/>
  <c r="D533" i="1"/>
  <c r="D532" i="1"/>
  <c r="D531" i="1"/>
  <c r="D530" i="1"/>
  <c r="D529" i="1"/>
  <c r="U528" i="1"/>
  <c r="V528" i="1" s="1"/>
  <c r="D528" i="1"/>
  <c r="D527" i="1"/>
  <c r="D526" i="1"/>
  <c r="D525" i="1"/>
  <c r="D524" i="1"/>
  <c r="D523" i="1"/>
  <c r="D522" i="1"/>
  <c r="D521" i="1"/>
  <c r="U520" i="1"/>
  <c r="V520" i="1" s="1"/>
  <c r="D520" i="1"/>
  <c r="D519" i="1"/>
  <c r="D518" i="1"/>
  <c r="D517" i="1"/>
  <c r="S516" i="1"/>
  <c r="D516" i="1"/>
  <c r="D515" i="1"/>
  <c r="S514" i="1"/>
  <c r="D514" i="1"/>
  <c r="D513" i="1"/>
  <c r="D512" i="1"/>
  <c r="D511" i="1"/>
  <c r="D510" i="1"/>
  <c r="D509" i="1"/>
  <c r="D508" i="1"/>
  <c r="D507" i="1"/>
  <c r="D506" i="1"/>
  <c r="S505" i="1"/>
  <c r="D505" i="1"/>
  <c r="T504" i="1"/>
  <c r="S504" i="1"/>
  <c r="D504" i="1"/>
  <c r="T503" i="1"/>
  <c r="S503" i="1"/>
  <c r="U503" i="1" s="1"/>
  <c r="V503" i="1" s="1"/>
  <c r="D503" i="1"/>
  <c r="T502" i="1"/>
  <c r="S502" i="1"/>
  <c r="D502" i="1"/>
  <c r="T501" i="1"/>
  <c r="S501" i="1"/>
  <c r="U501" i="1" s="1"/>
  <c r="V501" i="1" s="1"/>
  <c r="D501" i="1"/>
  <c r="T500" i="1"/>
  <c r="S500" i="1"/>
  <c r="U500" i="1" s="1"/>
  <c r="V500" i="1" s="1"/>
  <c r="D500" i="1"/>
  <c r="T499" i="1"/>
  <c r="S499" i="1"/>
  <c r="U499" i="1" s="1"/>
  <c r="V499" i="1" s="1"/>
  <c r="D499" i="1"/>
  <c r="T498" i="1"/>
  <c r="S498" i="1"/>
  <c r="U498" i="1" s="1"/>
  <c r="V498" i="1" s="1"/>
  <c r="D498" i="1"/>
  <c r="D497" i="1"/>
  <c r="S496" i="1"/>
  <c r="D496" i="1"/>
  <c r="D495" i="1"/>
  <c r="D494" i="1"/>
  <c r="T493" i="1"/>
  <c r="S493" i="1"/>
  <c r="U493" i="1" s="1"/>
  <c r="V493" i="1" s="1"/>
  <c r="D493" i="1"/>
  <c r="D492" i="1"/>
  <c r="D491" i="1"/>
  <c r="D490" i="1"/>
  <c r="D489" i="1"/>
  <c r="D488" i="1"/>
  <c r="D487" i="1"/>
  <c r="P486" i="1"/>
  <c r="S486" i="1" s="1"/>
  <c r="D486" i="1"/>
  <c r="D485" i="1"/>
  <c r="D484" i="1"/>
  <c r="U483" i="1"/>
  <c r="V483" i="1" s="1"/>
  <c r="D483" i="1"/>
  <c r="U482" i="1"/>
  <c r="V482" i="1" s="1"/>
  <c r="D482" i="1"/>
  <c r="D481" i="1"/>
  <c r="D480" i="1"/>
  <c r="D479" i="1"/>
  <c r="D478" i="1"/>
  <c r="D477" i="1"/>
  <c r="D476" i="1"/>
  <c r="D475" i="1"/>
  <c r="D474" i="1"/>
  <c r="D473" i="1"/>
  <c r="D472" i="1"/>
  <c r="T471" i="1"/>
  <c r="S471" i="1"/>
  <c r="U471" i="1" s="1"/>
  <c r="V471" i="1" s="1"/>
  <c r="D471" i="1"/>
  <c r="D470" i="1"/>
  <c r="D469" i="1"/>
  <c r="D468" i="1"/>
  <c r="D467" i="1"/>
  <c r="D466" i="1"/>
  <c r="S465" i="1"/>
  <c r="D465" i="1"/>
  <c r="D464" i="1"/>
  <c r="S463" i="1"/>
  <c r="D463" i="1"/>
  <c r="D462" i="1"/>
  <c r="D461" i="1"/>
  <c r="D460" i="1"/>
  <c r="U459" i="1"/>
  <c r="V459" i="1" s="1"/>
  <c r="D459" i="1"/>
  <c r="D458" i="1"/>
  <c r="U457" i="1"/>
  <c r="V457" i="1" s="1"/>
  <c r="D457" i="1"/>
  <c r="D456" i="1"/>
  <c r="U455" i="1"/>
  <c r="V455" i="1" s="1"/>
  <c r="D455" i="1"/>
  <c r="D454" i="1"/>
  <c r="D453" i="1"/>
  <c r="D452" i="1"/>
  <c r="D451" i="1"/>
  <c r="D450" i="1"/>
  <c r="T449" i="1"/>
  <c r="S449" i="1"/>
  <c r="D449" i="1"/>
  <c r="D448" i="1"/>
  <c r="D447" i="1"/>
  <c r="T446" i="1"/>
  <c r="S446" i="1"/>
  <c r="D446" i="1"/>
  <c r="D445" i="1"/>
  <c r="D444" i="1"/>
  <c r="D443" i="1"/>
  <c r="D442" i="1"/>
  <c r="D441" i="1"/>
  <c r="D440" i="1"/>
  <c r="S439" i="1"/>
  <c r="D439" i="1"/>
  <c r="D438" i="1"/>
  <c r="S437" i="1"/>
  <c r="D437" i="1"/>
  <c r="D436" i="1"/>
  <c r="D435" i="1"/>
  <c r="S434" i="1"/>
  <c r="D434" i="1"/>
  <c r="D433" i="1"/>
  <c r="D432" i="1"/>
  <c r="D431" i="1"/>
  <c r="D430" i="1"/>
  <c r="D429" i="1"/>
  <c r="T428" i="1"/>
  <c r="S428" i="1"/>
  <c r="U428" i="1" s="1"/>
  <c r="V428" i="1" s="1"/>
  <c r="D428" i="1"/>
  <c r="T427" i="1"/>
  <c r="S427" i="1"/>
  <c r="U427" i="1" s="1"/>
  <c r="V427" i="1" s="1"/>
  <c r="D427" i="1"/>
  <c r="D426" i="1"/>
  <c r="D425" i="1"/>
  <c r="D424" i="1"/>
  <c r="D423" i="1"/>
  <c r="D422" i="1"/>
  <c r="D421" i="1"/>
  <c r="D420" i="1"/>
  <c r="T419" i="1"/>
  <c r="S419" i="1"/>
  <c r="U419" i="1" s="1"/>
  <c r="V419" i="1" s="1"/>
  <c r="D419" i="1"/>
  <c r="D418" i="1"/>
  <c r="D417" i="1"/>
  <c r="D416" i="1"/>
  <c r="D415" i="1"/>
  <c r="T414" i="1"/>
  <c r="S414" i="1"/>
  <c r="U414" i="1" s="1"/>
  <c r="V414" i="1" s="1"/>
  <c r="D414" i="1"/>
  <c r="D413" i="1"/>
  <c r="D412" i="1"/>
  <c r="D411" i="1"/>
  <c r="D410" i="1"/>
  <c r="D409" i="1"/>
  <c r="T408" i="1"/>
  <c r="S408" i="1"/>
  <c r="U408" i="1" s="1"/>
  <c r="V408" i="1" s="1"/>
  <c r="D408" i="1"/>
  <c r="T407" i="1"/>
  <c r="S407" i="1"/>
  <c r="U407" i="1" s="1"/>
  <c r="V407" i="1" s="1"/>
  <c r="D407" i="1"/>
  <c r="D406" i="1"/>
  <c r="D405" i="1"/>
  <c r="D404" i="1"/>
  <c r="D403" i="1"/>
  <c r="D402" i="1"/>
  <c r="D401" i="1"/>
  <c r="D400" i="1"/>
  <c r="T399" i="1"/>
  <c r="S399" i="1"/>
  <c r="U399" i="1" s="1"/>
  <c r="V399" i="1" s="1"/>
  <c r="D399" i="1"/>
  <c r="T398" i="1"/>
  <c r="S398" i="1"/>
  <c r="U398" i="1" s="1"/>
  <c r="V398" i="1" s="1"/>
  <c r="D398" i="1"/>
  <c r="D397" i="1"/>
  <c r="D396" i="1"/>
  <c r="U395" i="1"/>
  <c r="V395" i="1" s="1"/>
  <c r="D395" i="1"/>
  <c r="D394" i="1"/>
  <c r="T393" i="1"/>
  <c r="S393" i="1"/>
  <c r="U393" i="1" s="1"/>
  <c r="V393" i="1" s="1"/>
  <c r="D393" i="1"/>
  <c r="T392" i="1"/>
  <c r="S392" i="1"/>
  <c r="U392" i="1" s="1"/>
  <c r="V392" i="1" s="1"/>
  <c r="D392" i="1"/>
  <c r="D391" i="1"/>
  <c r="D390" i="1"/>
  <c r="D389" i="1"/>
  <c r="D388" i="1"/>
  <c r="S387" i="1"/>
  <c r="D387" i="1"/>
  <c r="U386" i="1"/>
  <c r="V386" i="1" s="1"/>
  <c r="D386" i="1"/>
  <c r="U385" i="1"/>
  <c r="V385" i="1" s="1"/>
  <c r="D385" i="1"/>
  <c r="Q384" i="1"/>
  <c r="T384" i="1" s="1"/>
  <c r="P384" i="1"/>
  <c r="S384" i="1" s="1"/>
  <c r="U384" i="1" s="1"/>
  <c r="V384" i="1" s="1"/>
  <c r="D384" i="1"/>
  <c r="D383" i="1"/>
  <c r="D382" i="1"/>
  <c r="D381" i="1"/>
  <c r="D380" i="1"/>
  <c r="D379" i="1"/>
  <c r="D378" i="1"/>
  <c r="U377" i="1"/>
  <c r="V377" i="1" s="1"/>
  <c r="D377" i="1"/>
  <c r="T376" i="1"/>
  <c r="S376" i="1"/>
  <c r="D376" i="1"/>
  <c r="D375" i="1"/>
  <c r="D374" i="1"/>
  <c r="T373" i="1"/>
  <c r="S373" i="1"/>
  <c r="D373" i="1"/>
  <c r="D372" i="1"/>
  <c r="D371" i="1"/>
  <c r="D370" i="1"/>
  <c r="U369" i="1"/>
  <c r="V369" i="1" s="1"/>
  <c r="D369" i="1"/>
  <c r="D368" i="1"/>
  <c r="S367" i="1"/>
  <c r="D367" i="1"/>
  <c r="D366" i="1"/>
  <c r="T365" i="1"/>
  <c r="S365" i="1"/>
  <c r="U365" i="1" s="1"/>
  <c r="V365" i="1" s="1"/>
  <c r="D365" i="1"/>
  <c r="D364" i="1"/>
  <c r="D363" i="1"/>
  <c r="D362" i="1"/>
  <c r="T361" i="1"/>
  <c r="S361" i="1"/>
  <c r="U361" i="1" s="1"/>
  <c r="V361" i="1" s="1"/>
  <c r="D361" i="1"/>
  <c r="D360" i="1"/>
  <c r="D359" i="1"/>
  <c r="D358" i="1"/>
  <c r="D357" i="1"/>
  <c r="D356" i="1"/>
  <c r="D355" i="1"/>
  <c r="D354" i="1"/>
  <c r="D353" i="1"/>
  <c r="T352" i="1"/>
  <c r="S352" i="1"/>
  <c r="U352" i="1" s="1"/>
  <c r="V352" i="1" s="1"/>
  <c r="D352" i="1"/>
  <c r="D351" i="1"/>
  <c r="D350" i="1"/>
  <c r="D349" i="1"/>
  <c r="T348" i="1"/>
  <c r="S348" i="1"/>
  <c r="D348" i="1"/>
  <c r="T347" i="1"/>
  <c r="S347" i="1"/>
  <c r="U347" i="1" s="1"/>
  <c r="V347" i="1" s="1"/>
  <c r="D347" i="1"/>
  <c r="D346" i="1"/>
  <c r="D345" i="1"/>
  <c r="D344" i="1"/>
  <c r="D343" i="1"/>
  <c r="D342" i="1"/>
  <c r="D341" i="1"/>
  <c r="S340" i="1"/>
  <c r="T340" i="1" s="1"/>
  <c r="D340" i="1"/>
  <c r="D339" i="1"/>
  <c r="D338" i="1"/>
  <c r="D337" i="1"/>
  <c r="D336" i="1"/>
  <c r="D335" i="1"/>
  <c r="D334" i="1"/>
  <c r="D333" i="1"/>
  <c r="D332" i="1"/>
  <c r="D331" i="1"/>
  <c r="D330" i="1"/>
  <c r="D329" i="1"/>
  <c r="D328" i="1"/>
  <c r="S327" i="1"/>
  <c r="D327" i="1"/>
  <c r="D326" i="1"/>
  <c r="D325" i="1"/>
  <c r="S324" i="1"/>
  <c r="T324" i="1" s="1"/>
  <c r="D324" i="1"/>
  <c r="D323" i="1"/>
  <c r="D322" i="1"/>
  <c r="S321" i="1"/>
  <c r="D321" i="1"/>
  <c r="D320" i="1"/>
  <c r="S319" i="1"/>
  <c r="T319" i="1" s="1"/>
  <c r="D319" i="1"/>
  <c r="S318" i="1"/>
  <c r="D318" i="1"/>
  <c r="D317" i="1"/>
  <c r="T316" i="1"/>
  <c r="S316" i="1"/>
  <c r="D316" i="1"/>
  <c r="T315" i="1"/>
  <c r="S315" i="1"/>
  <c r="U315" i="1" s="1"/>
  <c r="V315" i="1" s="1"/>
  <c r="D315" i="1"/>
  <c r="D314" i="1"/>
  <c r="D313" i="1"/>
  <c r="T312" i="1"/>
  <c r="S312" i="1"/>
  <c r="U312" i="1" s="1"/>
  <c r="V312" i="1" s="1"/>
  <c r="D312" i="1"/>
  <c r="D311" i="1"/>
  <c r="T310" i="1"/>
  <c r="S310" i="1"/>
  <c r="D310" i="1"/>
  <c r="T309" i="1"/>
  <c r="S309" i="1"/>
  <c r="U309" i="1" s="1"/>
  <c r="V309" i="1" s="1"/>
  <c r="D309" i="1"/>
  <c r="T308" i="1"/>
  <c r="S308" i="1"/>
  <c r="U308" i="1" s="1"/>
  <c r="V308" i="1" s="1"/>
  <c r="D308" i="1"/>
  <c r="D307" i="1"/>
  <c r="D306" i="1"/>
  <c r="T305" i="1"/>
  <c r="S305" i="1"/>
  <c r="U305" i="1" s="1"/>
  <c r="V305" i="1" s="1"/>
  <c r="D305" i="1"/>
  <c r="D304" i="1"/>
  <c r="T303" i="1"/>
  <c r="S303" i="1"/>
  <c r="U303" i="1" s="1"/>
  <c r="V303" i="1" s="1"/>
  <c r="D303" i="1"/>
  <c r="T302" i="1"/>
  <c r="S302" i="1"/>
  <c r="U302" i="1" s="1"/>
  <c r="V302" i="1" s="1"/>
  <c r="D302" i="1"/>
  <c r="D301" i="1"/>
  <c r="T300" i="1"/>
  <c r="S300" i="1"/>
  <c r="U300" i="1" s="1"/>
  <c r="V300" i="1" s="1"/>
  <c r="D300" i="1"/>
  <c r="D299" i="1"/>
  <c r="T298" i="1"/>
  <c r="S298" i="1"/>
  <c r="U298" i="1" s="1"/>
  <c r="V298" i="1" s="1"/>
  <c r="D298" i="1"/>
  <c r="D297" i="1"/>
  <c r="D296" i="1"/>
  <c r="D295" i="1"/>
  <c r="D294" i="1"/>
  <c r="D293" i="1"/>
  <c r="D292" i="1"/>
  <c r="D291" i="1"/>
  <c r="T290" i="1"/>
  <c r="S290" i="1"/>
  <c r="U290" i="1" s="1"/>
  <c r="V290" i="1" s="1"/>
  <c r="D290" i="1"/>
  <c r="D289" i="1"/>
  <c r="U288" i="1"/>
  <c r="V288" i="1" s="1"/>
  <c r="D288" i="1"/>
  <c r="D287" i="1"/>
  <c r="U286" i="1"/>
  <c r="V286" i="1" s="1"/>
  <c r="D286" i="1"/>
  <c r="D285" i="1"/>
  <c r="D284" i="1"/>
  <c r="T283" i="1"/>
  <c r="S283" i="1"/>
  <c r="U283" i="1" s="1"/>
  <c r="V283" i="1" s="1"/>
  <c r="D283" i="1"/>
  <c r="T282" i="1"/>
  <c r="S282" i="1"/>
  <c r="D282" i="1"/>
  <c r="D281" i="1"/>
  <c r="T280" i="1"/>
  <c r="S280" i="1"/>
  <c r="D280" i="1"/>
  <c r="T279" i="1"/>
  <c r="S279" i="1"/>
  <c r="D279" i="1"/>
  <c r="T278" i="1"/>
  <c r="S278" i="1"/>
  <c r="D278" i="1"/>
  <c r="T277" i="1"/>
  <c r="S277" i="1"/>
  <c r="D277" i="1"/>
  <c r="T276" i="1"/>
  <c r="S276" i="1"/>
  <c r="D276" i="1"/>
  <c r="D275" i="1"/>
  <c r="D274" i="1"/>
  <c r="D273" i="1"/>
  <c r="D272" i="1"/>
  <c r="D271" i="1"/>
  <c r="D270" i="1"/>
  <c r="S269" i="1"/>
  <c r="D269" i="1"/>
  <c r="D268" i="1"/>
  <c r="D267" i="1"/>
  <c r="D266" i="1"/>
  <c r="T265" i="1"/>
  <c r="S265" i="1"/>
  <c r="D265" i="1"/>
  <c r="U264" i="1"/>
  <c r="V264" i="1" s="1"/>
  <c r="D264" i="1"/>
  <c r="U263" i="1"/>
  <c r="V263" i="1" s="1"/>
  <c r="D263" i="1"/>
  <c r="D262" i="1"/>
  <c r="S261" i="1"/>
  <c r="D261" i="1"/>
  <c r="D260" i="1"/>
  <c r="S259" i="1"/>
  <c r="D259" i="1"/>
  <c r="T258" i="1"/>
  <c r="S258" i="1"/>
  <c r="D258" i="1"/>
  <c r="D257" i="1"/>
  <c r="D256" i="1"/>
  <c r="T255" i="1"/>
  <c r="S255" i="1"/>
  <c r="U255" i="1" s="1"/>
  <c r="V255" i="1" s="1"/>
  <c r="D255" i="1"/>
  <c r="T254" i="1"/>
  <c r="S254" i="1"/>
  <c r="U254" i="1" s="1"/>
  <c r="V254" i="1" s="1"/>
  <c r="D254" i="1"/>
  <c r="T253" i="1"/>
  <c r="S253" i="1"/>
  <c r="U253" i="1" s="1"/>
  <c r="V253" i="1" s="1"/>
  <c r="D253" i="1"/>
  <c r="D252" i="1"/>
  <c r="D251" i="1"/>
  <c r="U250" i="1"/>
  <c r="V250" i="1" s="1"/>
  <c r="D250" i="1"/>
  <c r="D249" i="1"/>
  <c r="D248" i="1"/>
  <c r="T247" i="1"/>
  <c r="S247" i="1"/>
  <c r="D247" i="1"/>
  <c r="D246" i="1"/>
  <c r="S245" i="1"/>
  <c r="D245" i="1"/>
  <c r="T244" i="1"/>
  <c r="S244" i="1"/>
  <c r="U244" i="1" s="1"/>
  <c r="V244" i="1" s="1"/>
  <c r="D244" i="1"/>
  <c r="D243" i="1"/>
  <c r="T242" i="1"/>
  <c r="S242" i="1"/>
  <c r="U242" i="1" s="1"/>
  <c r="V242" i="1" s="1"/>
  <c r="D242" i="1"/>
  <c r="D241" i="1"/>
  <c r="D240" i="1"/>
  <c r="U239" i="1"/>
  <c r="V239" i="1" s="1"/>
  <c r="D239" i="1"/>
  <c r="D238" i="1"/>
  <c r="D237" i="1"/>
  <c r="D236" i="1"/>
  <c r="D235" i="1"/>
  <c r="T234" i="1"/>
  <c r="S234" i="1"/>
  <c r="U234" i="1" s="1"/>
  <c r="V234" i="1" s="1"/>
  <c r="D234" i="1"/>
  <c r="D233" i="1"/>
  <c r="T232" i="1"/>
  <c r="S232" i="1"/>
  <c r="D232" i="1"/>
  <c r="D231" i="1"/>
  <c r="T230" i="1"/>
  <c r="S230" i="1"/>
  <c r="U230" i="1" s="1"/>
  <c r="V230" i="1" s="1"/>
  <c r="D230" i="1"/>
  <c r="T229" i="1"/>
  <c r="S229" i="1"/>
  <c r="U229" i="1" s="1"/>
  <c r="V229" i="1" s="1"/>
  <c r="D229" i="1"/>
  <c r="D228" i="1"/>
  <c r="D227" i="1"/>
  <c r="D226" i="1"/>
  <c r="T225" i="1"/>
  <c r="S225" i="1"/>
  <c r="D225" i="1"/>
  <c r="S224" i="1"/>
  <c r="D224" i="1"/>
  <c r="S223" i="1"/>
  <c r="D223" i="1"/>
  <c r="D222" i="1"/>
  <c r="D221" i="1"/>
  <c r="D220" i="1"/>
  <c r="D219" i="1"/>
  <c r="T218" i="1"/>
  <c r="S218" i="1"/>
  <c r="U218" i="1" s="1"/>
  <c r="V218" i="1" s="1"/>
  <c r="D218" i="1"/>
  <c r="T217" i="1"/>
  <c r="S217" i="1"/>
  <c r="U217" i="1" s="1"/>
  <c r="V217" i="1" s="1"/>
  <c r="D217" i="1"/>
  <c r="D216" i="1"/>
  <c r="D215" i="1"/>
  <c r="D214" i="1"/>
  <c r="D213" i="1"/>
  <c r="D212" i="1"/>
  <c r="D211" i="1"/>
  <c r="T210" i="1"/>
  <c r="S210" i="1"/>
  <c r="D210" i="1"/>
  <c r="D209" i="1"/>
  <c r="D208" i="1"/>
  <c r="D207" i="1"/>
  <c r="S206" i="1"/>
  <c r="D206" i="1"/>
  <c r="D205" i="1"/>
  <c r="D204" i="1"/>
  <c r="D203" i="1"/>
  <c r="D202" i="1"/>
  <c r="D201" i="1"/>
  <c r="D200" i="1"/>
  <c r="T199" i="1"/>
  <c r="S199" i="1"/>
  <c r="U199" i="1" s="1"/>
  <c r="V199" i="1" s="1"/>
  <c r="D199" i="1"/>
  <c r="D198" i="1"/>
  <c r="D197" i="1"/>
  <c r="D196" i="1"/>
  <c r="D195" i="1"/>
  <c r="D194" i="1"/>
  <c r="D193" i="1"/>
  <c r="D192" i="1"/>
  <c r="S191" i="1"/>
  <c r="D191" i="1"/>
  <c r="D190" i="1"/>
  <c r="D189" i="1"/>
  <c r="D188" i="1"/>
  <c r="D187" i="1"/>
  <c r="S186" i="1"/>
  <c r="D186" i="1"/>
  <c r="D185" i="1"/>
  <c r="D184" i="1"/>
  <c r="U183" i="1"/>
  <c r="V183" i="1" s="1"/>
  <c r="D183" i="1"/>
  <c r="D182" i="1"/>
  <c r="D181" i="1"/>
  <c r="D180" i="1"/>
  <c r="D179" i="1"/>
  <c r="T178" i="1"/>
  <c r="S178" i="1"/>
  <c r="U178" i="1" s="1"/>
  <c r="V178" i="1" s="1"/>
  <c r="D178" i="1"/>
  <c r="S177" i="1"/>
  <c r="D177" i="1"/>
  <c r="D176" i="1"/>
  <c r="D175" i="1"/>
  <c r="D174" i="1"/>
  <c r="U173" i="1"/>
  <c r="V173" i="1" s="1"/>
  <c r="D173" i="1"/>
  <c r="U172" i="1"/>
  <c r="V172" i="1" s="1"/>
  <c r="D172" i="1"/>
  <c r="D171" i="1"/>
  <c r="D170" i="1"/>
  <c r="D169" i="1"/>
  <c r="D168" i="1"/>
  <c r="T167" i="1"/>
  <c r="S167" i="1"/>
  <c r="D167" i="1"/>
  <c r="D166" i="1"/>
  <c r="D165" i="1"/>
  <c r="T164" i="1"/>
  <c r="S164" i="1"/>
  <c r="U164" i="1" s="1"/>
  <c r="V164" i="1" s="1"/>
  <c r="D164" i="1"/>
  <c r="T163" i="1"/>
  <c r="S163" i="1"/>
  <c r="U163" i="1" s="1"/>
  <c r="V163" i="1" s="1"/>
  <c r="D163" i="1"/>
  <c r="T162" i="1"/>
  <c r="S162" i="1"/>
  <c r="U162" i="1" s="1"/>
  <c r="V162" i="1" s="1"/>
  <c r="D162" i="1"/>
  <c r="D161" i="1"/>
  <c r="T160" i="1"/>
  <c r="S160" i="1"/>
  <c r="D160" i="1"/>
  <c r="T159" i="1"/>
  <c r="S159" i="1"/>
  <c r="U159" i="1" s="1"/>
  <c r="V159" i="1" s="1"/>
  <c r="D159" i="1"/>
  <c r="D158" i="1"/>
  <c r="D157" i="1"/>
  <c r="D156" i="1"/>
  <c r="D155" i="1"/>
  <c r="D154" i="1"/>
  <c r="T153" i="1"/>
  <c r="S153" i="1"/>
  <c r="U153" i="1" s="1"/>
  <c r="V153" i="1" s="1"/>
  <c r="D153" i="1"/>
  <c r="D152" i="1"/>
  <c r="S151" i="1"/>
  <c r="D151" i="1"/>
  <c r="S150" i="1"/>
  <c r="D150" i="1"/>
  <c r="S149" i="1"/>
  <c r="D149" i="1"/>
  <c r="S148" i="1"/>
  <c r="D148" i="1"/>
  <c r="D147" i="1"/>
  <c r="D146" i="1"/>
  <c r="D145" i="1"/>
  <c r="D144" i="1"/>
  <c r="D143" i="1"/>
  <c r="T142" i="1"/>
  <c r="S142" i="1"/>
  <c r="U142" i="1" s="1"/>
  <c r="V142" i="1" s="1"/>
  <c r="D142" i="1"/>
  <c r="D141" i="1"/>
  <c r="D140" i="1"/>
  <c r="D139" i="1"/>
  <c r="D138" i="1"/>
  <c r="S137" i="1"/>
  <c r="D137" i="1"/>
  <c r="S136" i="1"/>
  <c r="D136" i="1"/>
  <c r="D135" i="1"/>
  <c r="D134" i="1"/>
  <c r="D133" i="1"/>
  <c r="D132" i="1"/>
  <c r="U131" i="1"/>
  <c r="V131" i="1" s="1"/>
  <c r="D131" i="1"/>
  <c r="D130" i="1"/>
  <c r="S129" i="1"/>
  <c r="D129" i="1"/>
  <c r="D128" i="1"/>
  <c r="D127" i="1"/>
  <c r="D126" i="1"/>
  <c r="S125" i="1"/>
  <c r="D125" i="1"/>
  <c r="D124" i="1"/>
  <c r="D123" i="1"/>
  <c r="T122" i="1"/>
  <c r="S122" i="1"/>
  <c r="U122" i="1" s="1"/>
  <c r="V122" i="1" s="1"/>
  <c r="D122" i="1"/>
  <c r="D121" i="1"/>
  <c r="T120" i="1"/>
  <c r="S120" i="1"/>
  <c r="U120" i="1" s="1"/>
  <c r="V120" i="1" s="1"/>
  <c r="D120" i="1"/>
  <c r="D119" i="1"/>
  <c r="D118" i="1"/>
  <c r="D117" i="1"/>
  <c r="D116" i="1"/>
  <c r="D115" i="1"/>
  <c r="D114" i="1"/>
  <c r="U113" i="1"/>
  <c r="V113" i="1" s="1"/>
  <c r="D113" i="1"/>
  <c r="U112" i="1"/>
  <c r="V112" i="1" s="1"/>
  <c r="D112" i="1"/>
  <c r="D111" i="1"/>
  <c r="D110" i="1"/>
  <c r="S109" i="1"/>
  <c r="D109" i="1"/>
  <c r="D108" i="1"/>
  <c r="D107" i="1"/>
  <c r="D106" i="1"/>
  <c r="S105" i="1"/>
  <c r="D105" i="1"/>
  <c r="D104" i="1"/>
  <c r="S103" i="1"/>
  <c r="D103" i="1"/>
  <c r="D102" i="1"/>
  <c r="D101" i="1"/>
  <c r="S100" i="1"/>
  <c r="D100" i="1"/>
  <c r="D99" i="1"/>
  <c r="U98" i="1"/>
  <c r="V98" i="1" s="1"/>
  <c r="D98" i="1"/>
  <c r="S97" i="1"/>
  <c r="D97" i="1"/>
  <c r="S96" i="1"/>
  <c r="D96" i="1"/>
  <c r="S95" i="1"/>
  <c r="D95" i="1"/>
  <c r="S94" i="1"/>
  <c r="D94" i="1"/>
  <c r="S93" i="1"/>
  <c r="D93" i="1"/>
  <c r="D92" i="1"/>
  <c r="T91" i="1"/>
  <c r="S91" i="1"/>
  <c r="U91" i="1" s="1"/>
  <c r="V91" i="1" s="1"/>
  <c r="D91" i="1"/>
  <c r="U90" i="1"/>
  <c r="V90" i="1" s="1"/>
  <c r="D90" i="1"/>
  <c r="D89" i="1"/>
  <c r="D88" i="1"/>
  <c r="D87" i="1"/>
  <c r="U86" i="1"/>
  <c r="V86" i="1" s="1"/>
  <c r="D86" i="1"/>
  <c r="S85" i="1"/>
  <c r="D85" i="1"/>
  <c r="D84" i="1"/>
  <c r="D83" i="1"/>
  <c r="S82" i="1"/>
  <c r="D82" i="1"/>
  <c r="S81" i="1"/>
  <c r="D81" i="1"/>
  <c r="D80" i="1"/>
  <c r="D79" i="1"/>
  <c r="S78" i="1"/>
  <c r="D78" i="1"/>
  <c r="U77" i="1"/>
  <c r="V77" i="1" s="1"/>
  <c r="D77" i="1"/>
  <c r="D76" i="1"/>
  <c r="U75" i="1"/>
  <c r="V75" i="1" s="1"/>
  <c r="D75" i="1"/>
  <c r="S74" i="1"/>
  <c r="D74" i="1"/>
  <c r="S73" i="1"/>
  <c r="D73" i="1"/>
  <c r="D72" i="1"/>
  <c r="U71" i="1"/>
  <c r="V71" i="1" s="1"/>
  <c r="D71" i="1"/>
  <c r="D70" i="1"/>
  <c r="T69" i="1"/>
  <c r="S69" i="1"/>
  <c r="D69" i="1"/>
  <c r="S68" i="1"/>
  <c r="D68" i="1"/>
  <c r="D67" i="1"/>
  <c r="T66" i="1"/>
  <c r="S66" i="1"/>
  <c r="U66" i="1" s="1"/>
  <c r="V66" i="1" s="1"/>
  <c r="D66" i="1"/>
  <c r="D65" i="1"/>
  <c r="T64" i="1"/>
  <c r="S64" i="1"/>
  <c r="D64" i="1"/>
  <c r="D63" i="1"/>
  <c r="D62" i="1"/>
  <c r="T61" i="1"/>
  <c r="S61" i="1"/>
  <c r="U61" i="1" s="1"/>
  <c r="V61" i="1" s="1"/>
  <c r="D61" i="1"/>
  <c r="D60" i="1"/>
  <c r="D59" i="1"/>
  <c r="D58" i="1"/>
  <c r="D57" i="1"/>
  <c r="T56" i="1"/>
  <c r="S56" i="1"/>
  <c r="U56" i="1" s="1"/>
  <c r="V56" i="1" s="1"/>
  <c r="D56" i="1"/>
  <c r="T55" i="1"/>
  <c r="S55" i="1"/>
  <c r="U55" i="1" s="1"/>
  <c r="V55" i="1" s="1"/>
  <c r="D55" i="1"/>
  <c r="D54" i="1"/>
  <c r="T53" i="1"/>
  <c r="S53" i="1"/>
  <c r="U53" i="1" s="1"/>
  <c r="V53" i="1" s="1"/>
  <c r="D53" i="1"/>
  <c r="D52" i="1"/>
  <c r="D51" i="1"/>
  <c r="D50" i="1"/>
  <c r="D49" i="1"/>
  <c r="T48" i="1"/>
  <c r="S48" i="1"/>
  <c r="U48" i="1" s="1"/>
  <c r="V48" i="1" s="1"/>
  <c r="D48" i="1"/>
  <c r="T47" i="1"/>
  <c r="S47" i="1"/>
  <c r="U47" i="1" s="1"/>
  <c r="V47" i="1" s="1"/>
  <c r="D47" i="1"/>
  <c r="D46" i="1"/>
  <c r="D45" i="1"/>
  <c r="D44" i="1"/>
  <c r="D43" i="1"/>
  <c r="D42" i="1"/>
  <c r="D41" i="1"/>
  <c r="S40" i="1"/>
  <c r="D40" i="1"/>
  <c r="T39" i="1"/>
  <c r="S39" i="1"/>
  <c r="D39" i="1"/>
  <c r="D38" i="1"/>
  <c r="T37" i="1"/>
  <c r="S37" i="1"/>
  <c r="U37" i="1" s="1"/>
  <c r="V37" i="1" s="1"/>
  <c r="D37" i="1"/>
  <c r="D36" i="1"/>
  <c r="T35" i="1"/>
  <c r="S35" i="1"/>
  <c r="U35" i="1" s="1"/>
  <c r="V35" i="1" s="1"/>
  <c r="D35" i="1"/>
  <c r="D34" i="1"/>
  <c r="T33" i="1"/>
  <c r="S33" i="1"/>
  <c r="D33" i="1"/>
  <c r="D32" i="1"/>
  <c r="T31" i="1"/>
  <c r="S31" i="1"/>
  <c r="D31" i="1"/>
  <c r="T30" i="1"/>
  <c r="S30" i="1"/>
  <c r="U30" i="1" s="1"/>
  <c r="V30" i="1" s="1"/>
  <c r="D30" i="1"/>
  <c r="D29" i="1"/>
  <c r="T28" i="1"/>
  <c r="S28" i="1"/>
  <c r="D28" i="1"/>
  <c r="D27" i="1"/>
  <c r="T26" i="1"/>
  <c r="S26" i="1"/>
  <c r="U26" i="1" s="1"/>
  <c r="V26" i="1" s="1"/>
  <c r="D26" i="1"/>
  <c r="S25" i="1"/>
  <c r="D25" i="1"/>
  <c r="S24" i="1"/>
  <c r="D24" i="1"/>
  <c r="D23" i="1"/>
  <c r="D22" i="1"/>
  <c r="S21" i="1"/>
  <c r="T21" i="1" s="1"/>
  <c r="U21" i="1" s="1"/>
  <c r="V21" i="1" s="1"/>
  <c r="D21" i="1"/>
  <c r="D20" i="1"/>
  <c r="D19" i="1"/>
  <c r="S18" i="1"/>
  <c r="D18" i="1"/>
  <c r="D17" i="1"/>
  <c r="S16" i="1"/>
  <c r="D16" i="1"/>
  <c r="D15" i="1"/>
  <c r="D14" i="1"/>
  <c r="T13" i="1"/>
  <c r="S13" i="1"/>
  <c r="D13" i="1"/>
  <c r="T12" i="1"/>
  <c r="S12" i="1"/>
  <c r="D12" i="1"/>
  <c r="T11" i="1"/>
  <c r="S11" i="1"/>
  <c r="U11" i="1" s="1"/>
  <c r="V11" i="1" s="1"/>
  <c r="D11" i="1"/>
  <c r="T10" i="1"/>
  <c r="S10" i="1"/>
  <c r="D10" i="1"/>
  <c r="D9" i="1"/>
  <c r="S8" i="1"/>
  <c r="D8" i="1"/>
  <c r="D7" i="1"/>
  <c r="D6" i="1"/>
  <c r="D5" i="1"/>
  <c r="T4" i="1"/>
  <c r="S4" i="1"/>
  <c r="U4" i="1" s="1"/>
  <c r="V4" i="1" s="1"/>
  <c r="D4" i="1"/>
  <c r="U316" i="1" l="1"/>
  <c r="V316" i="1" s="1"/>
  <c r="U247" i="1"/>
  <c r="V247" i="1" s="1"/>
  <c r="U12" i="1"/>
  <c r="V12" i="1" s="1"/>
  <c r="U258" i="1"/>
  <c r="V258" i="1" s="1"/>
  <c r="U167" i="1"/>
  <c r="V167" i="1" s="1"/>
  <c r="U210" i="1"/>
  <c r="V210" i="1" s="1"/>
  <c r="U573" i="1"/>
  <c r="V573" i="1" s="1"/>
  <c r="U279" i="1"/>
  <c r="V279" i="1" s="1"/>
  <c r="U69" i="1"/>
  <c r="V69" i="1" s="1"/>
  <c r="U282" i="1"/>
  <c r="V282" i="1" s="1"/>
  <c r="U671" i="1"/>
  <c r="V671" i="1" s="1"/>
  <c r="U605" i="1"/>
  <c r="V605" i="1" s="1"/>
  <c r="U449" i="1"/>
  <c r="V449" i="1" s="1"/>
  <c r="U310" i="1"/>
  <c r="V310" i="1" s="1"/>
  <c r="U280" i="1"/>
  <c r="V280" i="1" s="1"/>
  <c r="U278" i="1"/>
  <c r="V278" i="1" s="1"/>
  <c r="U276" i="1"/>
  <c r="V276" i="1" s="1"/>
  <c r="U33" i="1"/>
  <c r="V33" i="1" s="1"/>
  <c r="U348" i="1"/>
  <c r="V348" i="1" s="1"/>
  <c r="U376" i="1"/>
  <c r="V376" i="1" s="1"/>
  <c r="U13" i="1"/>
  <c r="V13" i="1" s="1"/>
  <c r="U645" i="1"/>
  <c r="V645" i="1" s="1"/>
  <c r="U644" i="1"/>
  <c r="V644" i="1" s="1"/>
  <c r="U627" i="1"/>
  <c r="V627" i="1" s="1"/>
  <c r="U373" i="1"/>
  <c r="V373" i="1" s="1"/>
  <c r="U232" i="1"/>
  <c r="V232" i="1" s="1"/>
  <c r="U39" i="1"/>
  <c r="V39" i="1" s="1"/>
  <c r="U31" i="1"/>
  <c r="V31" i="1" s="1"/>
  <c r="U28" i="1"/>
  <c r="V28" i="1" s="1"/>
  <c r="U10" i="1"/>
  <c r="V10" i="1" s="1"/>
  <c r="U502" i="1"/>
  <c r="V502" i="1" s="1"/>
  <c r="U64" i="1"/>
  <c r="V64" i="1" s="1"/>
  <c r="U559" i="1"/>
  <c r="V559" i="1" s="1"/>
  <c r="U504" i="1"/>
  <c r="V504" i="1" s="1"/>
  <c r="U277" i="1"/>
  <c r="V277" i="1" s="1"/>
  <c r="U225" i="1"/>
  <c r="V225" i="1" s="1"/>
  <c r="U265" i="1"/>
  <c r="V265" i="1" s="1"/>
  <c r="U160" i="1"/>
  <c r="V160" i="1" s="1"/>
  <c r="U581" i="1"/>
  <c r="V581" i="1" s="1"/>
  <c r="U340" i="1"/>
  <c r="V340" i="1" s="1"/>
  <c r="U324" i="1"/>
  <c r="V324" i="1" s="1"/>
  <c r="U319" i="1"/>
  <c r="V319" i="1" s="1"/>
  <c r="U602" i="1"/>
  <c r="V602" i="1" s="1"/>
  <c r="U446" i="1"/>
  <c r="V446" i="1" s="1"/>
  <c r="T699" i="1"/>
  <c r="U699" i="1" s="1"/>
  <c r="V699" i="1" s="1"/>
  <c r="T692" i="1"/>
  <c r="U692" i="1" s="1"/>
  <c r="V692" i="1" s="1"/>
  <c r="T680" i="1"/>
  <c r="U680" i="1" s="1"/>
  <c r="V680" i="1" s="1"/>
  <c r="T679" i="1"/>
  <c r="U679" i="1" s="1"/>
  <c r="V679" i="1" s="1"/>
  <c r="T661" i="1"/>
  <c r="U661" i="1"/>
  <c r="V661" i="1" s="1"/>
  <c r="T658" i="1"/>
  <c r="U658" i="1" s="1"/>
  <c r="V658" i="1" s="1"/>
  <c r="T654" i="1"/>
  <c r="U654" i="1"/>
  <c r="V654" i="1" s="1"/>
  <c r="T653" i="1"/>
  <c r="U653" i="1"/>
  <c r="V653" i="1" s="1"/>
  <c r="T651" i="1"/>
  <c r="U651" i="1" s="1"/>
  <c r="V651" i="1" s="1"/>
  <c r="T649" i="1"/>
  <c r="U649" i="1" s="1"/>
  <c r="V649" i="1" s="1"/>
  <c r="T647" i="1"/>
  <c r="U647" i="1" s="1"/>
  <c r="V647" i="1" s="1"/>
  <c r="T646" i="1"/>
  <c r="U646" i="1" s="1"/>
  <c r="V646" i="1" s="1"/>
  <c r="T636" i="1"/>
  <c r="U636" i="1" s="1"/>
  <c r="V636" i="1" s="1"/>
  <c r="T619" i="1"/>
  <c r="U619" i="1" s="1"/>
  <c r="V619" i="1" s="1"/>
  <c r="T597" i="1"/>
  <c r="U597" i="1"/>
  <c r="V597" i="1" s="1"/>
  <c r="T595" i="1"/>
  <c r="U595" i="1" s="1"/>
  <c r="V595" i="1" s="1"/>
  <c r="T594" i="1"/>
  <c r="U594" i="1"/>
  <c r="V594" i="1" s="1"/>
  <c r="T566" i="1"/>
  <c r="U566" i="1" s="1"/>
  <c r="V566" i="1" s="1"/>
  <c r="T564" i="1"/>
  <c r="U564" i="1"/>
  <c r="V564" i="1" s="1"/>
  <c r="T556" i="1"/>
  <c r="U556" i="1" s="1"/>
  <c r="V556" i="1" s="1"/>
  <c r="T555" i="1"/>
  <c r="U555" i="1" s="1"/>
  <c r="V555" i="1" s="1"/>
  <c r="T554" i="1"/>
  <c r="U554" i="1" s="1"/>
  <c r="V554" i="1" s="1"/>
  <c r="T547" i="1"/>
  <c r="U547" i="1"/>
  <c r="V547" i="1" s="1"/>
  <c r="T516" i="1"/>
  <c r="U516" i="1" s="1"/>
  <c r="V516" i="1" s="1"/>
  <c r="T514" i="1"/>
  <c r="U514" i="1" s="1"/>
  <c r="V514" i="1" s="1"/>
  <c r="T505" i="1"/>
  <c r="U505" i="1" s="1"/>
  <c r="V505" i="1" s="1"/>
  <c r="T496" i="1"/>
  <c r="U496" i="1"/>
  <c r="V496" i="1" s="1"/>
  <c r="T486" i="1"/>
  <c r="U486" i="1" s="1"/>
  <c r="V486" i="1" s="1"/>
  <c r="T465" i="1"/>
  <c r="U465" i="1"/>
  <c r="V465" i="1" s="1"/>
  <c r="T463" i="1"/>
  <c r="U463" i="1" s="1"/>
  <c r="V463" i="1" s="1"/>
  <c r="T439" i="1"/>
  <c r="U439" i="1"/>
  <c r="V439" i="1" s="1"/>
  <c r="T437" i="1"/>
  <c r="U437" i="1"/>
  <c r="V437" i="1" s="1"/>
  <c r="T434" i="1"/>
  <c r="U434" i="1" s="1"/>
  <c r="V434" i="1" s="1"/>
  <c r="T387" i="1"/>
  <c r="U387" i="1" s="1"/>
  <c r="V387" i="1" s="1"/>
  <c r="T367" i="1"/>
  <c r="U367" i="1" s="1"/>
  <c r="V367" i="1" s="1"/>
  <c r="T327" i="1"/>
  <c r="U327" i="1"/>
  <c r="V327" i="1" s="1"/>
  <c r="T321" i="1"/>
  <c r="U321" i="1" s="1"/>
  <c r="V321" i="1" s="1"/>
  <c r="T318" i="1"/>
  <c r="U318" i="1" s="1"/>
  <c r="V318" i="1" s="1"/>
  <c r="T269" i="1"/>
  <c r="U269" i="1" s="1"/>
  <c r="V269" i="1" s="1"/>
  <c r="T261" i="1"/>
  <c r="U261" i="1" s="1"/>
  <c r="V261" i="1" s="1"/>
  <c r="T259" i="1"/>
  <c r="U259" i="1"/>
  <c r="V259" i="1" s="1"/>
  <c r="T245" i="1"/>
  <c r="U245" i="1" s="1"/>
  <c r="V245" i="1" s="1"/>
  <c r="T224" i="1"/>
  <c r="U224" i="1" s="1"/>
  <c r="V224" i="1" s="1"/>
  <c r="T223" i="1"/>
  <c r="U223" i="1" s="1"/>
  <c r="V223" i="1" s="1"/>
  <c r="T206" i="1"/>
  <c r="U206" i="1"/>
  <c r="V206" i="1" s="1"/>
  <c r="T191" i="1"/>
  <c r="U191" i="1" s="1"/>
  <c r="V191" i="1" s="1"/>
  <c r="T186" i="1"/>
  <c r="U186" i="1" s="1"/>
  <c r="V186" i="1" s="1"/>
  <c r="T177" i="1"/>
  <c r="U177" i="1"/>
  <c r="V177" i="1" s="1"/>
  <c r="T151" i="1"/>
  <c r="U151" i="1"/>
  <c r="V151" i="1" s="1"/>
  <c r="T150" i="1"/>
  <c r="U150" i="1" s="1"/>
  <c r="V150" i="1" s="1"/>
  <c r="T149" i="1"/>
  <c r="U149" i="1" s="1"/>
  <c r="V149" i="1" s="1"/>
  <c r="T148" i="1"/>
  <c r="U148" i="1" s="1"/>
  <c r="V148" i="1" s="1"/>
  <c r="T137" i="1"/>
  <c r="U137" i="1"/>
  <c r="V137" i="1" s="1"/>
  <c r="T136" i="1"/>
  <c r="U136" i="1" s="1"/>
  <c r="V136" i="1" s="1"/>
  <c r="T129" i="1"/>
  <c r="U129" i="1"/>
  <c r="V129" i="1" s="1"/>
  <c r="T125" i="1"/>
  <c r="U125" i="1" s="1"/>
  <c r="V125" i="1" s="1"/>
  <c r="T109" i="1"/>
  <c r="U109" i="1"/>
  <c r="V109" i="1" s="1"/>
  <c r="T105" i="1"/>
  <c r="U105" i="1"/>
  <c r="V105" i="1" s="1"/>
  <c r="T103" i="1"/>
  <c r="U103" i="1" s="1"/>
  <c r="V103" i="1" s="1"/>
  <c r="T100" i="1"/>
  <c r="U100" i="1" s="1"/>
  <c r="V100" i="1" s="1"/>
  <c r="T97" i="1"/>
  <c r="U97" i="1" s="1"/>
  <c r="V97" i="1" s="1"/>
  <c r="T96" i="1"/>
  <c r="U96" i="1" s="1"/>
  <c r="V96" i="1" s="1"/>
  <c r="T95" i="1"/>
  <c r="U95" i="1" s="1"/>
  <c r="V95" i="1" s="1"/>
  <c r="T94" i="1"/>
  <c r="U94" i="1" s="1"/>
  <c r="V94" i="1" s="1"/>
  <c r="T93" i="1"/>
  <c r="U93" i="1" s="1"/>
  <c r="V93" i="1" s="1"/>
  <c r="T85" i="1"/>
  <c r="U85" i="1"/>
  <c r="V85" i="1" s="1"/>
  <c r="T82" i="1"/>
  <c r="U82" i="1" s="1"/>
  <c r="V82" i="1" s="1"/>
  <c r="T81" i="1"/>
  <c r="U81" i="1" s="1"/>
  <c r="V81" i="1" s="1"/>
  <c r="T78" i="1"/>
  <c r="U78" i="1" s="1"/>
  <c r="V78" i="1" s="1"/>
  <c r="T74" i="1"/>
  <c r="U74" i="1" s="1"/>
  <c r="V74" i="1" s="1"/>
  <c r="T73" i="1"/>
  <c r="U73" i="1" s="1"/>
  <c r="V73" i="1" s="1"/>
  <c r="T68" i="1"/>
  <c r="U68" i="1" s="1"/>
  <c r="V68" i="1" s="1"/>
  <c r="T40" i="1"/>
  <c r="U40" i="1" s="1"/>
  <c r="V40" i="1" s="1"/>
  <c r="T25" i="1"/>
  <c r="U25" i="1"/>
  <c r="V25" i="1" s="1"/>
  <c r="T24" i="1"/>
  <c r="U24" i="1" s="1"/>
  <c r="V24" i="1" s="1"/>
  <c r="T18" i="1"/>
  <c r="U18" i="1" s="1"/>
  <c r="V18" i="1" s="1"/>
  <c r="T16" i="1"/>
  <c r="U16" i="1" s="1"/>
  <c r="V16" i="1" s="1"/>
  <c r="T8" i="1"/>
  <c r="U8" i="1" s="1"/>
  <c r="V8" i="1" s="1"/>
</calcChain>
</file>

<file path=xl/sharedStrings.xml><?xml version="1.0" encoding="utf-8"?>
<sst xmlns="http://schemas.openxmlformats.org/spreadsheetml/2006/main" count="6222" uniqueCount="1698">
  <si>
    <t>Category</t>
  </si>
  <si>
    <t>Evidence</t>
  </si>
  <si>
    <t>Quality</t>
  </si>
  <si>
    <t>autoimmune</t>
  </si>
  <si>
    <t>Parent</t>
  </si>
  <si>
    <t>Disease</t>
  </si>
  <si>
    <t>SNOMED</t>
  </si>
  <si>
    <t>ConceptID</t>
  </si>
  <si>
    <t>Profile</t>
  </si>
  <si>
    <t>pubmed</t>
  </si>
  <si>
    <t>Citation</t>
  </si>
  <si>
    <t>prevtype</t>
  </si>
  <si>
    <t>prevnotes</t>
  </si>
  <si>
    <t>min_rate</t>
  </si>
  <si>
    <t>max_rate</t>
  </si>
  <si>
    <t>denom</t>
  </si>
  <si>
    <t>us_cases_min</t>
  </si>
  <si>
    <t>us_cases_max</t>
  </si>
  <si>
    <t>us_cases_mean</t>
  </si>
  <si>
    <t>rateper100k</t>
  </si>
  <si>
    <t>Prevalence_Description</t>
  </si>
  <si>
    <t>Skin</t>
  </si>
  <si>
    <t>Antibody</t>
  </si>
  <si>
    <t>Moderate</t>
  </si>
  <si>
    <t>Acquired epidermolysis bullosa</t>
  </si>
  <si>
    <t>N</t>
  </si>
  <si>
    <t>In epidermolysis bullosa acquisita (EBA) the skin and mucus membranes are chronically inflamed and may form blisters in response to minor injury. Common areas of blistering include the hands, feet, knees, elbows, and buttocks. It can also affect the mouth, nose, and eyes.  Evidence suggests an association between EBA and inflammatory bowel diseases (IBD), such as ulcerative colitis and Crohn's disease. IBD is reported to be present in approximately 30% of EBA patients. There are two main types of EBA, non-inflammatory and non-inflammatory. The non-inflammatory type is more common and resembles the hereditary disease, epidermolysis bullosa. The inflammatory types resemble autoimmune bullous pemphigoid. Mucous Membrane EBA (MM-EBA) is a type of inflammatory EBA that affects mucous membranes. EBA is marked by the presence of autoantibodies (mainly IgG class) to type VII collagen (Col7). EBA may mimic other inflammatory blistering diseases, most often bullous pemphigoid and bullous systemic lupus erythematosus (which is also associated with anti-Col7 autoantibodies).</t>
  </si>
  <si>
    <t>https://pubmed.ncbi.nlm.nih.gov/24890437/</t>
  </si>
  <si>
    <t>Iranzo 2014</t>
  </si>
  <si>
    <t>I</t>
  </si>
  <si>
    <t>Incidence - cases per year, by reference in https://emedicine.medscape.com/article/1063083-overview#a6</t>
  </si>
  <si>
    <t xml:space="preserve">Epidermolysis bullosa acquisita (EBA) is an acquired subepithelial blistering disease of the skin and mucous membranes mediated by IgG autoantibodies against type VII collagen (O'Toole and Woodley, 2000). Lesions occur predominantly on areas of trauma and often heal with scarring, like CP. Subepidermal blisters are formed as a result of detachment of the epidermis at the level of the sublamina densa area as demonstrated by ultrastructural studies (Figure 65.1). EBA is associated with HLA-DR2 (Gammon et al., 1988). The target antigen of EBA is type VII collagen (C-VII), which is confined to anchoring fibrils of the sublamina densa region of the skin. EBA autoantibodies react with four major epitopes within the amino-terminal non-collagenous NC1 domain of C-VII. It is hypothesized that binding of these autoantibodies may interfere with dimer formation of the C-VII molecule or may impair the association of C-VII with its ligands, laminin 5 and fibronectin. It has also been suggested that complement activation by the autoantibodies induces inflammation and blistering. Rabbit anti-human type VII collagen NC1 domain IgG induced EBA-like lesions in adult hairless mice and nude mice bearing human skin grafts (Chen et al., (2004)). Furthermore, rabbit antibodies specific to a murine portion of type VII collagen induced subepidermal blistering when passively transferred into adult mice, thereby reproducing the clinical, histological, and immunopathological features of human disease in a complement-dependent fashion (Sitaru et al., 2005).
The Autoimmune Diseases . Elsevier Science. Kindle Edition. </t>
  </si>
  <si>
    <t>.08 to .5 cases per 1,000,000</t>
  </si>
  <si>
    <t>EBA</t>
  </si>
  <si>
    <t>A</t>
  </si>
  <si>
    <t>Autoimmune epidermolysis bullosa</t>
  </si>
  <si>
    <t>S</t>
  </si>
  <si>
    <t>Epidermolysis bullosa acquisita</t>
  </si>
  <si>
    <t>Blood</t>
  </si>
  <si>
    <t>Acquired hemophilia</t>
  </si>
  <si>
    <t>Acquired Hemophilia is an autoimmune disorder in which the immune system targets and damages a type of protein in the blood necessary for clotting.  The result is spontaneous bleeding that is difficult to stop, which may occur both on the surface of the skin and internal to the body, affecting muscles and organs.  Patients also bruise easily with little trauma.  A range of triggers can cause severe bleeding episodes, including physical activity, surgery, and giving birth.  Bleeding may also occur with no obvious cause.  Treatments are available to control bleeding episodes.  Without medical care, patients are at risk of muscle death or of life-threatening bleeding complications.</t>
  </si>
  <si>
    <t>https://pubmed.ncbi.nlm.nih.gov/17047148/</t>
  </si>
  <si>
    <t>Collins 2007</t>
  </si>
  <si>
    <t>Incidence - cases per year</t>
  </si>
  <si>
    <t>Factor VIII</t>
  </si>
  <si>
    <t xml:space="preserve">In addition to marking cells for ADCC or phagocytosis, autoantibodies can also cause significant pathology by functionally disturbing physiological processes. Important examples of this type of autoantibody-induced mechanism are antibodies to proteins and glycoproteins, such as to factor VIII (Zeitler et al., 2013) in acquired hemophilia or to β2-glycoprotein I, which induce thrombotic events in the antiphospholipid antibody syndrome (Giannakopoulos and Krilis, 2013) (see Chapters 51 and 34).
The Autoimmune Diseases . Elsevier Science. Kindle Edition. </t>
  </si>
  <si>
    <t>.15 cases per 100,000</t>
  </si>
  <si>
    <t>https://pubmed.ncbi.nlm.nih.gov/?term=Acquired+hemophilia+autoimmune&amp;sort=date</t>
  </si>
  <si>
    <t>Acquired haemophilia</t>
  </si>
  <si>
    <t>Nervous System</t>
  </si>
  <si>
    <t>Acute disseminated encephalomyelitis</t>
  </si>
  <si>
    <t>Acute hemorrhagic leukoencephalitis</t>
  </si>
  <si>
    <t>T</t>
  </si>
  <si>
    <t>https://pubmed.ncbi.nlm.nih.gov/12391351/</t>
  </si>
  <si>
    <t>Tenembaum 2002</t>
  </si>
  <si>
    <t xml:space="preserve">2% of ADEM cases. Note that these cases are included in the ADEM count </t>
  </si>
  <si>
    <t>See ADEM</t>
  </si>
  <si>
    <t>Subtype of Acute disseminated encephalomyelitis</t>
  </si>
  <si>
    <t>.001 to .012 cases per 100,000</t>
  </si>
  <si>
    <t>https://pubmed.ncbi.nlm.nih.gov/?term=AHLE+is+a+rare+autoimmune&amp;sort=date</t>
  </si>
  <si>
    <t>Hurst's disease</t>
  </si>
  <si>
    <t>Weston-Hurst syndrome</t>
  </si>
  <si>
    <t>Acute disseminated encephalomyelitis (ADEM) is caused when inflammation stemming from fever or immunization damages the myelin sheaths of nerves in the brain, spinal cord, and occasionally the optic nerves, leading to abnormal nerve function.  Onset is brief but intense and occurs predominantly in children.  Patients often experience complete recovery within 6 months and do not experience relapses. The risk of developing ADEM depends on several factors, including genetics, exposure to infectious organisms, immunization exposure, and lighter skin pigmentation. ADEM can affect people of all ethnic backgrounds globally. Between 50% to 85% of ADEM cases are linked to a prior infection or vaccination, with many following a viral or bacterial infection. Nonetheless, the specific pathogen causing ADEM is often unknown.</t>
  </si>
  <si>
    <t>https://link.springer.com/chapter/10.1007/978-3-030-38621-4_5</t>
  </si>
  <si>
    <t>Filippi and Rocca 2020</t>
  </si>
  <si>
    <t>high-affinity autoantibodies to MBP and MOG</t>
  </si>
  <si>
    <t xml:space="preserve">However, using sensitive solution phase assays, high-affinity autoantibodies to MBP and MOG can be detected in the serum and CSF of patients with acute disseminated encephalomyelitis and MS (O'Connor et al., 2003, 2005, 2007; Zhou et al., 2006).
The Autoimmune Diseases . Elsevier Science. Kindle Edition. </t>
  </si>
  <si>
    <t>.07 to .6 cases per 100,000</t>
  </si>
  <si>
    <t>https://pubmed.ncbi.nlm.nih.gov/?term=ADEM+is+a+rare+autoimmune&amp;sort=date</t>
  </si>
  <si>
    <t>ADEM</t>
  </si>
  <si>
    <t>Nonvasculitic autoimmune inflammatory meningoencephalitis</t>
  </si>
  <si>
    <t>https://pubmed.ncbi.nlm.nih.gov/15139593/</t>
  </si>
  <si>
    <t>Vascular system</t>
  </si>
  <si>
    <t>Strong</t>
  </si>
  <si>
    <t>Acute febrile mucocutaneous lymph node syndrome</t>
  </si>
  <si>
    <t xml:space="preserve">Acute febrile mucocutaneous lymph node syndrome, also known as Kawasaki's Disease, is a rare disorder with sudden onset resulting in fever and inflammation of the blood vessels (vasculitis).  This inflammation restricts blood flow and damages vital organs and tissues, leading to heart disease.  Patients are predominantly children.  
The cause of Kawasaki's Disease is uncertain but is believed to be autoimmune.  Patients who do not suffer damage to the coronary arteries (ex. aneurysms) are expected to heal completely.  Patients who do suffer aneurysms are at greater risk of complications and heart failure, but many can be expected to recover within 2 years.  Relapse is uncommon.  Short-term and long-term treatments and procedures that protect the heart and coronary arteries are available.
</t>
  </si>
  <si>
    <t>https://pubmed.ncbi.nlm.nih.gov/22589296/</t>
  </si>
  <si>
    <t>Wu 2012</t>
  </si>
  <si>
    <t>P</t>
  </si>
  <si>
    <t xml:space="preserve">Modesti &amp; Plewa 2019 report US Cases: 30,000 - 65,000 </t>
  </si>
  <si>
    <t xml:space="preserve">Some investigators have reported evidence that patients with Kawasaki's disease have circulating autoantibodies that react with activated endothelial cells (Leung et al., 1986a,b, 1989; Grunebaum et al., 2002; Kaneko et al., 2004). Kaneko et al. (2004) identified a number of candidate target antigens using a cDNA expression library derived from tumor necrosis factor (TNF)-α-stimulated human umbilical vein endothelial cells. Tropomyosin was the most likely autoantigen recognized by anti-endothelial cell autoantibodies. Mor et al. (2002) have identified autoantibodies to tropomyosin in another form of vasculitis, Behçet's disease. Cunningham et al. (1999) have reported IgM autoantibodies to cardiac myosin in Kawasaki's disease. These autoantibodies differ from the antimyosin antibodies of patients with acute rheumatic fever.
The Autoimmune Diseases . Elsevier Science. Kindle Edition. </t>
  </si>
  <si>
    <t>34.9 cases per 100,000</t>
  </si>
  <si>
    <t>Kawasaki syndrome</t>
  </si>
  <si>
    <t>Kawasaki's disease</t>
  </si>
  <si>
    <t>Lymph node syndrome</t>
  </si>
  <si>
    <t>Mucocutaneous lymph node syndrome</t>
  </si>
  <si>
    <t>Unconfirmed</t>
  </si>
  <si>
    <t>Acute lichenoid pityriasis</t>
  </si>
  <si>
    <t xml:space="preserve">Pityriasis lichenoides et varioliformis acuta (PLEVA) is the acute form of an inflammatory skin condition called pityriasis lichenoides. People with PLEVA may develop a few to more than one hundred scaling papules which may become filled with blood and/or pus or erode into crusted red-brown spots. Papules may itch or burn, and some people may experience fever or joint pain. Although PLEVA may occur at any age (including infancy), it most commonly affects children and young adults. </t>
  </si>
  <si>
    <t>https://www.medscape.com/answers/1099078-102824/what-is-the-prevalence-of-pityriasis-lichenoides-in-the-us</t>
  </si>
  <si>
    <t>Medscape 2020</t>
  </si>
  <si>
    <t>Based on percentage of patients with lupus, 44,000 patients seen over 10 years in 3 catchment areas in Great Britain, 17 cases in that population</t>
  </si>
  <si>
    <t>The probable cause of febrile ulceronecrotic Mucha Habermann is an inflammatory reaction triggered by infectious agents - Wolf 2011 - Autoinflammatory</t>
  </si>
  <si>
    <t>17.0 cases per 44,000</t>
  </si>
  <si>
    <t>PLEVA</t>
  </si>
  <si>
    <t>Acuta guttale parapsoriasis</t>
  </si>
  <si>
    <t>Mucha-Habermann disease</t>
  </si>
  <si>
    <t>Pityriasis lichenoides et varioliformis acuta</t>
  </si>
  <si>
    <t>Glands</t>
  </si>
  <si>
    <t>Addison's disease</t>
  </si>
  <si>
    <t>Addison's disease is a hormonal disorder that occurs when the adrenal glands do not produce enough of certain hormones. The two hormones that tend to be affected the most are cortisol and aldosterone. Symptoms may occur slowly over several months, and most people do not realize these are symptoms of Addison’s and ignore them. Early symptoms include fatigue, dizziness or fainting due to low blood pressure, sweating due to low blood sugar, upset stomach, abdominal pain, and muscle cramps or weakness. If symptoms become worse quickly, then it can develop into an adrenal crisis, resulting in death if not treated quickly enough.</t>
  </si>
  <si>
    <t>https://pubmed.ncbi.nlm.nih.gov/26437215/</t>
  </si>
  <si>
    <t>Olaffson 2016</t>
  </si>
  <si>
    <t>Cases in the US: 16,000 - 80,000</t>
  </si>
  <si>
    <t>adrenal cortical antibodies—ACA</t>
  </si>
  <si>
    <t xml:space="preserve">Anderson et al. (1957), using a complement fixation test on a homogenate of adrenal cortex tissue, demonstrated that 2/8 (25%) of patients with idiopathic AD had antibodies (adrenal cortical antibodies—ACA). From The Autoimmune Diseases . Elsevier Science. Kindle Edition. </t>
  </si>
  <si>
    <t>4.17 to 22.1 cases per 100,000</t>
  </si>
  <si>
    <t>Autoimmune adrenalitis</t>
  </si>
  <si>
    <t>Adrenal cortical hypofunction</t>
  </si>
  <si>
    <t>V</t>
  </si>
  <si>
    <t>Adrenal Insufficiency</t>
  </si>
  <si>
    <t>Primary adrenal insufficiency</t>
  </si>
  <si>
    <t>Systemic</t>
  </si>
  <si>
    <t>Adult onset Still's disease</t>
  </si>
  <si>
    <t>Adult onset Still's disease (AoSD) is a rare form of inflammatory arthritis that affects the entire body, impacting joints and organs. Typically affecting individuals over the age of 16, patients often endure bouts of elevated fever, joint discomfort, and skin rash. Blood tests commonly indicate elevated white blood cell counts. Despite extensive research, the exact cause of AoSD remains elusive, with uncertainty over whether it stems from autoimmune or autoinflammatory origins. The disease's progression varies widely among patients; while some experience sudden onset followed by swift and complete recovery, others contend with chronic manifestations or symptom flare-ups alternating with periods of remission. AoSD bears a resemblance to systemic juvenile rheumatoid arthritis, differing primarily in the age of onset. Although a definitive cure remains elusive, treatment options exist to manage inflammation and mitigate potential organ damage. There are three main patterns of the clinical course of AoSD namely monophasic, intermittent, and chronic. There is an approximately equal distribution in each category however some studies have shown a chronic articular pattern to be more common.</t>
  </si>
  <si>
    <t>https://link.springer.com/chapter/10.1007/978-3-030-19055-2_6</t>
  </si>
  <si>
    <t>Mitrovic 2019</t>
  </si>
  <si>
    <t>~ 480 Cases in the US per YearSource: PubMedNotes1. Still's Disease is very rare</t>
  </si>
  <si>
    <t>antibodies to cyclic citrullinated peptides</t>
  </si>
  <si>
    <t xml:space="preserve">Rheumatoid Factor-Positive Polyarthritis This rare (5% of patients with JIA) subgroup is the childhood equivalent of adult rheumatoid factor (RF)-positive rheumatoid arthritis; in fact, it is the only form of JIA with positive antibodies to cyclic citrullinated peptides.
The Autoimmune Diseases . Elsevier Science. Kindle Edition. </t>
  </si>
  <si>
    <t>1.0 to 10.0 cases per 1,000,000</t>
  </si>
  <si>
    <t>Adult Still's disease</t>
  </si>
  <si>
    <t>Age related macular degeneration</t>
  </si>
  <si>
    <t>Z</t>
  </si>
  <si>
    <t xml:space="preserve">Age-related macular degeneration (AMD) leads to the loss of central vision, which impairs activities such as reading, driving, and recognizing faces. Many factors may be involved in the development of AMD, including genetic predisposition and environmental factors like smoking and diet, and some studies have found a link with immune system components such as complement proteins. These proteins, part of the immune system's response to pathogens, can mistakenly target retinal cells, leading to inflammation and damage. Furthermore, individuals with autoimmune diseases like lupus or rheumatoid arthritis may have an increased risk of developing AMD, as their immune systems are already prone to attacking self-tissues. Understanding this autoimmune connection opens new avenues for potential treatments, such as immunomodulatory therapies, which aim to regulate the immune response and protect retinal health.
However, based on the research available at this time, there is no evidence that AMD is an autoimmune disease. </t>
  </si>
  <si>
    <t>https://pubmed.ncbi.nlm.nih.gov/36326752/</t>
  </si>
  <si>
    <t>Rein 2022</t>
  </si>
  <si>
    <t>Prevalence among adults over 40, January 2014 data. This figure encompasses specific forms of autoimmune-mediated encephalitis such as ADEM.</t>
  </si>
  <si>
    <t>Most cases of AMD are not autoimmune</t>
  </si>
  <si>
    <t>Alopecia areata</t>
  </si>
  <si>
    <t>Alopecia Totalis</t>
  </si>
  <si>
    <t>Alopecia areata is a type of hair loss that occurs when your immune system mistakenly attacks hair follicles, which is where hair growth begins. The damage to the follicle is usually not permanent. Experts do not know why the immune system attacks the follicles.</t>
  </si>
  <si>
    <t>https://pubmed.ncbi.nlm.nih.gov/32280257/</t>
  </si>
  <si>
    <t>Benigno 2020</t>
  </si>
  <si>
    <t>0.15%500,000 persons in the US</t>
  </si>
  <si>
    <t xml:space="preserve">antibodies to tyrosine hydroxylases </t>
  </si>
  <si>
    <t xml:space="preserve">There are multiple observations supporting the concept that AA is an autoimmune disease: 1. AA HFs are surrounded by an immune infiltrate of activated T helper(h) cells, cytotoxic T cells and natural killer (NK) cells, and a Th1-type cytokine profile (Petukhova et al., 2011). ...
The Autoimmune Diseases . Elsevier Science. Kindle Edition. </t>
  </si>
  <si>
    <t>.21 to .21 cases per 100</t>
  </si>
  <si>
    <t>Alopecia Universalis</t>
  </si>
  <si>
    <t>Angiofollicular lymph node hyperplasia</t>
  </si>
  <si>
    <t>Castleman disease (CD) is a group of rare disorders that involve enlarged lymph nodes due to an unexplained activation of the immune system that leads to a hyper-inflammatory state, causing damage to multiple organs. Based on the number of regions in the body that have enlarged lymph nodes, CD can be classified as unicentric or multicentric. This difference is important because unicentric CD and multicentric CD require different treatments. There are four main types of CD:
Unicentric Castleman disease (UCD)
POEMS-associated multicentric Castleman disease (POEMS-MCD)
HHV-8-associated multicentric Castleman disease (HHV-8+MCD)
HHV-8-negative/idiopathic multicentric Castleman disease (iMCD)</t>
  </si>
  <si>
    <t>https://pubmed.ncbi.nlm.nih.gov/34535010/</t>
  </si>
  <si>
    <t>Mukherjee 2022</t>
  </si>
  <si>
    <t>3.7 to 13.3 cases per 1,000,000</t>
  </si>
  <si>
    <t>Castleman Disease</t>
  </si>
  <si>
    <t>Castleman's disease</t>
  </si>
  <si>
    <t>Musculoskeletal</t>
  </si>
  <si>
    <t>Ankylosing spondylitis</t>
  </si>
  <si>
    <t>Ankylosing spondylitis, a form of arthritis, triggers inflammation in the spine's joints and ligaments, potentially extending to peripheral joints such as knees, ankles, and hips. Typically, these spinal joints and ligaments facilitate movement and flexibility. However, in ankylosing spondylitis, inflammation can induce stiffness. In severe instances, this inflammation may prompt the vertebrae to fuse together, resulting in a rigid and immobile spine. Although there's no cure, various treatments can manage symptoms effectively. These may encompass exercises, physical or occupational therapy to enhance mobility and posture, and medications to alleviate pain, reduce inflammation, improve posture, and slow disease progression. With appropriate treatment, individuals with ankylosing spondylitis can lead fulfilling lives.</t>
  </si>
  <si>
    <t>https://onlinelibrary.wiley.com/doi/full/10.1002/art.21577</t>
  </si>
  <si>
    <t xml:space="preserve">Bakland 2005 </t>
  </si>
  <si>
    <t>Period prevalence</t>
  </si>
  <si>
    <t xml:space="preserve">Exposure to bacterial antigens is thought to drive AS (see above). However, since evidence for bacterial antigen in inflamed joints of the axial skeleton of AS patients is lacking, the target of the immune response in AS is still unclear.
The Autoimmune Diseases . Elsevier Science. Kindle Edition. </t>
  </si>
  <si>
    <t>260.0 cases per 100,000</t>
  </si>
  <si>
    <t>Axial spondyloarthritis</t>
  </si>
  <si>
    <t>Spondyloarthritis</t>
  </si>
  <si>
    <t>Kidney</t>
  </si>
  <si>
    <t>Anti-glomerular basement membrane disease</t>
  </si>
  <si>
    <t>Goodpasture syndrome</t>
  </si>
  <si>
    <t>Goodpasture disease</t>
  </si>
  <si>
    <t>Anti-glomerular basement membrane nephritis</t>
  </si>
  <si>
    <t>Anti-glomerular basement membrane tubulointerstitial nephritis</t>
  </si>
  <si>
    <t>U</t>
  </si>
  <si>
    <t>Anti-glomerular basement membrane disease (anti-GBM disease) is a rare condition characterized by rapidly deteriorating kidney function and lung tissues. It stems from an autoimmune reaction, where the body's immune system erroneously targets and destroys healthy tissues. Individuals afflicted with this ailment produce antibodies that assail a protein known as collagen within the lung's small air sacs and the kidney's glomeruli, which are its filtering units. These antibodies, termed anti-glomerular basement membrane antibodies, can inflict harm upon the basement membrane, leading to kidney impairment. Occasionally, the onset of this disorder is precipitated by a viral respiratory infection or exposure to hydrocarbon solvents. In such instances, the immune system may misinterpret organs or tissues as foreign agents, prompting an attack. Consequently, this flawed immune response results in lung air sac bleeding and inflammation within the kidney's filtering units.</t>
  </si>
  <si>
    <t>https://pubmed.ncbi.nlm.nih.gov/28937063/</t>
  </si>
  <si>
    <t>Lingaraj 2017</t>
  </si>
  <si>
    <t>collagen IV</t>
  </si>
  <si>
    <t xml:space="preserve">Anti-GBM disease is the only kidney disease in which it is definitely known that antibodies develop against a native renal antigen, the α3 helix of collagen IV.
The Autoimmune Diseases . Elsevier Science. Kindle Edition. </t>
  </si>
  <si>
    <t>1.0 to 1.0 cases per 1,000,000</t>
  </si>
  <si>
    <t>Anti-glomerular basement membrane (anti-GBM) disease is a rare autoimmune illness that mainly affects the kidneys and sometimes the lungs. In this condition, the immune system mistakenly attacks a specific part of the body called the basement membrane, which helps keep the tiny blood vessels in the kidneys and lungs working properly.
People with anti-GBM disease make special proteins called antibodies that wrongly target this membrane, especially in the kidney’s filtering units (glomeruli) and the tiny air sacs in the lungs (alveoli). This can lead to serious kidney damage and, in some cases, bleeding in the lungs.
The disease often develops suddenly and can get worse quickly. Sometimes, it seems to be triggered by things like a bad cold, flu, or exposure to chemicals like gasoline fumes. Doctors treat it by trying to remove the harmful antibodies from the blood and by calming down the immune system.
In addition to "anti-GBM disease," the condition may be referred to as:
•	"Anti-GBM nephritis" when the disease is primarily or exclusively affecting the kidneys;
•	"Anti-GBM tubulointerstitial nephritis" when the immune attack also involves the kidney tubules and surrounding tissue, not just the glomeruli (a rare variant);
•	"Goodpasture syndrome" when both lung bleeding and kidney inflammation are present, regardless of whether anti-GBM antibodies have been detected—for example, in rare cases where the syndrome is clinically present but lab tests are negative.</t>
  </si>
  <si>
    <t>Anti-GBM disease</t>
  </si>
  <si>
    <t>Goodpasture's disease</t>
  </si>
  <si>
    <t>Goodpasture's syndrome</t>
  </si>
  <si>
    <t>Antineutrophil cytoplasmic antibody positive vasculitis</t>
  </si>
  <si>
    <t>Churg-Strauss syndrome</t>
  </si>
  <si>
    <t>Granulomatosis with polyangiitis</t>
  </si>
  <si>
    <t>https://pubmed.ncbi.nlm.nih.gov/17553910/</t>
  </si>
  <si>
    <t>Mohammad 2007</t>
  </si>
  <si>
    <t> The p.p. per million inhabitants was estimated on 1 January 2003 to be 160 (95% confidence interval 114-206) for WG</t>
  </si>
  <si>
    <t xml:space="preserve">In their landmark publication in 1954, Godman and Churg concluded that the “microscopic form or periarteritis,” Wegener's granulomatosis, and Churg–Strauss syndrome are pathologically and clinically distinct from PAN, and probably have a related etiology and pathogenesis. This concept has been borne out by the discovery that microscopic polyangiitis, Wegener's granulomatosis, and Churg–Strauss syndrome are associated with, and are probably caused by, antineutrophil cytoplasmic autoantibodies (ANCAs), whereas PAN is not (Jennette and Falk, 1997; Jennette et al., 2013a). These forms of ANCA-associated vasculitis (AAV) now are designated microscopic polyangiitis (MPA), granulomatosis with polyangiitis (GPA), and eosinophilic granulomatosis with polyangiitis (EGPA).
The Autoimmune Diseases . Elsevier Science. Kindle Edition. </t>
  </si>
  <si>
    <t>11.4 to 20.6 cases per 100,000</t>
  </si>
  <si>
    <t>Wegener's Granulomatosis</t>
  </si>
  <si>
    <t>722191003</t>
  </si>
  <si>
    <t>Anti-neutrophil cytoplasmic antibody (ANCA)-associated vasculitis (AAV) is a group of diseases characterized by destruction and inflammation of small vessels. The clinical signs vary and affect several organs, such as the kidney, stomach, intestine, and lung. Skin symptoms like purpura (small purple spots) may appear when small blood vessels leak under the skin. AAV occurs when the immune system produces ANCAs, which mistakenly activate neutrophils, a type of white blood cell. These activated neutrophils damage the lining of blood vessels. Though the mechanism of damage is understood, the triggers that lead to AAV are unknown.</t>
  </si>
  <si>
    <t>https://pubmed.ncbi.nlm.nih.gov/28881446/</t>
  </si>
  <si>
    <t>Berti 2017</t>
  </si>
  <si>
    <t>prevalence of 4.6-18.4 cases per 100,000 individuals</t>
  </si>
  <si>
    <t>T cells with specificity for ANCA antigens are present</t>
  </si>
  <si>
    <t xml:space="preserve">T cells with specificity for ANCA antigens are present in patients with ANCA vasculitis (Griffith et al., 1996; Clayton and Savage, 2000). T cells are probably involved in the immunogenesis of the autoimmune response, but their role in the pathogenesis of injury is unknown.
The Autoimmune Diseases . Elsevier Science. Kindle Edition. </t>
  </si>
  <si>
    <t>4.6 to 18.4 cases per 100,000</t>
  </si>
  <si>
    <t>ANCA vasculitis</t>
  </si>
  <si>
    <t>Eosinophilic granulomatosis with polyangiitis</t>
  </si>
  <si>
    <t>ANCA-associated vasculitis</t>
  </si>
  <si>
    <t>Anti-neutrophil cytoplasmic antibody-associated vasculitis</t>
  </si>
  <si>
    <t>Churg Strauss syndrome</t>
  </si>
  <si>
    <t>Antiphospholipid syndrome</t>
  </si>
  <si>
    <t>Antiphospholipid syndrome occurs when the immune system attacks some of the normal proteins in the blood. 
There's no cure for antiphospholipid syndrome, but medications can reduce the risk of blood clots.</t>
  </si>
  <si>
    <t>https://pubmed.ncbi.nlm.nih.gov/24461539/</t>
  </si>
  <si>
    <t>Gómez-Puerta 2014</t>
  </si>
  <si>
    <t>40-50 cases per 100,000 persons.</t>
  </si>
  <si>
    <t>Beta-2 glycoprotein I</t>
  </si>
  <si>
    <t xml:space="preserve">Although the prevalent paradigm that explains autoimmunity in APS patients is the incomplete deletion of autoreactive T cells, Kriegel et al. (2004) demonstrated that patients with this disease exhibit a defective Treg function. Antibodies against antigenic enzymes common to ovary and adrenal gland include: cytochrome P450 side-chain cleavage enzyme (P450SCC), 17-α hydroxylase/17, 20-lyase (CYP17A1), and 21-hydroxylase (CYP21). Indirect immunofluorescence on frozen adrenal gland sections, and CYP21 antibody detection by radioimmunoassays are sensitive diagnostic tests (Falorni et al., 2002a,b; Dal Pra et al., 2003). The theca cells of preantral and antral follicles are the main targets in some POI cases.  
The Autoimmune Diseases . Elsevier Science. Kindle Edition. The aPL comprise more than 20 different autoantibodies, of which just three serve as diagnostic criteria for APS. The pathogenic effects of these antibodies are exerted through binding to various cells, including monocytes, endothelial cells, and trophoblasts, leading to the recruitment of cell surface receptors and subsequent perturbation of intracellular signaling pathways (Blank et al., 1991; Giannakopoulos and Krilis 2013).
The Autoimmune Diseases . Elsevier Science. Kindle Edition. </t>
  </si>
  <si>
    <t>40.0 to 50.0 cases per 100,000</t>
  </si>
  <si>
    <t>autoantibody to SOX9 and SOX10 was reported in patients with type 1 APS and vitiligo</t>
  </si>
  <si>
    <t>aCL syndrome</t>
  </si>
  <si>
    <t>Anticardiolipin antibody syndrome</t>
  </si>
  <si>
    <t>Hughes syndrome</t>
  </si>
  <si>
    <t xml:space="preserve">Antiphospholipid syndrome occurs when the immune system attacks some of the normal proteins in the blood. There's no cure for antiphospholipid syndrome, but medications can reduce the risk of blood clots.
</t>
  </si>
  <si>
    <t>Lupus anticoagulant syndrome</t>
  </si>
  <si>
    <t>Antisynthetase syndrome</t>
  </si>
  <si>
    <t>Antisynthetase syndrome is sometimes an autoimmune form of myositis in which antibodies destroy &lt;b&gt;tRNA synthetase&lt;/b&gt;, an enzyme that is essential for the creation of important proteins used throughout the body.  When that enzyme is destroyed, proteins that the body needs are not produced, and most noteably, proteins used to power the muscles. The result is muscle weakness, but since there are many proteins affected by the loss of tRNA synthetase, it can also impact the lungs and other parts of the body. 
The trigger for antisynthetase syndrome is unknown, but it may be associated with viral infection.  Patients with antisynthetase syndrome commonly experience muscle inflammation, lung disease, and joint inflammation.  This condition is seen twice as often in women than in men and typically occurs in middle age. This is a chronic disease with no cure, and disease severity and prognosis varies by individual.  Patients who only experience muscle symptoms can manage the condition well with treatment.  However, prognosis is poor for patients who develop progressive interstitial lung disease.</t>
  </si>
  <si>
    <t>https://www.ncbi.nlm.nih.gov/pmc/articles/PMC5394574/</t>
  </si>
  <si>
    <t>Cojocaru 2016</t>
  </si>
  <si>
    <t>US Cases: ~3,200 - 28,800Source: orphanet</t>
  </si>
  <si>
    <t>antibodies to aminoacyl tRNA synthetases</t>
  </si>
  <si>
    <t xml:space="preserve">...antibodies recognizing aminoacyl tRNA synthetases are frequently associated with the “synthetase syndrome,” a clinical syndrome with relatively mild myositis, Raynaud's phenomenon, inflammatory arthritis of the small joints of the hands (mechanic's hands), and interstitial lung disease of variable severity (Friedman et al., 1996).
The Autoimmune Diseases . Elsevier Science. Kindle Edition. </t>
  </si>
  <si>
    <t>3.0 to 4.0 cases per 100,000</t>
  </si>
  <si>
    <t>Anti-Jo1 syndrome</t>
  </si>
  <si>
    <t>TCELL</t>
  </si>
  <si>
    <t>Aplastic anemia</t>
  </si>
  <si>
    <t>Aplastic anemia is a rare and serious blood disorder that occurs when the body's bone marrow cannot make enough new red blood cells, impacting the body's ability to function normally. Aplastic anemia can progress at varying speeds and range from mild to severe. Currently, there's no known method to prevent it. This condition is caused by damage to stem cells inside the bone marrow, which is the sponge-like tissue within the bones. The immune system attacks and destroys and, as a result, the bone marrow makes fewer red blood cells, white blood cells, and platelets. This bone marrow damage is caused by the immune system attacking and destroying the stem cells within the bone marrow. Other causes of aplastic anemia include some medicine and exposure to environmental toxins or chemicals.</t>
  </si>
  <si>
    <t>https://www.ncbi.nlm.nih.gov/pmc/articles/PMC5622852/</t>
  </si>
  <si>
    <t>Vaht 2017</t>
  </si>
  <si>
    <t>cytotoxic T cells</t>
  </si>
  <si>
    <t xml:space="preserve">The response to immunosuppressive therapy was the first clear evidence that aplastic anemia was truly an autoimmune disease.
</t>
  </si>
  <si>
    <t>2.35 cases per 1,000,000</t>
  </si>
  <si>
    <t>Antibody Suspected</t>
  </si>
  <si>
    <t>Autoimmune angioedema</t>
  </si>
  <si>
    <t xml:space="preserve">Angioedema is swelling of the tissue just beneath the skin, including the face, lips, tongue, limbs, or genitals. People with Autoimmune Angioedema can have edema of the lining of the digestive tract, which can cause abdominal pain and nausea, as well as edema of the upper airway, which can be life-threatening. </t>
  </si>
  <si>
    <t>https://www.ncbi.nlm.nih.gov/books/NBK430889/</t>
  </si>
  <si>
    <t>Swanson 2020</t>
  </si>
  <si>
    <t>Posslbly a symptom of underlying AD</t>
  </si>
  <si>
    <t>.2 to 1.0 cases per 100,000</t>
  </si>
  <si>
    <t>Acquired angiodema</t>
  </si>
  <si>
    <t>All</t>
  </si>
  <si>
    <t>Autoimmune disease</t>
  </si>
  <si>
    <t>G</t>
  </si>
  <si>
    <t>85828009</t>
  </si>
  <si>
    <t>Immune-mediated</t>
  </si>
  <si>
    <t>Autoimmune disorder of inner ear</t>
  </si>
  <si>
    <t>Ménière's disease</t>
  </si>
  <si>
    <t>Autoimmune inner ear disease (AIED) is a condition characterized by inflammation of the inner ear. It happens when the immune system mistakenly targets cells in the inner ear as if they were a virus or bacteria. AIED is uncommon, affecting fewer than one percent of the 28 million Americans with hearing loss. The symptoms of AIED are sudden hearing loss in one ear progressing rapidly to the second ear. The hearing loss can progress over weeks or months. It can happen alone or in addition to other systemic autoimmune disorders.</t>
  </si>
  <si>
    <t>https://www.ncbi.nlm.nih.gov/pmc/articles/PMC5113311/</t>
  </si>
  <si>
    <t>Vambutas 2016</t>
  </si>
  <si>
    <t>inner ear-specific IFN-γ producing T cells</t>
  </si>
  <si>
    <t xml:space="preserve">Autoantibodies and autoreactive T cells have been implicated in the etiopathogenesis of idiopathic of sensorineural hearing loss  (Yehudai et al., 2006). Different antibodies directed either against inner ear-specific or widely distributed autoantigens have been described in patients with SNHL of unknown origin.
The Autoimmune Diseases . Elsevier Science. Kindle Edition. </t>
  </si>
  <si>
    <t>15.0 cases per 100,000</t>
  </si>
  <si>
    <t>https://pubmed.ncbi.nlm.nih.gov/?term=AIED+is+a+rare+autoimmune&amp;sort=date</t>
  </si>
  <si>
    <t>Autoimmune encephalitis</t>
  </si>
  <si>
    <t xml:space="preserve">Autoimmune encephalitis occurs when the body's immune system attacks healthy brain cells, causing neurologic and/or psychiatric impairments. 
</t>
  </si>
  <si>
    <t>https://www.ncbi.nlm.nih.gov/pmc/articles/PMC6011827/</t>
  </si>
  <si>
    <t>Dubey 2018</t>
  </si>
  <si>
    <t>Not a clear diagnosis</t>
  </si>
  <si>
    <t>13.7 cases per 100,000</t>
  </si>
  <si>
    <t>Bickerstaff's brainstem encephalitis</t>
  </si>
  <si>
    <t>427086003</t>
  </si>
  <si>
    <t>https://pubmed.ncbi.nlm.nih.gov/23777102/</t>
  </si>
  <si>
    <t>Koga 2013</t>
  </si>
  <si>
    <t>Extremely rare, no published data</t>
  </si>
  <si>
    <t>anti-GQ1b IgG antibody</t>
  </si>
  <si>
    <t>Serum anti‐GQ1b IgG antibody was positive in 66%  - Odaka 2003</t>
  </si>
  <si>
    <t>Extremely rare</t>
  </si>
  <si>
    <t>Bickerstaff encephalitis</t>
  </si>
  <si>
    <t>Bickerstaff's encephalitis</t>
  </si>
  <si>
    <t>Autoimmune encephalitis caused by N-methyl D-aspartate receptor antibody</t>
  </si>
  <si>
    <t>Limbic encephalitis with N-methyl-D-aspartate receptor antibodies</t>
  </si>
  <si>
    <t>Samanta 2020</t>
  </si>
  <si>
    <t>autoantibodies target the NMDA receptor, the AMPA receptor, the voltage-gated potassium channel (VGKC) complex, or a growing list of synaptic protein</t>
  </si>
  <si>
    <t xml:space="preserve">Other CNS autoantibodies target the NMDA receptor, the AMPA receptor, the voltage-gated potassium channel (VGKC) complex, or a growing list of synaptic proteins. In these disorders a reversible effect of the antibodies on the target protein is likely, and patients' symptoms may resemble those associated with pharmacologic or genetic abrogation of the function of the target protein.
The Autoimmune Diseases . Elsevier Science. Kindle Edition. </t>
  </si>
  <si>
    <t>1.0 cases per 1,500,000</t>
  </si>
  <si>
    <t>Anti-NMDA receptor encephalitis</t>
  </si>
  <si>
    <t>452281000124106</t>
  </si>
  <si>
    <t>Anti-N-methyl-D-aspartate receptor encephalitis</t>
  </si>
  <si>
    <t>Anti-NMDA receptor encephalitis is an autoimmune disorder in which the body attacks the brain’s NMDA receptors. N-Methyl-D-Aspartate (NMDA) receptors are proteins that play a significant role in learning and memory.
When the NMDA receptor antibodies attack the NMDA receptors in the brain, certain functions of the brain are disrupted and brain swelling, or encephalitis, occurs. At disease onset, patients often have symptoms consistent with those caused by a virus.  Within 3 months of onset, patients develop psychological or neurological problems, including seizures and perceptual and behavioral changes.  As the disorder progresses, patients become verbally unresponsive and experience difficulty with movement.  With time, problems with regulation of autonomic processes, such as heart rate and breathing, emerge.  Some cases of this disease have been associated with tumors, especially of the ovary. In severe cases, complications can result in relapse, chronic cognitive problems, or death.  However, if treatment and medical supervision is received, most patients can expect to fully recover.</t>
  </si>
  <si>
    <t>https://pubmed.ncbi.nlm.nih.gov/31326280/</t>
  </si>
  <si>
    <t>Dalmau 2019</t>
  </si>
  <si>
    <t>Anti-NMDA Encephalitis</t>
  </si>
  <si>
    <t>Autoimmune gastritis</t>
  </si>
  <si>
    <t>Macrocytic Anemia</t>
  </si>
  <si>
    <t>84027009</t>
  </si>
  <si>
    <t>Megaloblastic Anemia</t>
  </si>
  <si>
    <t>Digestive system</t>
  </si>
  <si>
    <t>Pernicious anemia</t>
  </si>
  <si>
    <t>https://pubmed.ncbi.nlm.nih.gov/9358143/</t>
  </si>
  <si>
    <t>Toh 1997</t>
  </si>
  <si>
    <t>By reference. The prevalence of pernicious anemia is 0.1% in the general population which increases to 1.9% in patients aged older than 60 years (70 million)</t>
  </si>
  <si>
    <t xml:space="preserve">Autoimmune gastritis and pernicious anemia are typically associated with autoantibodies to parietal cells, directed to gastric H+/K+ ATPase and to intrinsic factor. For the diagnosis of pernicious anemia, intrinsic factor antibodies have a much higher disease specificity (&gt;95%), albeit lower sensitivity (50–70%), than antibodies to gastric parietal cells. A recent study suggests that that assaying autoantibodies to both intrinsic factor and the H+/K+ ATPase results in an increased specificity and sensitivity and would aid in selection of patients for follow-up gastroscopic procedures (Lahner et al., 2009). Since the Schilling test is no longer available as a diagnostic procedure, there has been increased dependence on intrinsic factor antibodies for diagnosis. Antibodies to the vitamin B12 binding site of intrinsic factor are demonstrable in serum of ~70% of patients and to a second site in ~50%. These frequencies are greater if gastric juice is assayed. There may be coexisting autoantibodies specific for the various other autoimmune diseases in the thyrogastric cluster. The incidence of these antibodies rises with increasing duration of disease, almost doubling after 10 years (Ungar et al., 1967).
The Autoimmune Diseases . Elsevier Science. Kindle Edition. </t>
  </si>
  <si>
    <t>493.75 cases per 100,000</t>
  </si>
  <si>
    <t>84568007</t>
  </si>
  <si>
    <t>Inflammation of the lining of the stomach that can occur suddenly or gradually. In some cases, gastritis may lead to ulcers or stomach cancer.</t>
  </si>
  <si>
    <t>https://www.sciencedirect.com/topics/immunology-and-microbiology/autoimmune-enteropathy</t>
  </si>
  <si>
    <t>Ruemmele 2015</t>
  </si>
  <si>
    <t>Extremely rare, no published data, estimate based on case counts under 100 in the book Mucosal Immunology (Fourth Edition), 2015</t>
  </si>
  <si>
    <t>antibodies to tryptophan hydroxylase</t>
  </si>
  <si>
    <t xml:space="preserve">Examples are autoantibodies against aromatic L-amino acid decarboxylase (AADC) correlated to type 2 autoimmune hepatitis (Husebye et al., 1997), tryptophan hydroxylase connected to autoimmune enteropathy (Ekwall et al., 1998), and tyrosine hydroxylases correlated to alopecia (Hedstrand et al., 2000).
The Autoimmune Diseases . Elsevier Science. Kindle Edition. </t>
  </si>
  <si>
    <t>Atrophic gastritis</t>
  </si>
  <si>
    <t>Autoimmune atrophic gastritis</t>
  </si>
  <si>
    <t>Eosinophilic gastritis</t>
  </si>
  <si>
    <t>Autoimmune enteropathy</t>
  </si>
  <si>
    <t>Autoimmune enteropathy is an extremely rare disease characterized by diarrhea that does not respond to treatment and may require intravenous feeding to sustain the patient. It is diagnosed most frequently in infants, and it is marked by the presence of antibodies to the enzyme tryptophan hydroxylase, which performs a number of functions in human biology,  Autoimmune enteropathy is increasingly being diagnosed in adults, but the symptoms are the same as many more common diseases, so correct diagnosis is difficult.   It is more frequently diagnosed in patients already diagnosed with other autoimmune diseases such as autoimmune polyendocrine syndrome 1.</t>
  </si>
  <si>
    <t>Autoimmune hemolytic anemia</t>
  </si>
  <si>
    <t>In autoimmune hemolytic anemia, red blood cells are destroyed by antibodies. In some cases, the antibodies are active only when the person is warm, in which case it is called &lt;a href="/Disease_Profile/warm-autoimmune-hemolytic-anemia.aspx"&gt;warm autoimmune hemolytic anemia&lt;/a&gt;. In other cases, the antibodies are active when the person is cold, and it is called &lt;a href="/Disease_Profile/cold-agglutinin-disease.aspx"&gt;cold agglutinin disease&lt;/a&gt;, and in others, the antibodies can be active regardless of the person's body temperature. There is also a form of hemolytic anemia called &lt;a href="/Disease_Profile/paroxysmal-nocturnal-hemoglobinuria.aspx"&gt;paroxysmal nocturnal hemoglobinuria&lt;/a&gt;, in which a genetic mutation causes antibodies to cause the same kind of destruction of red blood cells.</t>
  </si>
  <si>
    <t>https://ashpublications.org/blood/article/142/Supplement%201/5202/501456/Prevalence-and-Incidence-of-Primary-Autoimmune</t>
  </si>
  <si>
    <t>Bozzi 2023</t>
  </si>
  <si>
    <t xml:space="preserve"> 60 to 210 per 1,000,000</t>
  </si>
  <si>
    <t>Autoimmune hemolytic anemia mixed type</t>
  </si>
  <si>
    <t>718716008</t>
  </si>
  <si>
    <t xml:space="preserve">In autoimmune hemolytic anemia, red blood cells are destroyed by antibodies. In some cases, the antibodies are active only when the person is warm, and in other cases, only when the person is cold. In some cases, the antibodies can be active in all 3 situations - when the person's body temperature is normal, cold and warm. There is also a form of hemolytic anemia called paroxysmal nocturnal hemoglobinuria, in which a genetic mutation causes antibodies to cause the same kind of  destruction of red blood cells.
There are other forms of anemia caused by autoimmune disease where </t>
  </si>
  <si>
    <t>Liver</t>
  </si>
  <si>
    <t>Autoimmune hepatitis</t>
  </si>
  <si>
    <t>408335007</t>
  </si>
  <si>
    <t xml:space="preserve">Autoimmune hepatitis is a condition that occurs when your immune system mistakenly targets and attacks your liver cells, leading to long-term chronic liver inflammation, swelling, and damage. It may occur at any age and typically affects women more than men. It is often linked to other autoimmune diseases. The precise cause of autoimmune hepatitis is not fully understood, but it's believed that a combination of genetic and environmental factors plays a role in initiating the disease over time. When diagnosed and treated promptly, autoimmune hepatitis can often be managed with medications that dampen the immune response. In situations where drug treatments don't work or in advanced liver disease cases, a liver transplant might be considered an option.
</t>
  </si>
  <si>
    <t>https://pubmed.ncbi.nlm.nih.gov/9489916/</t>
  </si>
  <si>
    <t>Boberg 1998</t>
  </si>
  <si>
    <t>16.9 per 100,000 - norway</t>
  </si>
  <si>
    <t xml:space="preserve">autoantibodies against aromatic L-amino acid decarboxylase (AADC) correlated to type 2 autoimmune hepatitis </t>
  </si>
  <si>
    <t>16.9 cases per 100,000</t>
  </si>
  <si>
    <t>Autoimmune hepatitis type 1</t>
  </si>
  <si>
    <t>721711009</t>
  </si>
  <si>
    <t>Autoimmune hepatitis type 2</t>
  </si>
  <si>
    <t>721712002</t>
  </si>
  <si>
    <t>Autoimmune hepatitis type 3</t>
  </si>
  <si>
    <t>721713007</t>
  </si>
  <si>
    <t>Chronic autoimmune hepatitis</t>
  </si>
  <si>
    <t>16098491000119109</t>
  </si>
  <si>
    <t>Autoimmune lymphoproliferative syndrome</t>
  </si>
  <si>
    <t>Autoimmune lymphoproliferative syndrome (ALPS) is a rare genetic disease that causes the overproduction of lymphocytes. ALPS results from mutations in one of the genes controlling how lymphocytes work. The most common gene affected is called FAS. This leads to the enlargement of lymph nodes (lymphadenopathy), the liver (hepatomegaly), and the spleen (splenomegaly). ALPS can cause anemia (low level of red blood cells), thrombocytopenia (low level of platelets), and neutropenia (low level of neutrophils). ALPS can also cause impairing symptoms and increase the risk of developing serious health conditions, such as autoimmune diseases and lymphoma.</t>
  </si>
  <si>
    <t>https://pubmed.ncbi.nlm.nih.gov/25086580/</t>
  </si>
  <si>
    <t>Shah 2014</t>
  </si>
  <si>
    <t>Under 500 worldwide</t>
  </si>
  <si>
    <t xml:space="preserve">Autoimmune lymphoproliferative syndrome is characterized by nonmalignant lymphadenopathy, splenomegaly, and multilineage cytopenias secondary to sequestration and autoimmune peripheral destruction (Sneller et al., 1997; Bidere et al., 2006). This is the first disease known to be caused by a primary defect in programmed cell death and is the first autoimmune disease with a defined genetic basis (Fisher et al., 1995; Rieux-Laucat et al., 1995).
The Autoimmune Diseases . Elsevier Science. Kindle Edition. </t>
  </si>
  <si>
    <t>Canale-Smith syndrome</t>
  </si>
  <si>
    <t>Autoimmune neutropenia</t>
  </si>
  <si>
    <t xml:space="preserve">Neutropenia is defined as a low white blood cell count.  There are many forms of neutropenia connected to autoimmune disease. It is important to understand which form is which.
Primary neutropenia is diagnosed when there are no other conditions diagnosed. Secondary neutropenia is a low white blood cell count that occurs when other diseases are present, such as lupus, rheumatoid arthritis, or inflammatory bowel disease. This article only covers primary neutropenia.
Primary neutropenia most often appears in infants and children. The cause may be unrelated to autoimmune disease. Most cases of childhood primary neutropenia that are autoimmune are not serious and the disease goes away in 3 to 5 years with no long term effects. However, in a relatively small number of patients, the disease becomes chronic.  Adults, mostly women, can also develop primary autoimmune neutropenia after childhood.  These cases are almost always chronic. 
In chronic autoimmune neutropenia the body produces IgG antibodies that target and destroy the body's own white blood cells (“neutrophils”), which leads to a lowered white blood cell count and leaves patients with weakened immune systems susceptible to bacterial and other infections.  
</t>
  </si>
  <si>
    <t>https://pubmed.ncbi.nlm.nih.gov/32809736/</t>
  </si>
  <si>
    <t>Chaudhari 2020</t>
  </si>
  <si>
    <t>5 per million</t>
  </si>
  <si>
    <t xml:space="preserve">2000). The finding of neutrophil-specific antigens suggested that other nucleated cells may also express “organ-specific” antigens. Autoimmune neutropenia was then established as a definable clinical entity when neutrophil-specific antigens were demonstrated to be a target in primary autoimmune neutropenias,
The Autoimmune Diseases . Elsevier Science. Kindle Edition. </t>
  </si>
  <si>
    <t>5.0 cases per 1,000,000</t>
  </si>
  <si>
    <t>Primary autoimmune neutropenia</t>
  </si>
  <si>
    <t>Autoimmune neutropenia of infancy</t>
  </si>
  <si>
    <t>Autoimmune oophoritis</t>
  </si>
  <si>
    <t>In autoimmune oophoritis, the immune system mistakenly attacks the ovaries, causing inflammation, atrophy, and fibrosis. These changes keep the ovaries from working normally, and the result can be primary ovarian insufficiency (POI). Autoimmune oophoritis is associated with lupus, pernicious anemia, myasthenia gravis, autoimmune polyendocrine syndrome type I or type II, and other autoimmune conditions. Special blood tests and imaging are used to diagnose this condition.</t>
  </si>
  <si>
    <t>https://pubmed.ncbi.nlm.nih.gov/18211971/</t>
  </si>
  <si>
    <t>Rudnicka 2018 and Tsigkou 2008</t>
  </si>
  <si>
    <t>Prevalence in female population; 4% of the 1% of women with primary ovarian insufficiency - prevalence is therefore 4% of 1% of 50% of us population</t>
  </si>
  <si>
    <t>4% of the 1% of women with primary ovarian insufficiency - prevalence is therefore 4% of 1% of 50% of US population</t>
  </si>
  <si>
    <t>Premature ovarian failure due to autoimmune oophoritis</t>
  </si>
  <si>
    <t>Pancreas</t>
  </si>
  <si>
    <t>Autoimmune pancreatitis</t>
  </si>
  <si>
    <t>448542008</t>
  </si>
  <si>
    <t>Autoimmune pancreatitis is a rare autoimmune disorder characterized by inflammation of the pancreas that may be acute or chronic. It is thought to be caused by the body's immune system attacking healthy cells of the pancreas. There are two subtypes of AIP, known as type 1 and type 2. Type 1 is the most common and it affects the pancreas, along with other organs, such as the liver, salivary glands, kidneys, lymph nodes, and gallbladder. Type 2 seems to only affect the pancreas but is associated with inflammatory bowel disease. Symptomatic patients often experience yellowing of the eyes (jaundice) and weight loss, but many patients are asymptomatic.  Autoimmune pancreatitis is a non-cancerous condition, but it is often mistaken for pancreatic cancer due to similar signs and symptoms.  There is no cure, but the condition is well-managed with treatment.</t>
  </si>
  <si>
    <t>https://www.ncbi.nlm.nih.gov/pmc/articles/PMC5288542/</t>
  </si>
  <si>
    <t>Cai 2017</t>
  </si>
  <si>
    <t> 4.6 per 100,000</t>
  </si>
  <si>
    <t>Elevated IgG4</t>
  </si>
  <si>
    <t xml:space="preserve">Positive rates for antinuclear antibody were 40%, and those of other antibodies were 10–30%. We found no patients with positive test for SS-A/Ro or SS-B/La antibodies, or anti-mitochondrial antibodies that represent disease-specific antibodies for the diagnosis of Sjögren's syndrome or primary biliary cirrhosis (PBC), respectively. These findings suggest that the autoantibodies found in this disease are not pathogenic, and that patients have a tendency to produce various autoantibodies that are neither disease specific nor of primary relevance. However, the occasional coexistence of pancreatitis with salivary gland lesions and cholangitis suggests shared target antigens. Carbonic anhydrase II (CA II) and lactoferrin are distributed in the cells of several exocrine organs, including the pancreas, salivary glands, and biliary duct. In this context, CA II or lactoferrin have been proposed as a candidate target antigen, but the presence of autoantibodies for these antigens is not sufficiently specific or sensitive (Kino-Ohsaki et al., 1996). Protein electrophoresis of patients' sera showed a polyclonal band in the rapidly migrating fraction of γ-globulins. Later, immunoelectrophoresis confirmed that this polyclonal band was caused by a high serum concentration of IgG4. We confirmed that serum IgG4 elevation could be found in 90% of patients with autoimmune pancreatitis, but in very few patients with other conditions including pancreatic cancer, chronic pancreatitis, and Sjögren's syndrome, suggesting that IgG4 is a sensitive and specific marker for this disease. In addition, levels of IgG4 correlate well with disease activity
The Autoimmune Diseases . Elsevier Science. Kindle Edition. </t>
  </si>
  <si>
    <t>4.6 cases per 100,000</t>
  </si>
  <si>
    <t>Lymphoplasmocytic sclerosing pancreatitis</t>
  </si>
  <si>
    <t>Nonalcoholic destructive pancreatitis</t>
  </si>
  <si>
    <t>Tumefactive pancreatitis</t>
  </si>
  <si>
    <t>Autoimmune pancreatitis type 1</t>
  </si>
  <si>
    <t>Autoimmune pancreatitis type 2</t>
  </si>
  <si>
    <t>Autoimmune progesterone dermatitis</t>
  </si>
  <si>
    <t>APD</t>
  </si>
  <si>
    <t>Autoimmune progesterone dermatitis is a recurrent skin rash that varies in severity and generally appears during the second half of the cycle when levels of the hormone, progesterone, begin to rise and it subsides shortly after menstruation.</t>
  </si>
  <si>
    <t>https://www.ncbi.nlm.nih.gov/pmc/articles/PMC5500715/</t>
  </si>
  <si>
    <t>You 2017</t>
  </si>
  <si>
    <t>No mention</t>
  </si>
  <si>
    <t>Autoimmune retinopathy</t>
  </si>
  <si>
    <t>Autoimmune retinopathy is a rare immune-mediated disorder in which autoantibodies attack retinal proteins, leading to progressive photoreceptor dysfunction. It is considered autoimmune even when no underlying trigger or associated systemic disease can be identified.</t>
  </si>
  <si>
    <t>https://pubmed.ncbi.nlm.nih.gov/29340169/</t>
  </si>
  <si>
    <t>Canamary 2018.</t>
  </si>
  <si>
    <t>Extremely rare, no published data, 40 to 50 years old (source: Investigative Ophthamology and Visual Science)</t>
  </si>
  <si>
    <t xml:space="preserve">Birdshot retinopathy is attributed to specific reactivity of CD8+ cytotoxic T cells against the retinal S antigen.
The Autoimmune Diseases . Elsevier Science. Kindle Edition. </t>
  </si>
  <si>
    <t>Birdshot chorioretinopathy</t>
  </si>
  <si>
    <t xml:space="preserve">Birdshot retinochoroidopathy is an extremely rare eye disease that is caused by an autoimmune reaction targeting the choroid and retina. </t>
  </si>
  <si>
    <t>Birdshot retinopathy</t>
  </si>
  <si>
    <t>Birdshot chorioretinitis</t>
  </si>
  <si>
    <t>Autoimmune thyroiditis</t>
  </si>
  <si>
    <t>Hashimoto thyroiditis</t>
  </si>
  <si>
    <t>Hashimoto's disease</t>
  </si>
  <si>
    <t>Ord's thyroiditis</t>
  </si>
  <si>
    <t>66944004</t>
  </si>
  <si>
    <t>Autoimmune thyroiditis is a chronic disorder where the immune system creates antibodies that attack the thyroid and cause inflammation. This inflammation may initially cause excess release of thyroid hormones (hyperthyroidism ) but over time, this damage leads to insufficient thyroid hormone production (hypothyroidism), causing fatigue, weight gain, and depression. Genetic and environmental factors may play a role in the development of this disorder. There is no cure, but hormone treatments are available to manage symptoms.  
Several names are used for autoimmune thyroiditis. When it is known to be autoimmune, it is called Hashimoto's when the thyroid gland is enlarged (called a goiter), and (less commonly) Ord's thyroiditis, when the thyroid gland shrinks.</t>
  </si>
  <si>
    <t>https://www.ncbi.nlm.nih.gov/pmc/articles/PMC2892249/</t>
  </si>
  <si>
    <t>Eaton 2011</t>
  </si>
  <si>
    <t xml:space="preserve">Circulating autoantibodies against TG and thyroid peroxidase (TPO) are found, often at very high levels, in most patients with AT. These antibodies are common, albeit at low levels, in association with focal thyroiditis.
The Autoimmune Diseases . Elsevier Science. Kindle Edition. </t>
  </si>
  <si>
    <t>.52 to .58 cases per 100</t>
  </si>
  <si>
    <t>C</t>
  </si>
  <si>
    <t>Chronic lymphocytic thyroiditis</t>
  </si>
  <si>
    <t>Hashimoto's thyroiditis</t>
  </si>
  <si>
    <t>Autoimmune urticaria</t>
  </si>
  <si>
    <t xml:space="preserve">Autoimmune urticaria occurs when the immune system attacks the normal tissues of the body, resulting in hives. The condition becomes chronic when the lesions persists longer than 6 weeks. Chronic autoimmune urticaria has been found to be associated with autoimmune thyroid disease.
Urticaria can also be caused by allergic reaction to plants like poison ivy, dyes found in clothing, and cosmetics. An allergic reaction is not an autoimmune disease because there is no involvement by the adaptive immune system and auto-antibodies that attack your own cells are not involved. There are antibodies (IgE antibodies), but they target the invading molecules (e.g., poison ivy), not the cells in the skin. In autoimmune urticaria, the antibodies created are attacking the skin itself, not an invading molecule. </t>
  </si>
  <si>
    <t>https://pubmed.ncbi.nlm.nih.gov/20456386/</t>
  </si>
  <si>
    <t>Zuberbier 2010</t>
  </si>
  <si>
    <t>autoantibodies against TG and thyroid peroxidase</t>
  </si>
  <si>
    <t xml:space="preserve">Chronic urticaria (CU) is a relatively common type of urticaria, defined as hives lasting longer than 6 weeks (Kaplan, 2004). It affects around 0.1% of the population including both adults and children (Schocket, 2006), with a higher predilection in women than in men (2:1), and with significant adverse effects on quality of life (Schocket, 2006). CU is currently divided into three subcategories (Greaves and Tan, 2007): (1) urticarial vasculitis (leukocytoclastic vasculitis of the small vessels with hives duration of more than 24 hours which can accompany autoimmune rheumatic diseases, inflammatory bowel disease, viral hepatitis, and paraproteinemia); (2) physical urticarias (with several subtypes, e.g., solar, cold, aquagenic, delayed pressure, vibratory, cholinergic, and dermographism); and (3) chronic autoimmune urticaria (which is caused by anti-FCεRI antibodies, and less often by anti-IgE antibodies).
The Autoimmune Diseases . Elsevier Science. Kindle Edition. </t>
  </si>
  <si>
    <t>800.0 cases per 100,000</t>
  </si>
  <si>
    <t>Chronic idiopathic urticaria</t>
  </si>
  <si>
    <t>Chronic urticaria</t>
  </si>
  <si>
    <t>Physical urticaria</t>
  </si>
  <si>
    <t>Autoimmune urticaria and/or angioedema</t>
  </si>
  <si>
    <t xml:space="preserve">Both &lt;a href="/Disease_Profile/autoimmune-urticaria.aspx"&gt;autoimmune urticaria&lt;/a&gt; and &lt;a href="/Disease_Profile/autoimmune-angioedema.aspx"&gt;autoimmune angioedema&lt;/a&gt; are skin conditions associated with other autoimmune diseases. Urticaria is marked by raised, itchy, and red or pale areas, known as hives. Angioedema is swelling in skin and mucous membranes, including the mouth and throat, and is a more serious condition than urticaria. 
While they are also diseases on their own, patients will receive a diagnosis of a chronic version of the disease because the ICD coding system used in the medical record does not have codes for either disease. The SNOMED coding system (used in Europe) has a code for each condition, and for this combined term.
</t>
  </si>
  <si>
    <t>https://www.ncbi.nlm.nih.gov/pmc/articles/PMC9953398/</t>
  </si>
  <si>
    <t>Murdaca 2023</t>
  </si>
  <si>
    <t>Autoimmune vasculitis</t>
  </si>
  <si>
    <t>Autoimmune vasculitis is a broad category of autoimmune diseases that all involve inflammation of the walls of blood vessels.  A more specific form, inflammation of arteries, is called arteritis.  It causes changes in the walls of blood vessels, including thickening, weakening, narrowing and scarring. These changes restrict blood flow, resulting in organ and tissue damage.
There are many types of vasculitis, and most of them are rare. Vasculitis might affect just one organ, such as your skin, or it may involve several. The condition can be short term (acute) or long lasting (chronic).</t>
  </si>
  <si>
    <t>Balo concentric sclerosis</t>
  </si>
  <si>
    <t xml:space="preserve">Balo's disease is a rare demyelinating disorder of the central nervous system in which the myelin (the fatty substance covering nerve cells) is damaged. </t>
  </si>
  <si>
    <t>CONFIRMED NO DATA Sept 2021</t>
  </si>
  <si>
    <t>No studies found</t>
  </si>
  <si>
    <t>See MS</t>
  </si>
  <si>
    <t>subtype of multiple sclerosis</t>
  </si>
  <si>
    <t>Concentric sclerosis</t>
  </si>
  <si>
    <t>Encephalitis periaxialis concentrica</t>
  </si>
  <si>
    <t>Leukoencephalitis periaxialis concentric</t>
  </si>
  <si>
    <t>Tumefactive multiple sclerosis</t>
  </si>
  <si>
    <t>Behçet's syndrome</t>
  </si>
  <si>
    <t>Behçet's syndrome is a chronic inflammatory disease that leads to mass inflammation in the blood vessels of the body which results in artery and vein damage. Many of the symptoms can seem unrelated at first, such as mouth sores, eye inflammation, skin rashes, etc, however, symptoms vary from person to person and varies depending on the body parts that are affected. Unfortunately, Behçet’s syndrome can lead to more serious complications such as blindness.
This disease is not well understood but is believed to be autoimmune in nature since the symptoms are due to vasculitis. Researchers have also found several genes to be associated with Behçet’s and believe that those with these genes can trigger Behçet’s if they are exposed to a virus or bacterium.</t>
  </si>
  <si>
    <t>https://pubmed.ncbi.nlm.nih.gov/19405011/</t>
  </si>
  <si>
    <t xml:space="preserve">Calamia 2009 and Mohammad 2013. </t>
  </si>
  <si>
    <t>autoantibodies to tropomyosin 48063, Antibodies to protein S 32422</t>
  </si>
  <si>
    <t xml:space="preserve">Antibodies to protein S have been detected, for example, in Behçet disease associated with thrombosis in five cases (Guermazi et al., 1997; Lechner et al., 2011).
The Autoimmune Diseases . Elsevier Science. Kindle Edition. </t>
  </si>
  <si>
    <t>5.2 cases per 100,000</t>
  </si>
  <si>
    <t>https://pubmed.ncbi.nlm.nih.gov/?term=Behcet%27s+disease+is+a+rare+autoimmune&amp;sort=date</t>
  </si>
  <si>
    <t>Behcet's syndrome</t>
  </si>
  <si>
    <t>H</t>
  </si>
  <si>
    <t>Behçet's disease</t>
  </si>
  <si>
    <t>Morbus Adamandiades-Behçet</t>
  </si>
  <si>
    <t>Hughes Stovin syndrome</t>
  </si>
  <si>
    <t>Hughes-Stovin syndrome</t>
  </si>
  <si>
    <t>Benign mucous membrane pemphigoid</t>
  </si>
  <si>
    <t>Cicatricial pemphigoid is a rare autoimmune disease, discovered in 2002, that causes blistering of the mucous membranes. This blistering is due to autoantibodies binding to anchoring filaments of the epidermis.  A common mucous membrane that is affected is the conjunctiva of the eye.  Other areas that can be affected include the skin, nose, mouth, and genitals.
Cicatricial pemphigoid is usually not chronic, and most patients symptoms disappear within 3 years.</t>
  </si>
  <si>
    <t>https://www.ncbi.nlm.nih.gov/books/NBK526120/</t>
  </si>
  <si>
    <t>Tolaymat 2020</t>
  </si>
  <si>
    <t>IgG autoantibodies against BP180 antigen</t>
  </si>
  <si>
    <t xml:space="preserve">The majority of CP patients show circulating IgG autoantibodies against BP180 antigen (Balding et al., 1996).
The Autoimmune Diseases . Elsevier Science. Kindle Edition. </t>
  </si>
  <si>
    <t>.87 to 1.16 cases per 1,000,000</t>
  </si>
  <si>
    <t>Cicatricial pemphigoid</t>
  </si>
  <si>
    <t>Mucous membrane pemphigoid</t>
  </si>
  <si>
    <t>Ocular pemphigoid</t>
  </si>
  <si>
    <t>Scarring pemphigoid</t>
  </si>
  <si>
    <t>Ocular cicatricial pemphigoid</t>
  </si>
  <si>
    <t>Bullous pemphigoid</t>
  </si>
  <si>
    <t>Bullous pemphigoid is a rare, autoimmune, chronic skin disorder characterized by blistering. This disorder occurs most frequently in elderly people. Generalized blistering occurs in and under the upper layers of the skin and usually subsides spontaneously within several months or years. In some rare cases of Bullous pemphigoid, complications such as pneumonia may develop.</t>
  </si>
  <si>
    <t>https://www.ncbi.nlm.nih.gov/pmc/articles/PMC6109638/</t>
  </si>
  <si>
    <t>Kridin 2018</t>
  </si>
  <si>
    <t>The autoantibodies in BP sera are predominantly of IgG1 and IgG4, IgE autoantibodies to BP180</t>
  </si>
  <si>
    <t xml:space="preserve">BP patients have circulating and tissue-bound IgG autoantibodies described by Jordon et al. (Jordon et al., 1967), which are directed against two hemidesmosomal proteins (Mutasim et al., 1985) known as the BP230 (BPAG1) and the BP180 (BPAG2, type XVII collagen) antigens (Jordon et al., 1967; Stanley et al., 1981; Labib et al., 1986). The autoantibodies in BP sera are predominantly of IgG1 and IgG4 subclasses (Laffitte et al., 2001). In addition to IgG autoantibodies, IgE autoantibodies to BP180 are found in the majority of untreated BP patients (Dimson et al., 2003).
The Autoimmune Diseases . Elsevier Science. Kindle Edition. </t>
  </si>
  <si>
    <t>259.0 cases per 1,000,000</t>
  </si>
  <si>
    <t>Cataplexy and narcolepsy</t>
  </si>
  <si>
    <t xml:space="preserve">Narcolepsy is a neurologic condition that causes a person to experience extreme sleepiness during the day without warning. When combined with cataplexy, a similar onset of muscle weakness, the condition is sometimes called narcolepsy type 1 and is suspected of being caused when the immune system attacks an important chemical in brain cells called hypocretin. The destruction of this chemical leads to the symptoms experienced by patients.
The first reports of narcolepsy being an autoimmune disease came in 2013, but retraction of that paper in 2014 put its status in doubt. Subsequent research and identification of the molecular mechanism by Mahoney et al. provides evidence and justifies classification as an autoimmune disease. </t>
  </si>
  <si>
    <t>https://pubmed.ncbi.nlm.nih.gov/31004158/</t>
  </si>
  <si>
    <t>Scheer 2017</t>
  </si>
  <si>
    <t>Truven data, there were 8 444 517 continuously enrolled patients and 6703 diagnosed with narcolepsy (prevalence overall: 79.4/100 000; without cataplexy: 65.4/100 000; with cataplexy: 14.0/100 000)</t>
  </si>
  <si>
    <t>There is an autoantibody association too, depending on the tribbles2 homolog protein (trib2), in 14–26% of DQB1 (cataplexy-associated) cases, but trib2 is a ubiquitously expressed protein, and there are no indications that antibodies to it are related to narcolepsy. "One wonders how the story will eventually pan out!" - latest evidence points to autoimmunity - citation needed. [AHA - 20201-01-06]
The Autoimmune Diseases . Elsevier Science. Kindle Edition. 
https://pubmed.ncbi.nlm.nih.gov/17259865/</t>
  </si>
  <si>
    <t>14.0 cases per 100,000</t>
  </si>
  <si>
    <t>https://pubmed.ncbi.nlm.nih.gov/?term=%22Narcolepsy+and+cataplexy%22+%22autoimmune%22&amp;sort=date</t>
  </si>
  <si>
    <t>Narcolepsy type 1</t>
  </si>
  <si>
    <t>735676003</t>
  </si>
  <si>
    <t>Celiac disease</t>
  </si>
  <si>
    <t>Adult form of celiac disease</t>
  </si>
  <si>
    <t>Celiac disease (CD) is an autoimmune disorder that results in damage and loss of function to the small intestine.  Disease onset is generally triggered by the consumption of foods containing gluten.  CD is also shown to be heritable in a number of patients.  Damage results when components of gluten proteins activate immune cells that attack the small projections (villi) lining the small intestine.  There are 6 types of CD:
Classic/Intestinal: This type often is diagnosed by the age of 3.  All ages of pediatric patients often experience digestive problems, stomach pain, diarrhea, and weight loss, whereas adults usually experience constipation and indigestion.
Non-classic/Extraintestinal: Patients with this type normally have nutritional deficiency, which leads to bone loss, lack of growth, tooth problems, and nerve damage.
Subclinical: Individuals with this type have milder symptoms that are improved when gluten is eliminated from the diet.  Diagnosis is often accidental through dietary experimentation or routine blood work.
Refractory: Patients with this type are chronically symptomatic despite eliminating gluten from their diet for a year or more.  Ulcers, lesions, and lymphoma may result in the small intestine.
Seronegative: This type is diagnosed in individuals who show the symptoms of CD but whose blood work tests negative for the condition.
Gluten free diet non-responsive: Individuals with this type show no improvement after following a gluten free diet for at least one year.  Symptoms are consistent with CD but may also include other disorders that produce similar symptoms. 
CD is generally treated by eliminating gluten from the diet.  Patients with an early diagnosis and who show improvement from dietary restrictions can expect to lead full and productive lives.  However, late diagnosis, failure to adhere to a gluten free diet, or lack of improvement from dietary restrictions can lead to complications, including cancer and problems with the spleen.</t>
  </si>
  <si>
    <t>https://www.ncbi.nlm.nih.gov/pmc/articles/PMC3496881/</t>
  </si>
  <si>
    <t>Gujral 2012 and Rubio-Tapia 2012</t>
  </si>
  <si>
    <t xml:space="preserve">IgA anti-endomysium antibodies, IgA antibodies to transglutaminse 2 </t>
  </si>
  <si>
    <t xml:space="preserve">Untreated celiac disease patients (on a regular diet) usually have increased levels of antibodies against gluten, other food antigens, and autoantigens. Initially, autoantibodies in celiac disease were detected as anti-reticulin antibodies by staining of various rat tissue (Alp and Wright, 1971; Seah et al., 1971). Later IgA anti-endomysium antibodies (EMA) either as detected by staining of monkey esophagus (Chorzelski et al., 1984) or human umbilical cord (Ladinser et al., 1994) were recognized. The main antigen recognized by anti-reticulin antibodies and EMA was identified as the enzyme transglutaminse 2 (TG2) (Dieterich et al., 1997), although antibodies to calreticulin and actin are also found (Clemente et al., 2000; Sanchez et al., 2000). The antibodies to TG2 are both of the IgA and IgG isotypes, but the IgA antibodies are most closely linked with celiac disease (Rostom et al., 2005).
The Autoimmune Diseases . Elsevier Science. Kindle Edition. </t>
  </si>
  <si>
    <t>.75 to 1.0 cases per 100</t>
  </si>
  <si>
    <t>Celiac sprue</t>
  </si>
  <si>
    <t>Coeliac disease</t>
  </si>
  <si>
    <t>Gluten-induced enteropathy</t>
  </si>
  <si>
    <t>Gluten-sensitive enteropathy</t>
  </si>
  <si>
    <t>Nontropical sprue</t>
  </si>
  <si>
    <t>Chronic Fatigue Syndrome</t>
  </si>
  <si>
    <t>The autoimmune nature of chronic fatigue syndrome is still unknown but the syndrome often arises as a symptom in patients with autoimmune disorders. Chronic fatigue syndrome, also becoming known as myalgic encephalomyelitis, can be classified as extreme fatigue, tiredness and weakness, that lasts for at least 6 months and worsens with physical or mental activity without improvement from rest. 
The cause of this syndrome is unknown, however, researchers believe that it may be caused by a combination of factors such as genetics, infections, physical or emotional trauma, and/or problems with energy usage. Although symptoms can come and go, it may be difficult for some individuals to maintain a regular schedule or to live independently, as some people may be too weak to get out of bed and others may need to use a wheelchair.</t>
  </si>
  <si>
    <t>https://www.ncbi.nlm.nih.gov/pmc/articles/PMC3616604/</t>
  </si>
  <si>
    <t>Johnston 2015</t>
  </si>
  <si>
    <t>The pooled prevalence for self-reporting assessment was 3.28% (95% CI: 2.24–4.33) and 0.76% (95% CI: 0.23–1.29) for clinical assessment.</t>
  </si>
  <si>
    <t xml:space="preserve">High among claimed causes of CFS are chronic viral infections, notably Epstein–Barr virus; the case for a murine retrovirus, XMRV, has been convincingly refuted. Other candidates are allergies, autoimmunity, hyper-reactive responses to unusual environmental exposures, and psychosomatic disorder. Despite evidence in CFS for immune activation and/or impaired indices of cell-mediated immunity (Lloyd et al., 1989, 1990; Buchwald and Komaroff, 1991), data from the conventional indications of inflammatory activity or tissue destruction (ESR, C-reactive protein) are non-supportive. Benefit from immunomodulatory treatment with intravenous immunoglobulin, of known efficacy in some well-defined antibody-mediated autoimmune diseases, is controversial, either endorsed (Lloyd et al., 1990) or refuted (Peterson et al., 1990). Analysis of an autoimmune component in CFS encounters issues such as specification of a clear associated diagnosis and a scarcity of affirmative evidence, perhaps indicative of unpublished negative studies, opposed to which is the known occurrence of fatigue in certain well-accepted autoimmune disorders. The major question then is whether, among cases fulfilling CDC criteria for CFS, there can be regularly identified a highly raised level of any autoantibody specificity, particularly antinuclear autoantibody (ANA). Positive studies include that of Behan et al. (1985) (50 cases) and another group (60 cases) (Konstantinov et al., 1996; von Mikecz et al., 1997) which cited a frequency of autoantibodies of 83% versus 17% in a control group, predominantly of ANA specificity, and directed particularly to nuclear envelope proteins, together with cytoplasmic staining patterns of intermediate filament-vimentin type thought to be indicative of viral infection. On the other hand, there are negative results for ANA in CFS (Skowera et al., 2002), or only modestly positive results (Vernon and Reeves, 2005). It is not the purpose here to review all the varied suppositions on the basis of CFS because none is sufficiently convincing. It can be said that autoimmunity does not provide an explanation for all cases of CFS, that autoantibodies when present might reflect some other as yet unidentified cause, and that autoimmunity likely is but one among a conglomerate
The Autoimmune Diseases . Elsevier Science. Kindle Edition. </t>
  </si>
  <si>
    <t>230.0 to 4,330.0 cases per 100,000</t>
  </si>
  <si>
    <t>Myalgic encephalomyelitis</t>
  </si>
  <si>
    <t>Systemic exertion intolerance disease</t>
  </si>
  <si>
    <t>Chronic inflammatory demyelinating polyradiculoneuropathy</t>
  </si>
  <si>
    <t>Chronic inflammatory demyelinating polyneuropathy is a rare neurological disease that inflames the nerve roots and peripheral nerves, damaging the myelin sheath. The destruction of the myelin sheath leads to loss of strength or sensation.</t>
  </si>
  <si>
    <t>https://pubmed.ncbi.nlm.nih.gov/19260065/</t>
  </si>
  <si>
    <t>Rajabally 2009.</t>
  </si>
  <si>
    <t xml:space="preserve">Expression of the blood–nerve barrier constituents claudin-5 and ZO-1 is altered in CIDP perhaps contributing to increased BNB permeability (Kanda et al., 2004). Within the endoneurium T cells secrete IFN-γ, IL-2, and TNF-α (Mathey et al., 1999) and probably others, contributing to inflammatory upregulation of effectors such as macrophages, continued recruitment, and direct nerve damage. Expression of downregulatory cytokines IL-4, IL-10, and TGF-β is also found, and in CIDP expression of NGF, GDNF, LIF, and their receptors may contribute to nerve regeneration (Yamamoto et al., 2002). Clear evidence of Fas deficiency gives support to an inability to halt the ongoing response as effectively as in a monophasic disease (Comi et al., 2009).
The Autoimmune Diseases . Elsevier Science. Kindle Edition. </t>
  </si>
  <si>
    <t>1.97 to 4.77 cases per 100,000</t>
  </si>
  <si>
    <t>Chronic inflammatory demyelinating polyneuritis</t>
  </si>
  <si>
    <t>Chronic inflammatory demyelinating polyneuropathy</t>
  </si>
  <si>
    <t>Chronic relapsing polyneuropathy</t>
  </si>
  <si>
    <t>Chronic inflammatory demyelinating polyradiculoneuropathy with central nervous system demyelination</t>
  </si>
  <si>
    <t>230564004</t>
  </si>
  <si>
    <t>Bladder</t>
  </si>
  <si>
    <t>Chronic interstitial cystitis</t>
  </si>
  <si>
    <t>Interstitial cystitis is a chronic disorder that affects the urinary system. Common symptoms include frequent urination, urinary urgency, pelvic pain, and pain during or after sexual intercourse. These symptoms can flare and can cause different levels of discomfort in different people. Some symptomatic flares last only days, while others can affect a person for months. Environmental factors that may cause symptoms to intensify include menstruation, stress, sexual activity, exercise, and specific foods and drinks. These symptoms can affect a person's quality of life. For example, a person with interstitial cystitis may feel the urge to urinate up to 60 times a day, causing interruptions in daily activities, including sleep. 
Currently, the cause of interstitial cystitis is unknown. There are two main theories about its cause. The first is damage to the tissue lining of the bladder. This damage allows toxins to leak into the bladder, further damaging the organ. The second theory is inflammation to the bladder. Both theorized causes could be due to an autoimmune disorder, leading the immune system to attack the bladder. The variety of treatments that are currently available fail to prevent the worsening of the disease, but can help with symptom relief.</t>
  </si>
  <si>
    <t>https://pubmed.ncbi.nlm.nih.gov/28391486/</t>
  </si>
  <si>
    <t>Patnaik 2017</t>
  </si>
  <si>
    <t xml:space="preserve">The best evidence for autoimmunity in interstitial cystitis is the disease association with SLE (Fister, 1938; Shipton, 1965; Boye et al., 1979), Sjögren's syndrome, and autoimmune thyroiditis (Oravisto, 1980). In 129 cases, Peeker et al. (2003) supplemented these associations with cases of “hypersensitivity/allergic disorders,” rheumatoid arthritis, and inflammatory bowel diseases. The high population frequency of interstitial cystitis (1–2 per 1000, overall, predominantly among women, ≈90%), has led in the USA to a patient support group being founded (Interstitial Cystitis Association). Subtypes of interstitial cystitis are sometimes cited for case classification into ulcerative (typical) or non-ulcerative types, and into primary (sole disorder) or secondary (associated with SLE or other immune-mediated disease) (de la Serna and Alarcon-Segovia, 1981; Alarcon-Segovia et al., 1984). Biomarkers are needed to assess accuracy of diagnosis and efficacy of treatment, with formal criteria for diagnosis being specified by the National Institute of Diabetes and Digestive and Kidney Diseases of the NIH (USA). Serologic studies have not been helpful. Bladder-specific autoantibodies were reported by Silk (1970), but have not been confirmed. Frequencies of ANA were raised according to Oravisto et al. (1970) and Jokinen et al. (1972). However, in a more contemporary study Ochs et al. (1994) assembled 96 patients whose sera were tested for ANA by immunofluorescence on tissue sections and on HEp-2 cells, and additionally a cultured bladder epithelial cell line was used for Western blotting. Autoantibodies specific to bladder cells were not demonstrable, but there was an increased frequency, 36% versus 8% in female controls, of non-tissue-specific autoantibodies (cut-off titer 1:40); the reactivities were mostly ANA with staining patterns usually speckled or nucleolar, unlike what pertains in SLE, and tests for AMA were positive in three cases. The findings of Ochs et al. (1994) were not seen as indicative of a primary autoimmune attack on the bladder wall but rather as a consequence of an undefined chronic inflammatory process, with autoantibodies secondarily augmenting this process.
The Autoimmune Diseases . Elsevier Science. Kindle Edition. </t>
  </si>
  <si>
    <t>10.6 to 22.5 cases per 100,000</t>
  </si>
  <si>
    <t>https://pubmed.ncbi.nlm.nih.gov/34616760/</t>
  </si>
  <si>
    <t>IC</t>
  </si>
  <si>
    <t>PBS</t>
  </si>
  <si>
    <t>Bladder pain syndrome</t>
  </si>
  <si>
    <t>Painful bladder syndrome</t>
  </si>
  <si>
    <t>Chronic Lyme disease</t>
  </si>
  <si>
    <t>Lyme disease</t>
  </si>
  <si>
    <t xml:space="preserve">Lyme disease (named for the town of Lyme, Connecticut where it was first identified) is a bacterial disease transmitted through the bite of an infected black-legged tick, commonly known as a deer tick. Infection is possible after 24 to 48 hours.  If the tick is not removed by then, it can transmit one of four main species of bacteria that cause Lyme disease: Borrelia burgdorferi, Borrelia mayonii, Borrelia afzelii and Borrelia garinii bacteria. The infection can be detected by a red “bulls-eye” rash or by Bell’s Palsy, a condition in which facial muscles are paralyzed. 
If the disease is detected and treated (with antibiotics) recovery is usually complete and symptoms like Bell’s disappear completely. In these cases, there is no autoimmune disease.   
However, in some people, the Lyme disease triggers symptoms similar to rheumatoid arthritis. This is called “chronic Lyme disease” and is suspected of being an autoimmune disease.  </t>
  </si>
  <si>
    <t>Comorbid with strong-evidence AD but autoantibodies not confirmed</t>
  </si>
  <si>
    <t>33937009</t>
  </si>
  <si>
    <t>Erythema Migrans with Polyarthritis</t>
  </si>
  <si>
    <t>Lyme Arthritis</t>
  </si>
  <si>
    <t>Lyme Borreliosis</t>
  </si>
  <si>
    <t>Not classified</t>
  </si>
  <si>
    <t>Chronic multifocal osteomyelitis</t>
  </si>
  <si>
    <t>Chronic multifocal osteomyelitis (CRMO) occurs due to an immune system attack on the bones, which has not yet been deemed autoimmune or autoinflammatory in nature, which causes periodic episodes of inflammation of the bones. CRMO is a non bacterial type of osteomyelitis that is considered when bacterial options have been ruled out.
CRMO most commonly affects the long bones as well as the pelvis or spine. This disease can also be diagnosed along with inflammatory bowel disease or psoriasis. CRMO usually occurs in children and can cause bone deformities or slow growth in children. Although there is no cure for CRMO, treatments involved medications such as non-steroidal anti-inflammatory medications, antirheumatic drugs, biologics, and more.
Chronic non-bacterial osteomyelitis (CNO) is a rare auto-inflammatory bone disorder with a prevalence of around one in a million patients. In the more severe form, it is referred to as chronic recurrent multifocal osteomyelitis (CRMO). </t>
  </si>
  <si>
    <t>https://pubmed.ncbi.nlm.nih.gov/30456556/</t>
  </si>
  <si>
    <t>Buch 2018</t>
  </si>
  <si>
    <t>1 in 1 million</t>
  </si>
  <si>
    <t>Chronic post-COVID-19 syndrome</t>
  </si>
  <si>
    <t>1119304009</t>
  </si>
  <si>
    <t>In as many as 50% of cases of COVID-19 infection, the syndrome known as “Long COVID”  continues to affect a person for months, even years.  Data on this syndrome is mostly anecdotal and unscientific, but some formal research has been completed (citations below).
The symptoms of Long COVID are familiar to many people suffering from autoimmune diseases, including:
Fatigue
An unpredictable flare and remission pattern of recurrence
“Brain fog”, an interruption of memory, attention, and thought processing that can inhibit or prevent a person from performing normal activities
There are additional factors that COVID-19 and Long COVID share with autoimmune disease:
Myocarditis, reported among patients with COVID-19 and, in rare cases, among those who have been vaccinated, is also an autoimmune disease.
Blood clots similar to those found in the autoimmune disease antiphospholipid syndrome have been reported in patients with COVID-19 and Long COVID (though research suggests that the antibody response in Long COVID is not the same as the response found in autoimmune diseases).
High levels of antibodies to the immune-system proteins called type I interferons (IFNs) have been associated with severe COVID-19. 
A further factor leading to the inclusion of Long COVID on the list of autoimmune diseases is that evidence shows that severely ill patients tend to have a high concentration of pro-inflammatory cytokines, such as interleukin (IL)-6, compared to those who are moderately ill. 
Finally, there are other suspected associations between viral infection and autoimmune diseases. Most well known of these is the Epstein-Barr virus, which can lead to acute autoimmune diseases like Gulliere-Barre syndrome and chronic diseases like lupus. 
The Autoimmune Registry has decided to include Long COVID in its list of autoimmune diseases to support research into this emerging chronic condition.   We classify the level of evidence as “Unconfirmed”, which indicates that:
The disease follows a pattern common to autoimmune diseases;
Autoimmunity has not been ruled out; and 
More study is needed.</t>
  </si>
  <si>
    <t>https://pubmed.ncbi.nlm.nih.gov/38359012/</t>
  </si>
  <si>
    <t>Ford 2024</t>
  </si>
  <si>
    <t>Based on a survey of adults</t>
  </si>
  <si>
    <t xml:space="preserve"> Based on a survey of adults </t>
  </si>
  <si>
    <t>COVID Long-Hauler</t>
  </si>
  <si>
    <t>Long COVID</t>
  </si>
  <si>
    <t>Post-acute COVID-19</t>
  </si>
  <si>
    <t>Post-Acute Sequelae of COVID-19</t>
  </si>
  <si>
    <t>Cogan's syndrome</t>
  </si>
  <si>
    <t xml:space="preserve">Cogan syndrome is a rare disease characterized by inflammation of the ears and eyes.  It is characterized as a rheumatic disease because it involves inflamation.  Specifically, when blood vessels are involved, it is characterized as a form of vasculitis. Cogan syndrome can lead to vision difficulty, hearing loss and dizziness. </t>
  </si>
  <si>
    <t>https://acrabstracts.org/abstract/global-prevalence-and-clinical-outcomes-of-cogan-syndrome/</t>
  </si>
  <si>
    <t>Palmer 2024</t>
  </si>
  <si>
    <t>DEP1/CD148 is the pathogenetically relevant autoantigen</t>
  </si>
  <si>
    <t xml:space="preserve">Autoimmunity has been implicated because of the presence of serum antibodies to a mixture of corneal antigens and inner ear extracts (Disher et al., 1997; Helmchen et al., 1999). In a few cases, anti-neutrophil cytoplasmic autoantibodies (ANCA) have been reported. We have demonstrated that Cogan's syndrome is an autoimmune disease and that DEP1/CD148 is the pathogenetically relevant autoantigen (Lunardi et al., 2002). Using the peptide library approach (Puccetti and Lunardi, 2010), already applied to the study of systemic sclerosis (Lunardi et al., 2000), we identified a peptide recognized by the sera of all the patients.
The Autoimmune Diseases . Elsevier Science. Kindle Edition. </t>
  </si>
  <si>
    <t>Diffuse interstitial keratitis</t>
  </si>
  <si>
    <t>Cold agglutinin disease</t>
  </si>
  <si>
    <t>CAD</t>
  </si>
  <si>
    <t xml:space="preserve">Cold agglutinin disease is a type of autoimmune hemolytic anemia in which the body's immune system attacks and destroys its own red blood cells.  Unlike warm autoimmune hemolytic anemia, the autoimmune destruction of cells occurs when a person is exposed to cold, or their body temperature is below normal. Some patients experience heart problems because the heart has to work harder to make sure the body gets enough healthy red blood cells  </t>
  </si>
  <si>
    <t>https://pubmed.ncbi.nlm.nih.gov/29296728/</t>
  </si>
  <si>
    <t>Mullins 2017</t>
  </si>
  <si>
    <t xml:space="preserve">In contrast, cold autoantibodies active up to 30°C are associated with cold agglutinin syndrome (CAS) (Petz, 2008), since temperatures in the peripheral circulation can fall below this level. The antibody, usually IgM, causes intravascular hemolysis if it activates complement to form membrane attack complexes (MAC) (Engelfriet et al., 1981; Petz and Garratty, 2004b), overcoming protective regulators on the RBC such as CD35 (complement receptor 1 CR1), CD55 (decay-accelerating factor), and CD59 (protectin) (Nicholson-Weller et al., 1982; Krych-Goldberg and Atkinson, 2001; Ruiz-Argüelles and Llorente, 2007).
The Autoimmune Diseases . Elsevier Science. Kindle Edition. </t>
  </si>
  <si>
    <t>16.2 cases per 1,000,000</t>
  </si>
  <si>
    <t>Anemia, hemolytic cold antibody</t>
  </si>
  <si>
    <t>398937006</t>
  </si>
  <si>
    <t>Cold antibody disease</t>
  </si>
  <si>
    <t>Cold antibody hemolytic anemia</t>
  </si>
  <si>
    <t>Cold autoimmune hemolytic anemia</t>
  </si>
  <si>
    <t>Complex regional pain syndrome</t>
  </si>
  <si>
    <t>Complex regional pain syndrome (CRPS) and amplified musculoskeletal pain syndromes (AMPS) are chronic pain conditions lasting at least 6 months. CRPS is often triggered by an injury followed by immobilization, and is marked by pain that does not diminish in a manner typical for the injury.  Patients experience unreasonably intense pain in the arms, legs, hands, or feet, both in response to painful and non-painful triggers. Pain can include burning, tingling, or squeezing sensations.  Redness and swelling are often present in the affected area.  There are two types of CRPS.  Patients with CRPS-I/Reflex Sympathetic Dystrophy do not have a confirmed nerve injury, whereas patients with CRPS-II/Causalgia do have an associated, confirmed nerve injury. CRPS usually occurs after an injury that caused damage to the nervous system. The cause is unknown but there are correlations with immune processes that result in swelling surrounding injury.  Treatments are available to manage symptoms, which help some patients, but not all.  Younger patients are more likely to recover than older patients, whose pain may persist and lead to disability.There is no known cause, and autoimmunity is suspected, but no evidence of autoimmunity has been definitively linked to CRPS.</t>
  </si>
  <si>
    <t>https://pubmed.ncbi.nlm.nih.gov/12749974/</t>
  </si>
  <si>
    <t>Sandroni 2003</t>
  </si>
  <si>
    <t>20.57 cases per 100,000</t>
  </si>
  <si>
    <t>Amplified musculoskeletal pain syndrome</t>
  </si>
  <si>
    <t>Causalgia</t>
  </si>
  <si>
    <t>Complex regional pain syndrome type 2</t>
  </si>
  <si>
    <t>Complex regional pain syndrome type II</t>
  </si>
  <si>
    <t>Complex regional pain syndrome type 1</t>
  </si>
  <si>
    <t>Complex regional pain syndrome type I</t>
  </si>
  <si>
    <t>Reflex sympathetic dystrophy</t>
  </si>
  <si>
    <t>Crohn's disease</t>
  </si>
  <si>
    <t>Crohn's Disease (CD) causes inflammation of the digestive tract that may lead to abdominal pain, severe diarrhea, fatigue, weight loss, and malnutrition. When that inflammation is only in the large intestine (including the colon) the disease is called ulcerative colitis (UC).
Both UC and CD are caused by an autoimmune response that reflects the involvement of the innate and adaptive immune systems. The disease mechanism is complex, but appears to start when a normal immune response to a bacterial infection does not stop properly after the infection is fought off. The resulting inflammation leads to the symptoms of both UC and CD.</t>
  </si>
  <si>
    <t>https://pubmed.ncbi.nlm.nih.gov/27787492/</t>
  </si>
  <si>
    <t>Dahlhamer 2016</t>
  </si>
  <si>
    <t xml:space="preserve">Inflammatory bowel diseases (IBD) ulcerative colitis (UC) and Crohn's disease (CrD) are not initiated by an endogenous autoimmune event, but the pathology is autoimmune in nature. These diseases are presumed to manifest as a result of dysregulated immune responses to the intestinal microbiota.
The Autoimmune Diseases . Elsevier Science. Kindle Edition. </t>
  </si>
  <si>
    <t>599.5 to 770.0 cases per 100,000</t>
  </si>
  <si>
    <t>Crohn's colitis</t>
  </si>
  <si>
    <t>Crohn's granulomatous</t>
  </si>
  <si>
    <t>Gastroduodenal Crohn's disease</t>
  </si>
  <si>
    <t>Ileocolitis</t>
  </si>
  <si>
    <t>Illeitis</t>
  </si>
  <si>
    <t>Jejunoileitis</t>
  </si>
  <si>
    <t>Lungs</t>
  </si>
  <si>
    <t>Cryptogenic organizing pneumonia</t>
  </si>
  <si>
    <t xml:space="preserve">Cryptogenic organizing pneumonia is inflammation and scarring of the small airways and air sacs of the lungs. The exact cause is not understood, but an autoimmune response is suspected. </t>
  </si>
  <si>
    <t>https://www.ncbi.nlm.nih.gov/pmc/articles/PMC2117106/</t>
  </si>
  <si>
    <t>Gudmundsson 2006</t>
  </si>
  <si>
    <t>Mean annual incidence of OP was 1.97/100 000 population (1.10/100 000 for COP and 0.87/100 000 for SOP). The mean age at diagnosis was 67 years with a wide age range.</t>
  </si>
  <si>
    <t xml:space="preserve">Indirect evidence for autoimmune mechanisms in COP comes from the bronchiolitis obliterans syndrome associated with both lung and allogeneic stem cell transplants. These cases, which can be viewed as in vivo human models of bronchiolar disease, have been more extensively studied than COP or rheumatic disease-associated COP.
The Autoimmune Diseases . Elsevier Science. Kindle Edition. </t>
  </si>
  <si>
    <t>1.1 cases per 100,000</t>
  </si>
  <si>
    <t>https://pubmed.ncbi.nlm.nih.gov/?term=Cryptogenic+organizing+pneumonia+is+a+rare+autoimmune&amp;sort=date</t>
  </si>
  <si>
    <t>Bronchiolitis obliterans with organizing pneumonia</t>
  </si>
  <si>
    <t>idiopathic interstitial pneumonia</t>
  </si>
  <si>
    <t>Interstitial pneumonia</t>
  </si>
  <si>
    <t>Cutaneous lupus erythematosus</t>
  </si>
  <si>
    <t xml:space="preserve">Discoid lupus erythematosus, also referred to as DLE, is a chronic but localized skin condition where sores (lesions) form on the scalp, face, elbow, or fingertips. In DLE, the autoimmune system attacks connective tissue. The lesions are red, inflamed patches with a scaling and crusting appearance. If present in areas with a significant amount of hair, the lesions can cause scarring and hair loss in that area. Because the symptoms are similar to other skin diseases and other types of lupus, a skin biopsy must be performed to confirm a diagnosis.  The primary difference between discoid lupus erythematosus (DLE) and systemic lupus erythematosus (SLE) is that DLE mainly affects the skin, while SLE also affects the organs, such as the heart, blood vessels, nervous system, and kidneys. Patients can have both DLE and SLE. </t>
  </si>
  <si>
    <t>https://pubmed.ncbi.nlm.nih.gov/30041816/</t>
  </si>
  <si>
    <t>Gauzere 2019</t>
  </si>
  <si>
    <t>p</t>
  </si>
  <si>
    <t xml:space="preserve">Similarly, antibodies to the nuclear antigen Ro/SS-A are associated with subacute cutaneous lupus erythematosus (SCLE) (Sontheimer, 2005), where, likewise, immune complexes can be directly detected in the affected skin.
The Autoimmune Diseases . Elsevier Science. Kindle Edition. </t>
  </si>
  <si>
    <t>70.0 to 82.0 cases per 100,000</t>
  </si>
  <si>
    <t>https://pubmed.ncbi.nlm.nih.gov/?term=Cutaneous+lupus+erythematosus+is+a+rare+autoimmune&amp;sort=date</t>
  </si>
  <si>
    <t>Discoid lupus</t>
  </si>
  <si>
    <t>Discoid lupus erythematosus</t>
  </si>
  <si>
    <t>Lupus erythematosus tumidus</t>
  </si>
  <si>
    <t>Chronic discoid lupus erythematosus</t>
  </si>
  <si>
    <t>Subacute cutaneous lupus erythematosus</t>
  </si>
  <si>
    <t>Discoid lupus erythematosus of oral mucosa</t>
  </si>
  <si>
    <t>Immune related</t>
  </si>
  <si>
    <t>Cutaneous mastocytosis</t>
  </si>
  <si>
    <t>Cutaneous mastocytosis is caused when too many mast cells accumulate in the skin. It is not an autoimmune disease, but a disease of the immune system, specifically mast cells. Mast cells transport histamine, which is involved in allergic responses.  
When mastocytosis is not limited to the skin, it is called systemic mastocytosis, and is a more severe form of the disease.</t>
  </si>
  <si>
    <t>https://pubmed.ncbi.nlm.nih.gov/33040350/</t>
  </si>
  <si>
    <t>Raimondo 2020</t>
  </si>
  <si>
    <t>No methodology</t>
  </si>
  <si>
    <t>1 in 10,000</t>
  </si>
  <si>
    <t>Dermatitis herpetiformis</t>
  </si>
  <si>
    <t xml:space="preserve">Dermatitis herpetiformis is a chronic, blistering, and intensely itchy rash, It is occurs in people who are suffering from celiac disease who consume gluten.  It is affects about 10 percent of those with celiac disease, and usually affects male adults between 30 and 40 and is more common in people of northern European descent.  DH is rarely found in those of African and Asian ancestry. </t>
  </si>
  <si>
    <t>https://pubmed.ncbi.nlm.nih.gov/33026427/   and https://pubmed.ncbi.nlm.nih.gov/21517799/</t>
  </si>
  <si>
    <t>Salme 2011</t>
  </si>
  <si>
    <t>Comorbid with celiac disease</t>
  </si>
  <si>
    <t xml:space="preserve">In dermatitis herpetiformis, which could be considered as celiac disease with additional skin lesions, IgA autoantibodies are prime suspects. These patients, in addition to anti-TG2 antibodies, have antibodies that target transglutaminase 3 (TG3), and the IgA anti-TG3 antibodies are more closely associated with the disease than the IgA anti-TG2 antibodies (Sardy et al., 2002). TG3 is closely related to TG2 and is also able to modify gluten peptides, but is paradoxically not expressed in the dermal papillae where the granular IgA deposits in dermatitis herpetiformis are located.
The Autoimmune Diseases . Elsevier Science. Kindle Edition. </t>
  </si>
  <si>
    <t>7.5 to 11.2 cases per 100,000</t>
  </si>
  <si>
    <t>DH</t>
  </si>
  <si>
    <t>Duhring-Brocq disease</t>
  </si>
  <si>
    <t>Duhring's disease</t>
  </si>
  <si>
    <t>Gluten rash</t>
  </si>
  <si>
    <t>Dermatomyositis</t>
  </si>
  <si>
    <t>Juvenile dermatomyositis</t>
  </si>
  <si>
    <t>https://www.ncbi.nlm.nih.gov/pmc/articles/PMC2886726/</t>
  </si>
  <si>
    <t>Reeder 2010</t>
  </si>
  <si>
    <t>3 of 29 cases in the Reeder study were juvenile</t>
  </si>
  <si>
    <t xml:space="preserve">In human autoimmune diseases, expansion of circulating TFH (follicular t helper cells) cells in patients with juvenile dermatomyositis, RA, SLE, and Sjögren's syndrome has been observed to strongly correlate with increased plasmablasts and serum concentrations of anti-dsDNA and antinuclear antibodies (Morita et al., 2011; Ma et al., 2012; Zhang et al., 2013). These observations are highly suggestive of the role that aberrant TFH cells may play in the pathogenesis of autoimmunity.
The Autoimmune Diseases . Elsevier Science. Kindle Edition. </t>
  </si>
  <si>
    <t>2.2 cases per 100,000</t>
  </si>
  <si>
    <t xml:space="preserve">Dermatomyositis is an autoimmune disease that causes symptoms in the skin and muscles.  The symptoms are variable from patient to patient.   Affected populations can be grouped into juvenile and adult dermatomyositis.  The juvenile group tends to have gastrointestinal issues as well.  </t>
  </si>
  <si>
    <t>Age- and sex-adjusted prevalence was 21.42 (13.07-29.77) per 100,000.</t>
  </si>
  <si>
    <t xml:space="preserve">Perhaps the best evidence for associating autoantibodies to pulmonary fibrosis is in patients with polymyositis and dermatomyositis, in which antibodies (Targoff, 1993) against the aminoacyl-tRNA synthetases have been shown to be highly correlated with pulmonary fibrosis (Bernstein et al., 1984; Targoff, 1993). At least five known forms of the autoantibodies have been identified, which include anti-alanyl-tRNA synthetase (PL), anti-histidyl-tRNA synthetase (Jo-1), anti-isoleucyl-tRNA synthetase (OJ), anti-glycyl tRNA synthetase, and anti-threonyl tRNA synthetase. The strongest correlation appears to be with anti-Jo-1 antibodies, which have been reported to have a frequency of interstitial lung disease between 50% (Hochberg et al., 1984) and 100% (Yoshida et al., 1983). Patients with polymyositis or dermatomyositis can frequently present with the “antisynthetase syndrome” characterized by pulmonary fibrosis in 50–75% of patients, arthritis, Raynaud's phenomenon, and fevers.
The Autoimmune Diseases . Elsevier Science. Kindle Edition. </t>
  </si>
  <si>
    <t>21.42 cases per 100,000</t>
  </si>
  <si>
    <t>Diabetes mellitus type 1</t>
  </si>
  <si>
    <t>In diabetes type 1, the cells in the pancreas that make insulin, sometimes referred to as "pancreatic islet" or "pancreatic beta cells", are killed by T-Cells produced by the immune system. Without insulin, the body cannot process glucose, which builds up in the bloodstream and can cause damage to nerves and blood vessels. Unlike diabetes type 1, diabetes type 2 is caused when cells do not respond normally to insulin. Therefore, the mechanisms of the two main types of diabetes are different, and the treatments are therefore different. Type 1 is treated with insulin injections (which is why it is sometimes called "insulin dependent diabetes"). Type 2 is usually treated with drugs like metformin, since type 2 is not caused by a failure to produce insulin but rather a failure to properly use it.
It is possible for an individual with type 1 diabetes to develop type 2 diabetes, but that is relatively uncommon. However, it is more common (in the US medical system) is that doctors will inadvertently record a type 1 code in a patient with type 2 diabetes, and vice versa. (In fairness to the doctors, the ICD-9 coding system used before the introduction of ICD-10 in 2015 did not clearly differentiate between the two diseases.)</t>
  </si>
  <si>
    <t>https://pubmed.ncbi.nlm.nih.gov/23903880/</t>
  </si>
  <si>
    <t>Menke 2013</t>
  </si>
  <si>
    <t>Our prevalence estimates of type 1 diabetes mellitus in the entire civilian noninstitutionalized US population (2.6/1000 for definition 1 and 3.4/1000 for definition 2) are reasonable given current available data</t>
  </si>
  <si>
    <t xml:space="preserve">The defining feature of AI-DM is islet (beta cell) autoimmunity (Notkins and Lernmark, 2001). The detection of islet autoantibodies in peripheral blood is currently considered as the earliest sign of AI-DM (Achenbach et al., 2005). The availability of standardized islet autoantibody tests may be used to distinguish AI-DM from other forms of diabetes (Table 41.2). Four major autoantigens have been identified in AI-DM along with a growing list of minor autoantigens (Hirai et al., 2008).
The Autoimmune Diseases . Elsevier Science. Kindle Edition. </t>
  </si>
  <si>
    <t>2.6 to 3.4 cases per 1,000</t>
  </si>
  <si>
    <t>Insulin dependent Diabetes</t>
  </si>
  <si>
    <t>Juvenile diabetes</t>
  </si>
  <si>
    <t>Type 1 diabetes</t>
  </si>
  <si>
    <t>Type 1 diabetes mellitus</t>
  </si>
  <si>
    <t>Eaton-Lambert syndrome</t>
  </si>
  <si>
    <t xml:space="preserve">Lambert-Eaton myasthenic syndrome is a chronic autoimmune disorder characterized by the body's immune system attacking tissue at the junction where nerves and skeletal muscles meet. The resulting inflammation and damage prevent the nerve cells from sending messages to muscle cells leading to muscle loss and weakness. LEMS has two types: one is LEMS triggered by small cell lung cancer, and the other starts spontaneously (idiopathic) without the presence of lung cancer. </t>
  </si>
  <si>
    <t>https://pubmed.ncbi.nlm.nih.gov/27997683/</t>
  </si>
  <si>
    <t>Abenroth 2017</t>
  </si>
  <si>
    <t>2.6 per 1,000,000 (confirmed cases) and 3.3 per 1,000,000</t>
  </si>
  <si>
    <t xml:space="preserve">Electromyography will confirm a disorder of neurotransmission, although a significant increase in the compound muscle action potential following a period of exercise or high frequency stimulation allows electrophysiological differentiation from MG. Serological confirmation involves detection of antibodies against the P/Q type voltage-gated calcium channels which are found in approximately 90% of LEMS cases, and are invariably present in paraneoplastic SCLC cases (see below). To detect the antibodies, the P/Q type VGCCs are extracted from mammalian brain, labeled with 125I ω-conotoxin which binds specifically to these VGCCs, and used in an RIA. In addition antibodies against N type (30–40%) and L type (25%) VGCCs may be present (Johnston et al., 1994; Motomura et al., 1997). Other antibodies which have been identified include those against synaptotagmin (Takamori et al., 1995) and more recently against SOX-1 in 65% of paraneoplastic cases and around 5% of non-paraneoplastic cases (Sabater et al., 2008; Titulaer et al., 2009).
The Autoimmune Diseases . Elsevier Science. Kindle Edition. </t>
  </si>
  <si>
    <t>.26 to .33 cases per 100,000</t>
  </si>
  <si>
    <t>LEMS</t>
  </si>
  <si>
    <t>Lambert-Eaton myasthenic syndrome</t>
  </si>
  <si>
    <t>Lambert-Eaton syndrome</t>
  </si>
  <si>
    <t>Endometriosis</t>
  </si>
  <si>
    <t xml:space="preserve">A disorder where the tissue that normally lines the uterus grows outside of the uterus. The tissue can grow on the ovaries, fallopian tubes, outer wall of the uterus, intestines, or other organs in the belly. </t>
  </si>
  <si>
    <t>https://pubmed.ncbi.nlm.nih.gov/28444957/</t>
  </si>
  <si>
    <t>Eisenberg 2017</t>
  </si>
  <si>
    <t>Based on a percentage of women of childbearing age (75 million)</t>
  </si>
  <si>
    <t>Insufficient evidence</t>
  </si>
  <si>
    <t>1,050.0 to 1,100.0 cases per 100,000</t>
  </si>
  <si>
    <t>Adenomyometritis</t>
  </si>
  <si>
    <t>Adenomyosis</t>
  </si>
  <si>
    <t>Adenomysis uteri</t>
  </si>
  <si>
    <t>Endometriosis Uterina</t>
  </si>
  <si>
    <t>Enthesitis</t>
  </si>
  <si>
    <t>Enthesitis-related arthritis is diagnosed when rheumatoid arthritis affects the entheses, the connective tissue between a tendon or ligament and a bone.  Enthesitis affects about 15% of patients with juvenile arthritis.</t>
  </si>
  <si>
    <t>Subtype of RA or JRA</t>
  </si>
  <si>
    <t>Enthesitis-related arthritis</t>
  </si>
  <si>
    <t>Enthesitis-related juvenile arthritis</t>
  </si>
  <si>
    <t>Eosinophilic esophagitis</t>
  </si>
  <si>
    <t xml:space="preserve">Eosinophilic esophagitis, EoE, is a buildup of white blood cells (eosinophils) in the throat (esophagus). This causes chronic inflammation and leads to problems swallowing. EoE has only recently been recognized as a disease. The condition is characterized as an immune system reaction, but is more like an allergy than an autoimmune disease.  EoE appears to be more common among those who suffer from allergies and asthma as well as autoimmune conditions such as celiac disease, and mast cell disorders. Mast cells are involved in the body's allergic response system.  EoE was first described in 1993 with a report of 12 patients who had dysphagia, normal endoscopy, no acid reflux, and intraepithelial eosinophilia. The authors recognized that these patients had a distinct disease. Since then, the disease has increased in prevalence. Evidence for EoE being an autoimmune disease is limited. </t>
  </si>
  <si>
    <t>https://pubmed.ncbi.nlm.nih.gov/29129296/</t>
  </si>
  <si>
    <t>Moawad 2017</t>
  </si>
  <si>
    <t>10.0 to 57.0 cases per 100,000</t>
  </si>
  <si>
    <t>Eosinophilic Esophagitis</t>
  </si>
  <si>
    <t>Eosinophilic Oesophagitis</t>
  </si>
  <si>
    <t>Epilepsy</t>
  </si>
  <si>
    <t xml:space="preserve">Epilepsy is the repeated occurrence of seizures, which are short periods of abnormally excessive or synchronous brain activity in the brain marked by uncontrolled shaking and loss of consciousness. Seizures usually last less than two minutes but it takes time to return to normal. Since a number of autoimmune diseases that affect the brain can lead to seizures, epilepsy has been listed in some lists as an autoimmune disease. However, unless the cause of the seizure is an underlying autoimmune disease, epilepsy itself is not an autoimmune disease. </t>
  </si>
  <si>
    <t>https://pubmed.ncbi.nlm.nih.gov/37031584/</t>
  </si>
  <si>
    <t>Kobau 2023</t>
  </si>
  <si>
    <t>Via patient interviews</t>
  </si>
  <si>
    <t xml:space="preserve">The two important points are, first, that “autoimmune epilepsy” should now be regarded as a definitive neurological entity for which there are valid serological diagnostic assays, and second, that immunotherapies can provide substantial relief from seizures in cases in which conventional anti-epilepsy drugs have failed.
The Autoimmune Diseases . Elsevier Science. Kindle Edition. </t>
  </si>
  <si>
    <t>Many cases of epilepsy are not autoimmune</t>
  </si>
  <si>
    <t>Episcleritis</t>
  </si>
  <si>
    <t xml:space="preserve">Episcleritis is an inflammation of the white tissue, the sclera, that surrounds most of the eye. Though scleritis is a symptom of a number of autoimmune diseases, it is suspected of being an autoimmune disease itself.  </t>
  </si>
  <si>
    <t>https://pubmed.ncbi.nlm.nih.gov/24145628/</t>
  </si>
  <si>
    <t>Honik 2013</t>
  </si>
  <si>
    <t xml:space="preserve">Episcleritis is an inflammatory disease involving the tissue that lies superficial to the sclera. Scleritis is a painful and potentially sight-threatening inflammatory disease involving the sclera. Episcleritis is typically more acute and less severe than scleritis and it is often idiopathic; however, many of the diseases associated with scleritis have also been associated with episcleritis. Clinical examination evaluates for the presence of erythema and edema of the episclera or sclera as well as injection of the deep episcleral vessels (Figure 55.2). The inflamed sclera is usually characterized by a violaceous hue which can be graded in a standardized fashion (Sen et al., 2011). Many inflammatory systemic disorders are associated with scleritis, the most common being rheumatoid arthritis. Others include juvenile idiopathic arthritis (JIA), Reiter syndrome, Crohn's disease, ankylosing spondylitis, ulcerative colitis, polymyositis, polyarteritis nodosa, systemic lupus erythematosus (SLE), Wegener's granulomatosis, sarcoidosis, Lyme disease, and Cogan syndrome. In up to 40% of cases no associated disease can be identified (Sainz de la Maza et al., 2012).
The Autoimmune Diseases . Elsevier Science. Kindle Edition. </t>
  </si>
  <si>
    <t>52.6 cases per 100,000</t>
  </si>
  <si>
    <t>inflammatory https://pubmed.ncbi.nlm.nih.gov/?term=%22Episcleritis%22%20is%20a%20rare%20autoimmune&amp;sort=date&amp;page=2</t>
  </si>
  <si>
    <t>Erythema nodosum</t>
  </si>
  <si>
    <t>EN</t>
  </si>
  <si>
    <t xml:space="preserve">Erythema nodosum is a condition that causes the fat layer just beneath the skin to become inflamed, forming swollen bumps 1 to 5 cm across.  These bumps most frequently occur on the shins, and sometimes the thighs and forearms as well.  The degree of inflammation may vary by day over a period of 3 to 6 weeks, after which time the bumps finally fade.  The affected area may appear bruised for a period of up to a few months afterward, but most patients experience a full recovery with no scars.  The cause is uncertain but is correlated with an over-reactive immune response following infection, medication, pregnancy, inflammatory conditions, vaccines, and autoimmune or other medical conditions.  Treatments are available to relieve discomfort.  </t>
  </si>
  <si>
    <t>https://pubmed.ncbi.nlm.nih.gov/11464178/</t>
  </si>
  <si>
    <t>Requena 2001</t>
  </si>
  <si>
    <t>Unsubstantiated figure from a published paper</t>
  </si>
  <si>
    <t>1.0 to 5.0 cases per 100,000</t>
  </si>
  <si>
    <t>Erythema nodosum of unknown etiology</t>
  </si>
  <si>
    <t>Idiopathic erythema nodosum</t>
  </si>
  <si>
    <t>Essential mixed cryoglobulinemia</t>
  </si>
  <si>
    <t>Essential mixed cryoglobulinemia is marked by the presence of abnormal antibodies (cryoglobulins) that clump together and become solid or gel-like at temperatures below normal body temperature (98.6 F).  The exact temperature at which this occurs may vary from one person to another. When these proteins clump together in the bloodstream, they block the flow of blood to joints, muscles, and organs. Eventually, damage or inflammation of affected blood vessels (vasculitis) and surrounding tissue can develop. Cryoglobulinemia is classified as follows: Type I cryoglobulinemia (simple cryoglobulinemia), involves monoclonal immunoglobulin, usually immunoglobulin M (IgM) or, less frequently, immunoglobulin G (IgG), immunoglobulin A (IgA), or light chains. Types II and III cryoglobulinemia (mixed cryoglobulinemia) include rheumatoid factors (RFs) that are usually IgM and rarely IgG or IgA.  Type II involves monoclonal rheumatoid factors; type III involves polyclonal rheumatoid factors. Types II and III cryoglobulinemia represent 80% of all cryoglobulinemias.</t>
  </si>
  <si>
    <t xml:space="preserve">From an immunological point of view, B cell activation is the hallmark of the syndrome resulting in hypergammaglobulinemia, cryoglobulinemia, and autoantibody production.
The Autoimmune Diseases . Elsevier Science. Kindle Edition. </t>
  </si>
  <si>
    <t>Autoimmune cryoglobulinemia</t>
  </si>
  <si>
    <t>Cryoglobulinemic Vasculitis</t>
  </si>
  <si>
    <t>Evans syndrome</t>
  </si>
  <si>
    <t xml:space="preserve">A rare autoimmune disorder that is a combination of two or more immune hematological disorders in which the immune system destroys the body's red blood cells, white blood cells and/or platelets. 
The disorder resembles a combination of autoimmune hemolytic anemia, thrombocytopenia (too few platelets), and/or neutropenia (too few neutrophils).
</t>
  </si>
  <si>
    <t>https://pubmed.ncbi.nlm.nih.gov/31292991/</t>
  </si>
  <si>
    <t>Hansen 2019</t>
  </si>
  <si>
    <t xml:space="preserve">Although we can find a positive direct antiglobulin test (DAT), without hemolytic anemia, in approximately 20% of patients with ITP (Aledort et al., 2004), its clinical significance is unknown. Evans syndrome (ES) is an autoimmune disorder defined by the simultaneous or sequential development of ITP and autoimmune hemolytic anemia (AIHA) with a positive DAT and/or immune neutropenia in the absence of known underlying etiology (Evans et al., 1951). The development of the second cytopenia may occur months to years after the first immune cytopenia and may delay diagnosis of Evans syndrome (Mathew et al., 1997).
The Autoimmune Diseases . Elsevier Science. Kindle Edition. </t>
  </si>
  <si>
    <t>17.4 to 25.8 cases per 100,000</t>
  </si>
  <si>
    <t>Fasciitis with eosinophilia syndrome</t>
  </si>
  <si>
    <t>Eosinophilic fasciitis is a rare, scleroderma-like, autoimmune rheumatic disorder in which the skin and tissue (the fascia, fibrous tissue that separates different layers of tissues under the skin) that lies beneath the skin become painfully inflamed and swollen and gradually hardens. It affects the forearms, the upper arms, the lower legs, the thighs, and the trunk (in order of decreasing frequency). The disease is considered by some to be a deep variant of the skin condition morphea, and is also known as pansclerotic morphea with deep fascial involvement. Patients usually present suddenly with painful, tender, swollen and red extremities. Within weeks to months, patients develop stiffness and affected skin becomes hardened, creating a characteristic orange-peel appearance over the surfaces of the extremities. In severely affected areas, the skin and the subcutaneous tissue are bound tightly to the underlying muscle. This creates a woody-type appearance. The presentation of eosinophilic fasciitis is similar to scleroderma or systemic sclerosis. However unlike scleroderma it affects the fascia, not the skin (dermis). Unlike scleroderma and systemic sclerosis, effects such as Raynaud's phenomenon, which affects prominent small blood vessels in the extremities (telangiectasia), and visceral changes, such as swallowing problems, are absent. It was first characterized in 1974 and it is not yet known whether it is actually a distinct condition or just a different presentation of morphea.</t>
  </si>
  <si>
    <t>https://pubmed.ncbi.nlm.nih.gov/29526049/</t>
  </si>
  <si>
    <t>Spielmann 2018</t>
  </si>
  <si>
    <t>10.0 to 21.0 cases per 1,000,000</t>
  </si>
  <si>
    <t>Eosinophilic fasciitis</t>
  </si>
  <si>
    <t>Pansclerotic morphea with deep fascial involvement</t>
  </si>
  <si>
    <t>Shulman syndrome</t>
  </si>
  <si>
    <t>Shulman's syndrome</t>
  </si>
  <si>
    <t>Felty syndrome</t>
  </si>
  <si>
    <t xml:space="preserve">Felty syndrome is a rare, potentially serious disorder which is characterized by the presence of three symptoms: rheumatoid arthritis, splenomegaly (enlarged spleen) and neutropenia (a decreased white cell count) which can lead to repeated infections.  It also associated with rheumatoid factor (RF) positive rheumatoid arthritis.    </t>
  </si>
  <si>
    <t>https://pubmed.ncbi.nlm.nih.gov/16870099/</t>
  </si>
  <si>
    <t>Calgüneri 2006.</t>
  </si>
  <si>
    <t>Cases: 32,000 [Calgüneri 2006]. F</t>
  </si>
  <si>
    <t xml:space="preserve">A combination of 3 conditions, one of which is RA. Rose &amp; Mackay: Non-hematologic autoimmune disorders associated with neutropenia include systemic lupus erythematosus (SLE), Sjögren's syndrome, Graves' disease, rheumatoid arthritis, Felty's syndrome, common variable immunodeficiency, and immune complex diseases (Breedceld et al., 1986).
The Autoimmune Diseases . Elsevier Science. Kindle Edition. </t>
  </si>
  <si>
    <t>10.0 cases per 100,000</t>
  </si>
  <si>
    <t>FS</t>
  </si>
  <si>
    <t>Felty's syndrome</t>
  </si>
  <si>
    <t>Super rheumatoid disease</t>
  </si>
  <si>
    <t>Female infertility due to antisperm antibodies</t>
  </si>
  <si>
    <t>Infertility due to antisperm antibodies</t>
  </si>
  <si>
    <t>https://pubmed.ncbi.nlm.nih.gov/8276524/</t>
  </si>
  <si>
    <t>Sinisi 1993</t>
  </si>
  <si>
    <t>No data</t>
  </si>
  <si>
    <t xml:space="preserve">The slow progress in clinical research is in part explained by the success of assisted reproduction techniques that partly overcome the adverse effects of antisperm antibodies. Nonetheless, the experimental studies have yielded exceptional information on the fundamental mechanisms of tolerance and autoimmunity.
The Autoimmune Diseases . Elsevier Science. Kindle Edition. </t>
  </si>
  <si>
    <t>414238007</t>
  </si>
  <si>
    <t xml:space="preserve">Anti-sperm antibodies (ASA) is a lab measurement, not a disease, but a high level of ASA may point to an autoimmune condition.
In women, ASA is an allergic response that can be an immunologic cause of infertility. 
ASA is not a concern except for people trying to conceive. </t>
  </si>
  <si>
    <t>Fibromyalgia</t>
  </si>
  <si>
    <t xml:space="preserve">Fibromyalgia is a disorder that is characterized by chronic pain and fatigue. The cause of fibromyalgia is unknown. Fibromyalgia may be accompanied by headaches, migraines, digestive problems, sensitivity to light or noise, sleep disturbances, temporomandibular joint (TMJ) dysfunction, anxiety, and depression. While fibromyalgia is mainly characterized by widespread chronic pain it does not mean that everyone who has chronic pain has fibromyalgia. There is no biomarker for fibromyalgia however lab tests or x-rays can help rule out other conditions. Fibromyalgia follows a pattern seen in many suspected (and in some cases, later confirmed) autoimmune diseases - it mostly affects women, is marked by flares, and has no other known cause. A study of mice recently reported the transference of fibromyalgia symptoms to mice using antibodies, which increases the probability that the disease is autoimmune.  If this research is validated (reproduced) it could establish fibromyalgia as an autoimmune disease.  </t>
  </si>
  <si>
    <t>https://www.ncbi.nlm.nih.gov/pmc/articles/PMC4575027/</t>
  </si>
  <si>
    <t>Walitt 2015</t>
  </si>
  <si>
    <t>1,420.0 to 2,070.0 cases per 100,000</t>
  </si>
  <si>
    <t>Fibromyalgia Syndrome</t>
  </si>
  <si>
    <t>Graves' disease</t>
  </si>
  <si>
    <t>Thyrotoxicosis</t>
  </si>
  <si>
    <t>https://www.ncbi.nlm.nih.gov/pmc/articles/PMC2717015/</t>
  </si>
  <si>
    <t xml:space="preserve">US Cases: 2 million [Eaton 2011] </t>
  </si>
  <si>
    <t>Thyrotropin receptor</t>
  </si>
  <si>
    <t xml:space="preserve">Thyroglobulin and TPO autoantibodies occur in up to 80% of patients. TSH-R stimulating antibodies (TSAb) can be detected in over 95% of patients with current assays.
The Autoimmune Diseases . Elsevier Science. Kindle Edition. </t>
  </si>
  <si>
    <t>629.0 cases per 100,000</t>
  </si>
  <si>
    <t>Thyrotoxicosis due to Graves' disease</t>
  </si>
  <si>
    <t xml:space="preserve">Graves' disease is an autoimmune thyroid disorder that affects the thyroid gland.  The thyroid is responsible for producing hormones that regulate processes involved with energy storage and consumption (metabolism), including maintenance of weight, breathing, heart rate, and temperature. In Graves' disease, antibodies cause the thyroid to enlarge and to produce hormones, even when the body doesn't need them.  Excessive thyroid hormone production disrupts the regulation of metabolism.  The heart, skin, muscles, eyes, and other organs can be affected.  Patients often experience loss of weight, tiredness, and heat sensitivity.  Some patients develop Graves' ophthalmopathy, a subtype of Graves' disease characterized by protruding eyes. The cause of the disease is uncertain, but risk may increase with excessive stress, certain genes, infection, pregnancy, other autoimmune disorders, and smoking.  Graves' disease is more common in females than in males.  Graves' disease is a chronic condition with no cure, but symptoms are manageable through medication and surgery. </t>
  </si>
  <si>
    <t>Autoimmune hyperthyroidism</t>
  </si>
  <si>
    <t>Basedow disease</t>
  </si>
  <si>
    <t>Exophthalmic goiter</t>
  </si>
  <si>
    <t>Graves' hyperthyroidism</t>
  </si>
  <si>
    <t>Parry disease</t>
  </si>
  <si>
    <t>Toxic diffuse goiter</t>
  </si>
  <si>
    <t>Guillain-Barré syndrome</t>
  </si>
  <si>
    <t>MFS</t>
  </si>
  <si>
    <t>https://www.ncbi.nlm.nih.gov/pmc/articles/PMC5703046/</t>
  </si>
  <si>
    <t>Sejvar 2011</t>
  </si>
  <si>
    <t>Incidence - cases per year, GBS incidence from 0.62 to 2.66 per 100,000</t>
  </si>
  <si>
    <t xml:space="preserve">Antibodies to ganglioside species are found in the serum of patients with GBS (both AMAN and AIDP). They are polyclonal, predominantly IgG, and generally complement-fixing IgG1 and IgG3 (Willison and Veitch, 1994; Ogino et al., 1995; Yuki et al., 1995; Ho et al., 1999). This implies class-switching usually with T cell help, both atypical of human anti-carbohydrate responses (see below). Antibodies to single gangliosides GM1, GM1(NeuGc), GM1b, GalNAc-GM1b, GD1a, GalNAc-GD1a, GD1b, 9-0-acetyl GD1b, GD3, GT1b, GQ1b, GQ1bα, LM1, galactocerebroside, and SGPG have been reported in more than 200 papers on inflammatory neuropathies (Willison and Yuki, 2002). Clinico-serological correlations between GBS subtypes and serum antibodies to putative ganglioside antigens have been drawn (Ho et al., 1999; Ogawara et al., 2000; Rees et al., 1995a). Antibodies to gangliosides GM1 and GD1a, implicated as the major target antigens in AMAN (Hadden et al., 1998; Ho et al., 1999), can be detected in 50–60% of AMAN patients in the Far East (Ho et al., 1999; Ogawara et al., 2000). Antibodies to GalNAc-GD1a and GM1b are found in motor predominant GBS in about 10–15% of cases (Ang et al., 1999; Yuki et al., 2000). Anti-GQ1b antibodies, frequently cross-reactive with structurally related gangliosides, are present in 80–90% of patients with FS (Willison et al., 1993; Yuki et al., 1993; Carpo et al., 1998). This correlation provides the strongest association between antibodies to a specific ganglioside and a clinical phenotype.
The Autoimmune Diseases . Elsevier Science. Kindle Edition. </t>
  </si>
  <si>
    <t>.62 to 2.66 cases per 100,000</t>
  </si>
  <si>
    <t>Fisher syndrome</t>
  </si>
  <si>
    <t>Miller-Fisher syndrome</t>
  </si>
  <si>
    <t>Miller Fisher syndrome</t>
  </si>
  <si>
    <t>Guillain–Barré syndrome (GBS) is a rare autoimmune disorder in which  the immune system attacks and damages the protective covering (myelin) of the nerves in the peripheral nervous system.  Damage to the myelin hinders communication between the brain and the body, leading to muscle weakness or tingling sensations in the arms and legs. The cause of GBS is unknown but may be associated with a viral or bacterial infection, injury, or surgery.  There are 6 types of GBS:
Acute inflammatory demyelinating polyneuropathy is the most prevalently diagnosed form of GBS in the US and is often associated with a prior infection.  This type leads to damage to the nerve myelin, but prognosis is good and full recovery is expected.
Acute motor axonal neuropathy is associated with a prior infection causing diarrhea and is most common in children.  This type primarily leads to weakness, which impairs movement and breathing and may lead to respiratory failure if untreated.  Patients receiving medical attention are expected to recover.
Acute motor-sensory axonal neuropathy is associated with prior infection causing diarrhea and has a sudden, intense onset.  This type is most prevalent in adults.  In addition to severe muscle weakness, patients also experience impairments in the senses.  Prognosis is poor.
Miller-Fisher syndrome is rare and results in difficulties with coordination, loss of reflexes, and paralysis around the eyes, along with impairments in the senses.  Recovery is expected in 1 to 3 months.
Acute panautonomic neuropathy is very rare and impairs both voluntary and involuntary body functions, including drops in blood pressure when standing, incontinence, lack of sweating, dry eyes and mouth, and impaired pupil function.  Many patients experience heart problems, which can be fatal.  Patients may improve, but slowly and incompletely.
Pure sensory GBS causes the sudden appearance of impairments in the senses and loss of reflexes caused by damage to the myelin.  Recovery is expected.</t>
  </si>
  <si>
    <t>Guillain-Barre Syndrome</t>
  </si>
  <si>
    <t>GBS</t>
  </si>
  <si>
    <t>Acute motor axonal neuropathy</t>
  </si>
  <si>
    <t>Acute motor axonal neuropathy (AMAN) is an acute, rare, and variant form of Guillain–Barré syndrome. Guillain–Barré syndrome (GBS) can be divided into demyelinating and axonal subtypes. The axonal subtype is referred to as AMAN. AMAN is characterized pathologically by motor nerve fiber degeneration of variable severity and by sparing of sensory fibers. Therefore, it is a rapid onset of muscle weakness and loss of reflexes. There is little demyelination or lymphocytic inflammation involved. Potential pathophysiological reasons for this paradox may involve axonal conduction failure triggered by antibody assault without actual axonal loss, and axonal abnormalities restricted to the nerve terminal area.</t>
  </si>
  <si>
    <t>https://n.neurology.org/content/78/1_Supplement/P06.148</t>
  </si>
  <si>
    <t>Martinez-Agredano 2016</t>
  </si>
  <si>
    <t>Based on a percent of Guillain-Barre patients</t>
  </si>
  <si>
    <t>Anti MOG</t>
  </si>
  <si>
    <t xml:space="preserve">AMAN and FS fulfill some of the Koch–Witebsky postulates supporting autoantibody as pathogenic (Witebsky et al., 1957; Rose and Bona, 1993).
The Autoimmune Diseases . Elsevier Science. Kindle Edition. </t>
  </si>
  <si>
    <t>.093 to .401 cases per 100,000</t>
  </si>
  <si>
    <t>Axonal Guillain-Barré syndrome</t>
  </si>
  <si>
    <t>Progressive inflammatory neuropathy</t>
  </si>
  <si>
    <t>Herpes gestationis</t>
  </si>
  <si>
    <t xml:space="preserve">This disease is a rare autoimmune disease that affects the skin of pregnant women. Patients experience a rash accompanied by blisters and extreme itching on the abdomen or limbs, which may spread elsewhere. Onset is sudden, often occurring during the second and third trimester.  It is common for the condition to go into remission at the end of pregnancy and then to relapse during birth. Most patients experience full recovery within 6 months of giving birth, though some have reported that symptoms may last for years. The condition is uncomfortable but does not put the patient at risk.  Treatments are available to manage symptoms as needed. </t>
  </si>
  <si>
    <t>https://www.ncbi.nlm.nih.gov/books/NBK470287/</t>
  </si>
  <si>
    <t>Fong 2020</t>
  </si>
  <si>
    <t>Incidence - per pregnancy</t>
  </si>
  <si>
    <t xml:space="preserve">The HG factor was found to be a complement fixing autoantibody against the BP180 antigen (Jordon et al., 1976; Katz et al., 1976; Morrison et al., 1988; Giudice et al., 1993). This autoantibody is predominantly IgG1 and recognizes the same epitope (within the BP180 NC16A domain) as do BP autoantibodies. BP180-specific T cells also recognize the BP180 NC16A and express a CD4+ Th1 memory phenotype (Lin et al., 1999). Like BP, HG is also associated with DQB1*0301. The mechanism of autoimmunity in HG and the role of pregnancy are not fully understood.
The Autoimmune Diseases . Elsevier Science. Kindle Edition. </t>
  </si>
  <si>
    <t>Rare</t>
  </si>
  <si>
    <t>PG</t>
  </si>
  <si>
    <t>Gestational pemphigoid</t>
  </si>
  <si>
    <t>Pemphigoid gestationis</t>
  </si>
  <si>
    <t>Hidradenitis suppurativa</t>
  </si>
  <si>
    <t xml:space="preserve">Hidradenitis suppurativa (HS) is a chronic condition featuring painful boil-like lumps (called abscesses) that develop under the skin when hair follicles become blocked and inflamed. The lumps can break open and leak pus and blood. They can leave thick scars and tunnels (called sinus tracts) under the skin. The lumps are usually found in the armpit or groin areas, but they can occur any place where hair grows or where skin rubs together (such as between the thighs or under the breasts). Some people only have mild or moderate cases of hidradenitis suppurativa. For others, the symptoms can be severe, affecting multiple areas of their bodies and leading to scarring and pain that can make it difficult to move. There are indications that HS is an autoimmune disease, but to date, no conclusive evidence has been published.  </t>
  </si>
  <si>
    <t>https://www.ncbi.nlm.nih.gov/pmc/articles/PMC6057625</t>
  </si>
  <si>
    <t>Calao 2018</t>
  </si>
  <si>
    <t>No mention - Several autoimmune conditions have been shown to be associated with HS including inflammatory bowel disease and spondyloarthropathies.  Ben David 2018 - https://www.ncbi.nlm.nih.gov/pmc/articles/PMC5895357/</t>
  </si>
  <si>
    <t>530.0 to 840.0 cases per 100,000</t>
  </si>
  <si>
    <t>Acne inversa</t>
  </si>
  <si>
    <t>Suppurative hidradenitis</t>
  </si>
  <si>
    <t>Hypersensitivity angiitis</t>
  </si>
  <si>
    <t>Hypersensitivity angiitis, also known as leukocytoclastic vasculitis, is an inflammation of the small blood vessels in your skin. This occurs when neutrophils (a type of immune cell) enter the walls of small blood vessels where they disintegrate, leaving behind fragments. It may be triggered by a variety of different factors; however, approximately half of the cases are idiopathic (i.e. have unknown cause). Some triggers include infections, certain drugs, collagen vascular disease, autoimmune disease, or neoplastic disease.  Drugs and infections are the most common triggers. Symptoms of the skin usually develop about a week after the triggering event. Approximately 90% of patients will have spontaneous healing of skin lesions within weeks to months, and about 10% will have chronic or recurrent disease. Henoch-Schonlein purpura is a subtype of leukoclastic vasculitis that affects children and is usually triggered by an upper respiratory infection.</t>
  </si>
  <si>
    <t>LCV</t>
  </si>
  <si>
    <t>Cutaneous Leukocytoclastic vasculitis</t>
  </si>
  <si>
    <t>Hypersensitivity Vasculitis</t>
  </si>
  <si>
    <t>Leucocytoclastic vasculitis</t>
  </si>
  <si>
    <t>Idiopathic pulmonary fibrosis</t>
  </si>
  <si>
    <t xml:space="preserve">Idiopathic pulmonary fibrosis is a scarring of the lungs. It is suspected that the scarring is due to an autoinflammatory or autoimmune response.  However, there are other causes, and only a fraction of patients with IPF suffer from an autoimmune form of the disease. </t>
  </si>
  <si>
    <t>https://pubmed.ncbi.nlm.nih.gov/24875841/</t>
  </si>
  <si>
    <t>Raghu 2014</t>
  </si>
  <si>
    <t>Annual cumulative prevalence increased steadily from 202.2 cases per 100000 people in 2001 to 494.5 cases per 100000 people in 2011</t>
  </si>
  <si>
    <t xml:space="preserve">Initial studies in IPF relevant to autoimmunity focused on identifying autoantibodies that target the pulmonary parenchyma. Turner-Warwick demonstrated that 40% of patients with IPF had circulating, non-specific autoantibodies such as anti-nuclear antibodies (ANA) and rheumatoid factor (Turner-Warwick and Doniach, 1965). Increases in circulating ANA and rheumatoid factor were observed in 30% of our patients (Crystal et al., 1976). Similar studies which evaluated the presence of autoantibodies to nuclear antigens, DNA topoisomerase, and cytokeratin detected the antibodies in some patients (Table 74.1). More recent studies have focused on antibodies that are specific to lung proteins, although these studies have also shown variable expression of autoantibodies (Wallace et al., 1994; Robinson et al., 2001). These results raise the possibility that autoantibodies are a secondary consequence of the ongoing immune activation in the setting of inflammation and tissue damage, rather
The Autoimmune Diseases . Elsevier Science. Kindle Edition. </t>
  </si>
  <si>
    <t>202.2 to 494.5 cases per 100,000</t>
  </si>
  <si>
    <t>Interstitial pulmonary fibrosis</t>
  </si>
  <si>
    <t>IgA nephropathy</t>
  </si>
  <si>
    <t xml:space="preserve">A kidney disease that occurs when the antibody immunoglobulin A lodges in the kidneys.  In IgA nephropathy, the antibodies do not attack tissue directly, but they do cause inflammation that can inhibit the kidneys' ability to filter wastes from the blood over time.  ARI classifies IgA nephropathy as immune-related, not autoimmune.   </t>
  </si>
  <si>
    <t>https://pubmed.ncbi.nlm.nih.gov/30177015/</t>
  </si>
  <si>
    <t>Schena 2018</t>
  </si>
  <si>
    <t xml:space="preserve">Davin et al. (1987) detected IgA anti-α-galactosyl antibodies in the serum of children with active IgA vasculitis nephritis and IgA nephropathy. This finding is intriguing because of the known association between IgA vasculitis and infection with pathogens that have α-galactosyl residues on their surfaces, but the relevance of these antibodies to the pathogenesis of IgA vasculitis is uncertain. More recently, incriminating evidence for a role for antibodies directed against abnormally glycosylated IgA1 has emerged in the pathogenesis of IgA nephropathy and IgA vasculitis (Mestecky et al., 2013).
The Autoimmune Diseases . Elsevier Science. Kindle Edition. 
Also: IgA nephropathy will not be included, although it is now considered to be immune mediated, as the diseases listed above provide ample support for the point of discussion in this chapter.
The Autoimmune Diseases . Elsevier Science. Kindle Edition. </t>
  </si>
  <si>
    <t>3.1 to 4.5 cases per 100,000</t>
  </si>
  <si>
    <t>https://pubmed.ncbi.nlm.nih.gov/?term=%22IgA+nephropathy%22+%22autoimmune%22&amp;sort=date</t>
  </si>
  <si>
    <t>Berger's Disease</t>
  </si>
  <si>
    <t>Immune thrombocytopenia</t>
  </si>
  <si>
    <t>2897005</t>
  </si>
  <si>
    <t>4103532</t>
  </si>
  <si>
    <t xml:space="preserve">Immune thrombocytopenia is a pair of autoimmune blood disorders that involves destruction of the normal blood clotting process. "Thrombocytopenia" simply means "low platelet count" and could be caused by many things. One symptom of these conditions is easy or excessive bruising and bleeding, so some names include the term "purpura", which means purple or red discolorations on the skin. The bleeding results from blood pooling under the skin because clotting is impaired.  Until scientists identified the autoimmune cause of the disease, it was called "idiopathic thrombocytopenia" because the cause was unknown, and until a cause of an individual's disease is known, that label might be used. 
In immune thrombocytopenia, the platlets are destroyed by the antibodies produced by the immune system. However, the tests for these antibodies are not precise, so other methods are used to confirm a diagnosis, including determining if other autoimmune diseases are present. Secondary autoimmune thrombocytopenia simply refers to immune thrombocytopenia triggered by another autoimmune disease or by a non-autoimmune disease (such as COVID-19). The treatments for secondary immune thrombocytopenia are usually determined by the underlying condition.
IIn autoimmune thrombotic thrombocytopenic purpura, sometimes called autoimmune TTP, autoantibodies attack ADAMTS13, an enzyme essential to regulating clot formation. The enzyme normally breaks down a protein called "ultra-large von Willebrand factor" (UL-vWF), and when that protein accumulates, platelets stick together, leading to blood clots. With the platelets stuck together, there are not enough platelets circulating in the bloodstream, which can lead to purpura (red or purple blotches on the skin). Although the symptoms of autoimmune TTP and immune thrombocytopenia are similar, the disease mechanism is very different.
Note that thrombotic thromocytopenic purpura, TTP, is a &lt;i&gt;&lt;b&gt;genetic&lt;/i&gt;&lt;/b&gt; disease that is caused by inherited genetic mutations in the ADAMTS13 gene that lead to the same symptoms as autoimmune TTP.  TTP is not autoimmune, and a genetic test to look for mutations in the gene that produces ADAMTS13 can be performed to rule out a genetic cause and lend support to a diagnosis of the autoimmune form of the disease. </t>
  </si>
  <si>
    <t>https://pubmed.ncbi.nlm.nih.gov/16869934/</t>
  </si>
  <si>
    <t>Segal 2006</t>
  </si>
  <si>
    <t>Cases in the US: ~ 30,400; Rate: 0.0095%; Source: Journal of thrombosis and haemostasis</t>
  </si>
  <si>
    <t>Glycoprotein IIb/IIIa</t>
  </si>
  <si>
    <t xml:space="preserve">In the early 1950s, Harrington et al. provided first evidence that ITP is caused by a plasma antiplatelet factor by demonstrating that infusion of plasma from ITP patients induced severe thrombocytopenia that persisted several days in non-ITP controls (Harrington et al., 1953). Subsequently, the immunoglobulin (Ig)G rich serum fraction was found to be responsible for the antiplatelet activity by Fcγ-mediated platelet destruction in the reticuloendothelial system (Shulman et al., 1965). After several studies in the 1970s reporting nonspecific elevated platelet-associated IgG in around 90% of ITP (Dixon and Rosse, 1975; McMillan, 1981), antigen-specific assays have been developed to measure autoantibodies that recognize one or more platelet surface glycoproteins (GP). The first antigen identified was the GP IIb/IIIa complex (van Leeuwen et al., 1982). Antibodies that react with GP Ib/IX or GP Ia/IIa, among others, have since been identified, and the presence of antibodies against multiple antigens is not only possible but, in patients with chronic disease, seems relatively common (Kunicki and Newman, 1992; He et al., 1994).
The Autoimmune Diseases . Elsevier Science. Kindle Edition. </t>
  </si>
  <si>
    <t>4.5 to 9.5 cases per 100,000</t>
  </si>
  <si>
    <t>Autoimmune thrombocytopenic purpura</t>
  </si>
  <si>
    <t>ATP</t>
  </si>
  <si>
    <t>13172003</t>
  </si>
  <si>
    <t>Chronic idiopathic thrombocytopenic purpura</t>
  </si>
  <si>
    <t>318397</t>
  </si>
  <si>
    <t>ITP</t>
  </si>
  <si>
    <t>Idiopathic thrombocytopenic purpura</t>
  </si>
  <si>
    <t>32273002</t>
  </si>
  <si>
    <t>4137430</t>
  </si>
  <si>
    <t>Primary immune thrombocytopenia</t>
  </si>
  <si>
    <t>128091003</t>
  </si>
  <si>
    <t>4028065</t>
  </si>
  <si>
    <t>Secondary autoimmune thrombocytopenia</t>
  </si>
  <si>
    <t>Autoimmune neonatal thrombocytopenia</t>
  </si>
  <si>
    <t>Autoimmune thrombotic thrombocytopenic purpura</t>
  </si>
  <si>
    <t>438476003</t>
  </si>
  <si>
    <t>4230266</t>
  </si>
  <si>
    <t>Immunoglobulin A vasculitis</t>
  </si>
  <si>
    <t xml:space="preserve">Immunoglobulin A vasculitis, also known as purpura rheumatica, is a temporary, childhood form of vasculitis due to inflammation of small blood vessels (capillaries) caused by an attack by the immune system. Purpura rheumatica is marked by inflammation in capillaries, the smallest blood vessels. Symptoms can be broad but must include raised, rash-like papules on the skin that do not turn white when pressed. Additional symptoms may include abdominal discomfort and joint pain. A clinician may also find deposits of an immune system protein (antibody or immunoglobulin) called IgA in the kidneys or small amounts of protein/hemoglobin present in urine samples. 
This condition is usually temporary (4-6 weeks) with a full recovery for most patients. Very rarely, Purpura rheumatica can lead to complications with kidney or lung function. </t>
  </si>
  <si>
    <t>https://pubmed.ncbi.nlm.nih.gov/23318735/</t>
  </si>
  <si>
    <t>Piram 2013</t>
  </si>
  <si>
    <t xml:space="preserve">Davin et al. (1987) detected IgA anti-α-galactosyl antibodies in the serum of children with active IgA vasculitis nephritis and IgA nephropathy. This finding is intriguing because of the known association between IgA vasculitis and infection with pathogens that have α-galactosyl residues on their surfaces, but the relevance of these antibodies to the pathogenesis of IgA vasculitis is uncertain. More recently, incriminating evidence for a role for antibodies directed against abnormally glycosylated IgA1 has emerged in the pathogenesis of IgA nephropathy and IgA vasculitis (Mestecky et al., 2013).
The Autoimmune Diseases . Elsevier Science. Kindle Edition. </t>
  </si>
  <si>
    <t>3 to 26.7 cases per 100,000 children, .8 to 1.8 cases per 100,000 adults</t>
  </si>
  <si>
    <t>Henoch-Schönlein purpura</t>
  </si>
  <si>
    <t>Anaphylactoid purpura</t>
  </si>
  <si>
    <t>Henoch-Schonlein purpura</t>
  </si>
  <si>
    <t>IgA vasculitis</t>
  </si>
  <si>
    <t>Purpura rheumatica</t>
  </si>
  <si>
    <t>Immunoglobulin G4 related disease</t>
  </si>
  <si>
    <t>IgG4 deficiency</t>
  </si>
  <si>
    <t>https://www.ncbi.nlm.nih.gov/pmc/articles/PMC5771249/</t>
  </si>
  <si>
    <t>Opriţă 2017</t>
  </si>
  <si>
    <t>The prevalence is 0.8 cases/ 100,000 inhabitants/ year, accounting for 6% of the total cases of chronic pancreatitis. By reference to Zen 2010 (paywalled).</t>
  </si>
  <si>
    <t>.8 cases per 100,000</t>
  </si>
  <si>
    <t>IgG4-related sclerosing cholangitis</t>
  </si>
  <si>
    <t>Eosinophilic angiocentric fibrosis</t>
  </si>
  <si>
    <t>10743271000119103</t>
  </si>
  <si>
    <t>Hyper-IgG4 disease</t>
  </si>
  <si>
    <t>Idiopathic hypocomplementemic tubulointerstitial nephritis</t>
  </si>
  <si>
    <t>Idiopathic retroperitoneal Fibrosis</t>
  </si>
  <si>
    <t>IgG4-related diseases</t>
  </si>
  <si>
    <t>IgG4-related retroperitoneal fibrosis</t>
  </si>
  <si>
    <t>IgG4-related systemic disease</t>
  </si>
  <si>
    <t xml:space="preserve">Immunoglobulin G4 is a type of antibody normally found in humans. However, in some persons, the level of this antibody is elevated and it plays a role in the development of several autoimmune diseases, including myasthenia gravis, pemphigus, autoimmune thrombocytopenic purpura and autoimmune pancreatitis. IgG4-related diseases (IgG4-RD) are complex fibro-inflammatory disorder that can affect any organ. Medical practitioners assign a diagnosis based on symptoms and the organ affected.  The primary clinical feature in IgG4-RD entails a tumor-like presentation coupled with tissue-destructive lesions.For more information, see the pages on specific diseases. 
At this time, not all IgG4 diseases are documented, and many are very rare. However, as this disease profile shows, IgG4-related disease has 19 synonyms and subtypes, so it may be more common as a class than thought. </t>
  </si>
  <si>
    <t>Inflammatory aortic aneurysm</t>
  </si>
  <si>
    <t>Inflammatory pseudotumor</t>
  </si>
  <si>
    <t>Küttner's tumor</t>
  </si>
  <si>
    <t>Mediastinal fibrosis</t>
  </si>
  <si>
    <t>Mikulicz's syndrome</t>
  </si>
  <si>
    <t>Multifocal fibrosclerosis</t>
  </si>
  <si>
    <t>Ormond's disease</t>
  </si>
  <si>
    <t>Periaortitis</t>
  </si>
  <si>
    <t>Periarteritis</t>
  </si>
  <si>
    <t>Retroperitoneal fibrosis</t>
  </si>
  <si>
    <t>Riedel's thyroiditis</t>
  </si>
  <si>
    <t>Inclusion Body Myositis</t>
  </si>
  <si>
    <t>IBM</t>
  </si>
  <si>
    <t>Inclusion body myositis</t>
  </si>
  <si>
    <t>Inclusion Body Myositis (IBM) is a chronic inflammatory muscle disease that causes painless weakening of the muscle. It is a chronic, slowly progressive condition that can lead to disability over the years. Studies show that IBM is more common in men than in women. Most people need assistance with basic daily activities within 15 years, and some people will need to use a wheelchair. The illness can be difficult to diagnose and is often first mistaken as polymyositis. It is not directly genetic, but predispositions may be present. Lifespan is thought to be normal, but severe complications include aspiration pneumonia that can lead to loss of life. There is currently no cure and standard course of treatment for IBM. Management options include physical therapy, exercise, speech therapy, and fall prevention.</t>
  </si>
  <si>
    <t>https://pubmed.ncbi.nlm.nih.gov/30837708/</t>
  </si>
  <si>
    <t>Greenberg 2016</t>
  </si>
  <si>
    <t xml:space="preserve">joints. Although inclusion body myositis (IBM) has features which might reflect autoimmunity (including recently described autoantibodies), the pathology of this entity and the poor response to the types of immunosuppressive therapies which characteristically are highly effective in PM and DM suggest that this entity is distinct, and we have not considered it further in this chapter.
The Autoimmune Diseases . Elsevier Science. Kindle Edition. </t>
  </si>
  <si>
    <t>1.0 cases per 100,000</t>
  </si>
  <si>
    <t>sIBM</t>
  </si>
  <si>
    <t>Sporadic Inclusion Body Myositis</t>
  </si>
  <si>
    <t>Inflammatory Bowel Disease</t>
  </si>
  <si>
    <t>Inflammatory bowel diseases is a group of autoimmune diseases that includes Crohn's disease, ulcerative colitis, and microscopic colitis.</t>
  </si>
  <si>
    <t>Microscopic colitis</t>
  </si>
  <si>
    <t>Ulcerative colitis</t>
  </si>
  <si>
    <t>Intermediate uveitis</t>
  </si>
  <si>
    <t>Pars planitis</t>
  </si>
  <si>
    <t>https://pubmed.ncbi.nlm.nih.gov/28449695/</t>
  </si>
  <si>
    <t>Ness 2017</t>
  </si>
  <si>
    <t xml:space="preserve">Immunity in the eye is deviant and atypical. The eye's ability to regulate local immune responses has been attributed to several factors. First, there are several immunosuppressive substances in the aqueous humor of the eye, such as α-melanocyte-stimulating hormone (α-MSH), vasoactive intestinal peptide (VIP), transforming-growth factor-beta (TGF-β), and macrophage-migration-inhibitory factor (MIF), which act to modulate ocular immune responses. Second, there are bone marrow-derived cells in the vascularized tissues of the eye that may capture antigens and present them to immune cells. Third, surface markers, such as CD95 ligand (Griffith et al., 1996; Ferguson and Griffith, 1997), CD46 (Bora et al., 1993), and CD59 are expressed in ocular parenchymal tissues; they directly inhibit effector T cell components of complement, thus saving the eye from tissue damage. Also, inside the eye, both the retina and anterior chamber have a well-structured vascular network with blood-ocular barriers that protect the eye from intruding macromolecules. The ability to discriminate between self and non-self is used for elimination of autoreactive cells. Because the eye is considered to be an immunologically privileged organ, it is believed that expression of ocular autoantigens occurs exclusively within the intraocular environment (Gery and Streilein, 1994). A classic example of organ-specific autoimmune disease caused by autoantigens is sympathetic ophthalmia, a rare form of intraocular inflammation in which the fellow eye develops inflammation after penetrating injury of the opposite eye. The inflammation may develop as early as several days after the penetrating insult to decades later. Typically, it occurs in the first several weeks (4–12 weeks). It is speculated that the injury causes primary immunization to self-antigens.
The Autoimmune Diseases . Elsevier Science. Kindle Edition. </t>
  </si>
  <si>
    <t>1.4 to 2.0 cases per 100,000</t>
  </si>
  <si>
    <t>https://pubmed.ncbi.nlm.nih.gov/?term=%22Intermediate%20uveitis%22%20%22autoimmune%22&amp;sort=date&amp;page=2</t>
  </si>
  <si>
    <t>Intermediate uveitis is a disorder that causes inflammation in the vitreous humour, the gel that fills the eye. In this condition, cells from the blood may penetrate the eye's interior and be found suspended in the vitreous humour. Normally, both eyes are affected. Patients with the pars planitis subtype of intermediate uveitis also have additional inflammation in the pars plana (the layer of the eye between the iris and the vitreous humour). This occurs when cells from the vitreous humour leak into the pars plana. This subtype is more common in children, while non-pars planitis intermediate uveitis is more common in adults. The non-pars planitis subtype is especially common in those with systemic conditions, such as sarcoidosis and multiple sclerosis, or in those who have certain infections. Some cases without infection may be caused by autoimmune activity. Patients of both pars planitis and non-pars planitis subtypes often experience floaters and blurry vision. Without medical attention, vision loss and blindness may occur in severe cases; however, treatments are available to prevent this.
There are other forms of &lt;a href="/Disease_Profile/uveitis.aspx"&gt;uveitis&lt;/a&gt; that can be autoimmune.</t>
  </si>
  <si>
    <t>IU</t>
  </si>
  <si>
    <t>Chronic cyclitis</t>
  </si>
  <si>
    <t>Cyclochorioretinitis</t>
  </si>
  <si>
    <t>Peripheral Uveitis</t>
  </si>
  <si>
    <t>Peripheral uveoretinitis</t>
  </si>
  <si>
    <t>Vitritis</t>
  </si>
  <si>
    <t>Interstitial lung disease</t>
  </si>
  <si>
    <t xml:space="preserve">Interstitial lung disease is a small group of diseases that feature inflammation and the development of fibrous tissue that affects the small airways and the small sacks in the lungs (alveoli) where oxygen is exchanged for carbon dioxide. The two most common diseases in this group are idiopathic pulmonary fibrosis and cryptogenic organizing pneumonia, both of which can occur as “idiopathic” conditions (where the cause is unknown) or in association with several autoimmune diseases. Although both are classified as “lung disorders of unknown etiology,” there are clues that autoimmune mechanisms play a role in the development of both disorders. </t>
  </si>
  <si>
    <t>Juvenile Rheumatoid Arthritis</t>
  </si>
  <si>
    <t>Juvenile chronic arthritis</t>
  </si>
  <si>
    <t>JIA</t>
  </si>
  <si>
    <t>JRA</t>
  </si>
  <si>
    <t>Juvenile rheumatoid arthritis is a pediatric disorder affecting the joints. Damage occurs when immune cells penetrate the lining of the joints, causing inflammation. Patients typically experience joint pain and swelling, which may occur in a flare/remission pattern. Some subtypes have strong evidence of being autoimmune. The condition is diagnosed through exclusion, when joint inflammation lasts more than 6 weeks in a patient 16 years-old or younger and cannot be positively diagnosed with another condition. 
There are 7 types of juvenile arthritis: &lt;br&gt;
&lt;li&gt;1.	&lt;b&gt;Systemic juvenile idiopathic arthritis&lt;/b&gt; occurs in at least one joint accompanied by fever for 2 weeks or longer. Other possible symptoms include rash or enlargement of the lymph nodes, liver, or spleen.&lt;/li&gt;
&lt;li&gt;2.	&lt;b&gt;Oligoarticular juvenile arthritis&lt;/b&gt; (oligoarthritis) occurs in not more than 4 joints in the 6 months following disease onset. After this point, the condition may remain stable (persistent oligoarthritis), or it may spread to additional joints (extended oligoarthritis). The eyes may also be affected.&lt;/li&gt;
&lt;li&gt;3.	&lt;b&gt;Rheumatoid factor positive polyarticular juvenile idiopathic arthritis&lt;/b&gt; (polyarthritis and rheumatoid factor positive are alternative terms) has symptoms similar to adult rheumatoid arthritis but occurs in children. Patients typically experience arthritis in a minimum of 5 joints in the 6 months following disease onset. Blood tests reveal the presence of rheumatoid factors, a type of autoimmune antibody. The evidence suggests strongly that this subtype is autoimmune. &lt;/li&gt;
&lt;li&gt;4.	&lt;b&gt;Rheumatoid factor negative polyarticular juvenile idiopathic arthritis&lt;/b&gt; (polyarthritis and rheumatoid factor negative are alternative terms) is marked by the same symptoms as patients with rheumatoid factor positive. The negative variety is distinguished from the positive variety by an absence of rheumatoid factors in the blood. &lt;/li&gt;
&lt;li&gt;5.	&lt;b&gt;Psoriatic juvenile idiopathic arthritis&lt;/b&gt; causes both arthritis and red skin rashes with white scaling (psoriasis). Irregularities in the fingers, nails, or eyes may also occur.&lt;/li&gt;
&lt;li&gt;6.	&lt;b&gt;Enthesitis-related juvenile idiopathic arthritis&lt;/b&gt; causes discomfort where the bone joins with other tissues, such as tendons and ligaments. Irritation is frequent in the hips, knees, and feet. Tissue besides the joints may also become inflamed. &lt;/li&gt;
&lt;li&gt;7.	&lt;b&gt;Undifferentiated arthritis&lt;/b&gt; describes patients whose symptoms are not compatible with the other 6 categories of juvenile arthritis, or whose presentation includes symptoms from multiple categories.&lt;/li&gt;
Some patients experience full relief from symptoms with medical attention, while others experience relapses throughout life. Treatments are available to control symptoms and improve function.</t>
  </si>
  <si>
    <t>https://www.ncbi.nlm.nih.gov/pmc/articles/PMC5657479/</t>
  </si>
  <si>
    <t>Harrold 2017</t>
  </si>
  <si>
    <t>US cases computed using 18 under - population; study was 15 and under population</t>
  </si>
  <si>
    <t xml:space="preserve">Systemic JIA (sJIA) is etiopathogenically different from all the other forms of JIA (Mellins et al., 2011). The systemic features, the marked inflammatory response, the lack of sex bias, peak age at onset, association with autoantibodies or HLA antigens are all consistent with what is observed in autoinflammatory diseases. Also, the sensitivity to treatment is different and provides evidence for a different etiopathogenesis. Indeed, methotrexate or antitumor necrosis factor (TNF) agents are less effective than in the other JIA categories, while anti-IL-6 or anti-IL-1 drugs are of impressive efficacy.
The Autoimmune Diseases . Elsevier Science. Kindle Edition. </t>
  </si>
  <si>
    <t>39.1 to 50.2 cases per 100,000</t>
  </si>
  <si>
    <t>Juvenile arthritis</t>
  </si>
  <si>
    <t>Juvenile idiopathic arthritis</t>
  </si>
  <si>
    <t>Pediatric rheumatic disease</t>
  </si>
  <si>
    <t>Lichen planus</t>
  </si>
  <si>
    <t xml:space="preserve">Lichen planus is a recurrent, itchy rash, characterized by shiny reddish-purple spots on the skin and gray-white ones in the mouth. Separate spots may coalesce into rough scaly patches. It is not rare, but it is  
Most papers on lichen planus assume all cases of the disease are autoimmune or do not mention autoimmunity at all.  It may be a symptom of other autoimmune diseases.   </t>
  </si>
  <si>
    <t>https://pubmed.ncbi.nlm.nih.gov/34920026/</t>
  </si>
  <si>
    <t>Leasure 2022</t>
  </si>
  <si>
    <t xml:space="preserve">The prototype is lichen planus for which no single specific cause has been identified, although one interesting association is infection with hepatitis C virus (Le Cleach et al., 2010). The lichenoid eruption described as lichen sclerosus is, however, consistently linked to autoimmunity.
The Autoimmune Diseases . Elsevier Science. Kindle Edition. </t>
  </si>
  <si>
    <t>Lichen sclerosus</t>
  </si>
  <si>
    <t>Lichen sclerosus et atrophicus</t>
  </si>
  <si>
    <t>25674000</t>
  </si>
  <si>
    <t xml:space="preserve">Lichen sclerosus causes patches of skin to look white, thickened and crinkly. It most often affects the skin around the vulva or anus.There is circumstantial evidence that lichen sclerosus is autoimmune but no clear evidence to support it.  </t>
  </si>
  <si>
    <t>https://www.ncbi.nlm.nih.gov/pmc/articles/PMC7522895/</t>
  </si>
  <si>
    <t>Melnick 2020</t>
  </si>
  <si>
    <t>We identified 10,004 women with a diagnosis of LS between 2015 and 2017 in the United States, which is a prevalence of 0.05%.</t>
  </si>
  <si>
    <t xml:space="preserve">The lichenoid eruption described as lichen sclerosus is, however, consistently linked to autoimmunity.
The Autoimmune Diseases . Elsevier Science. Kindle Edition. </t>
  </si>
  <si>
    <t>50.0 cases per 100,000</t>
  </si>
  <si>
    <t>multiple caviate with likely multiple say it is autoimmune https://pubmed.ncbi.nlm.nih.gov/?term=%22Lichen+sclerosus%22+%22autoimmune%22&amp;sort=date</t>
  </si>
  <si>
    <t>Balanitis xerotica obliterans</t>
  </si>
  <si>
    <t>Ligneous conjunctivitis</t>
  </si>
  <si>
    <t xml:space="preserve">Ligneous conjunctivitis is a rare, chronic form of conjunctivitis that starts in adulthood. A genetically caused form of the disease can occur in childhood, but these cases are not autoimmune.  Patients with ligneous conjunctivitis have large, inflamed, woody growths on the inside of the eyelid and potentially whites of the eye.  These growths may also occur in the mouth, ears, respiratory tract, and genitourinary tract. The inflamed growths are likely to come back after they have been removed. If untreated, ligneous conjunctivitis can lead to vision loss and sometimes life-threatening pulmonary complications.   </t>
  </si>
  <si>
    <t>Autoimmune form is very rare</t>
  </si>
  <si>
    <t>Adult Onset Ligneous conjunctivitis</t>
  </si>
  <si>
    <t>Autoimmune ligneous conjunctivitis</t>
  </si>
  <si>
    <t>Conjunctivitis lignose</t>
  </si>
  <si>
    <t>Linear IgA dermatosis</t>
  </si>
  <si>
    <t xml:space="preserve">Linear IgA disease causes blisters to form deep in the skin. It can affect the skin and mucus membranes such as the mouth and genitals. Its name comes from the image produced during a skin biopsy in which a line of IgA antibodies can be found just below the outer layer of skin (the epidermis). </t>
  </si>
  <si>
    <t>https://pubmed.ncbi.nlm.nih.gov/22137225/</t>
  </si>
  <si>
    <t>Fortuna 2012</t>
  </si>
  <si>
    <t xml:space="preserve">Linear IgA disease (LAD) is a subepidermal blistering disorder characterized by pruritic lesions and linear deposition of IgA autoantibodies at the BMZ (Nemzer et al., 2000). Mucosal membrane involvement is common (60–80%). LAD can be subdivided into adult-onset, childhood-onset, and drug-induced LAD (Zone et al., 2004). The histology of lesional and perilesional skin reveals subepidermal vesicles with neutrophilic infiltration along the BMZ and in the superficial dermis. IgA autoantibodies in LAD serum react with multiple antigenic peptides derived from the BP180 ectodomain. The most common antigenic peptides for the major type of LAD (lamina lucida type), detected by immunoblotting using epidermal extracts, are the 97-kDa protein (LABD97) and the 120-kDa antigens (LAD-1), which are considered to be the proteolytic fragments of the BP180 polypeptide (Zone et al., 2004). These findings suggest that the majority of LAD autoantibodies recognize epitopes on LABD97 and LAD-1, which are different from those bound by BP autoantibodies on the intact BP180 molecule.
The Autoimmune Diseases . Elsevier Science. Kindle Edition. </t>
  </si>
  <si>
    <t>.05 to .23 cases per 100,000</t>
  </si>
  <si>
    <t>https://pubmed.ncbi.nlm.nih.gov/?term=%22Linear+IgA+disease%22+%22autoimmune%22&amp;sort=date</t>
  </si>
  <si>
    <t>Chronic bullous dermatosis of childhood</t>
  </si>
  <si>
    <t>Linear IgA bullous disease</t>
  </si>
  <si>
    <t>Linear IgA disease</t>
  </si>
  <si>
    <t>Lipomatosis dolorosa</t>
  </si>
  <si>
    <t>71404003</t>
  </si>
  <si>
    <t>Adiposis dolorosa is characterized by the slow formation of multiple, painful growths consisting of fatty tissue (lipomas) that are found just below the surface of the skin. Pain may vary from mild discomfort when a growth is pressed or touched to severe pain that is disproportionate to the physical findings.</t>
  </si>
  <si>
    <t>https://www.ncbi.nlm.nih.gov/books/NBK507867/</t>
  </si>
  <si>
    <t>Cook 2020</t>
  </si>
  <si>
    <t>Adiposis dolorosa</t>
  </si>
  <si>
    <t>Anders disease</t>
  </si>
  <si>
    <t>Dercum's disease</t>
  </si>
  <si>
    <t>Fatty tissue rheumatism</t>
  </si>
  <si>
    <t>Juxta-Articular adiposis dolorosa</t>
  </si>
  <si>
    <t>Lipomatosis dolorosa morbus dercum's</t>
  </si>
  <si>
    <t>Lupus vasculitis</t>
  </si>
  <si>
    <t>Lupus vasculitis is an autoimmune complication of lupus erythematosus that occurs when proteins of the immune system enter the walls of the blood vessels, leading to inflammation.  Patients often experience ulcers, red marks, or bumps on the skin.  The spectrum of involvement ranges from relatively mild disease (affecting only small vessels and skin), to life threatening multi-organ disease. Treatments are available to control symptoms.  Early medical attention is necessary in severe cases to prevent lasting damage to the organs.</t>
  </si>
  <si>
    <t>https://pubmed.ncbi.nlm.nih.gov/16609348/</t>
  </si>
  <si>
    <t>Ramos-Casals 2006</t>
  </si>
  <si>
    <t>Based on percentage of patients with lupus</t>
  </si>
  <si>
    <t>Subtype of lupus</t>
  </si>
  <si>
    <t>11% of lupus patients</t>
  </si>
  <si>
    <t>Male infertility associated with antisperm antibodies</t>
  </si>
  <si>
    <t>414643008</t>
  </si>
  <si>
    <t>Autoimmune orchitis involves inflammation of the testicles and the presence of specific antibodies against sperm. There are two types of this condition: primary autoimmune orchitis and secondary autoimmune orchitis. Primary autoimmune orchitis is found in men who are infertile and have no symptoms of other diseases. It is characterized by inflammation in the testicles and the presence of antibodies targeting the structures in the testicles. Men with this condition do not have any systemic illnesses and usually show no symptoms. 
Secondary autoimmune orchitis occurs in men with a systemic autoimmune disease, especially those with conditions like vasculitis. About 50% of these patients have antibodies against sperm, with systemic lupus erythematosus being a common related condition.
The exact cause of both primary and secondary autoimmune orchitis is still unknown, but it is believed to be due to a combination of factors. Inflammation, infection, or injury to the testicles may trigger an immune response, leading to the production of antibodies against sperm. These antibodies can cause sperm to clump together or become immobilized, preventing them from fertilizing an egg and leading to infertility.</t>
  </si>
  <si>
    <t>Autoimmune orchitis</t>
  </si>
  <si>
    <t xml:space="preserve">Two types of human orchitis with possible autoimmune basis are reported. The first is granulomatous orchitis of non-infectious origin. The second and more common type of orchitis contains multiple foci of monocytic inflammation (Suominen and Söderström 1982; Chan and Schlegel, 2002a,b) (Figure 68.1B)...
The Autoimmune Diseases . Elsevier Science. Kindle Edition. </t>
  </si>
  <si>
    <t xml:space="preserve">Microscopic colitis occurs with severe inflammation of the large intestine, or the colon. It results in persistent and watery diarrhea. Microscopic colitis can''t be identified with a colonoscopy, so tissue samples from the colon must be examined under a microscope. There are three different subtypes:&lt;br&gt; 
&lt;li&gt;1. &lt;b&gt;Collagenous colitis&lt;/b&gt; results from a thick layer of the protein collagen developing in the tissue.&lt;/li&gt;
&lt;li&gt;2. &lt;b&gt;Lymphocytic colitis&lt;/b&gt; results from an increase in white blood cells in the tissue. &lt;/li&gt;
&lt;li&gt;3. &lt;b&gt;Incomplete microscopic colitis&lt;/b&gt; is a combination of collagenous and lymphocytic colitis. &lt;/li&gt;
It is under debate whether collagenous and lymphocytic colitis are different phases of the same condition. </t>
  </si>
  <si>
    <t>https://pubmed.ncbi.nlm.nih.gov/17135309/</t>
  </si>
  <si>
    <t>Pardi 2006</t>
  </si>
  <si>
    <t>103.0 cases per 100,000</t>
  </si>
  <si>
    <t>Microscopic polyangiitis</t>
  </si>
  <si>
    <t xml:space="preserve">Microscopic polyangiitis (MPA) is a disorder that causes inflammation in the blood vessels. The inflammation can affect many of the body's organ systems including the kidneys, nervous system, skin, lungs, etc. Microscopic polyangiitis is believed to be autoimmune because the development of the disease is thought to come from an overreaction in the immune system that causes inflammation in the body's tissues and blood vessels. The disease can be confused with others such as polyarteritis nodosa (PAN), granulomatosis with polyangiitis (GPA), and cutaneous leukocytoclastic angiitis (CLA). However, in 1994, The Chapel Hill Consensus Conference defined MPA as a separate disorder. </t>
  </si>
  <si>
    <t>MPA</t>
  </si>
  <si>
    <t>Microscopic polyarteritis</t>
  </si>
  <si>
    <t>Mixed collagen vascular disease</t>
  </si>
  <si>
    <t>MCTD</t>
  </si>
  <si>
    <t>Mixed collagen vascular disease, also called mixed connective tissue disease (MCTD), is an autoimmune disorder that shares symptoms with other connective tissue diseases, including polymyositis/dermatomyositis, systemic lupus erythematosus (SLE), scleroderma, and autoimmune rheumatic diseases.  Examples of commonly shared symptoms are abnormally cold hands, joint pain, organ problems, and feelings of malaise.  However, one feature unique to MCTD is the presence of anti-RNP antibodies in the blood.  Raynaud's phenomenon and high blood pressure in the lungs are also more common in MCTD, while kidney symptoms are milder.  Some complications can be fatal, but treatments are available to manage both mild and life-threatening symptoms.   [Hajas et al., 2013].</t>
  </si>
  <si>
    <t xml:space="preserve">https://pubmed.ncbi.nlm.nih.gov/21398332/ </t>
  </si>
  <si>
    <t>Gunnarsson 2011</t>
  </si>
  <si>
    <t>Prevalence in adult population (over-18)</t>
  </si>
  <si>
    <t>Subtype of scleroderma</t>
  </si>
  <si>
    <t>3.2 to 4.4 cases per 100,000</t>
  </si>
  <si>
    <t>Mixed connective tissue disease</t>
  </si>
  <si>
    <t>Sharp Syndrome</t>
  </si>
  <si>
    <t>Mooren's ulcer</t>
  </si>
  <si>
    <t>Mooren's Ulcer is a chronic eye condition that causes inflammation where the eye's covering (cornea) joins with the white part of the eye (sclera).  This type of inflammation is called Peripheral Ulcerative Keratitis (PUK).  These persistent peripheral ulcers of the cornea often spread into and around the eye. There are several variants of this disorder:  Aggressive Bilateral Mooren's Ulcers patients usually have an ulcer in one eye and congestion or discharge in the other eye. Pain is milder, and grey patches may develop within 2 mm of the border between the cornea and the white of the eye (limbus). Bilateral Indolent Mooren's Ulcers affect both eyes, with one eye typically showing more severity.  Discomfort may occur with minimal inflammation.  Unilateral Mooren's ulcers can occur in one or both eyes and is excessively painful.  Redness and congestion are apparent, but inflammation is seen within 3 mm of the limbus.    Mooren's Ulcer is believed to be an autoimmune disorder, but more research is needed.  The condition can be benign, with few symptoms and low risk of complications, or malignant, with severe symptoms.  Without medical care, malignant cases may lead to vision loss, but treatments are available to prevent this.</t>
  </si>
  <si>
    <t>Corneal Ulcer</t>
  </si>
  <si>
    <t>Peripheral Ulcerative Keratitis</t>
  </si>
  <si>
    <t>Morphea</t>
  </si>
  <si>
    <t>Localized scleroderma</t>
  </si>
  <si>
    <t>https://pubmed.ncbi.nlm.nih.gov/30047431/</t>
  </si>
  <si>
    <t>Florez-Pollack 2018</t>
  </si>
  <si>
    <t>Limited discussion</t>
  </si>
  <si>
    <t>.4 to 2.7 cases per 100,000</t>
  </si>
  <si>
    <t>Morphea is a disorder primarily affecting the skin.  There are several types of morphea:Localized or circumscribed morphea causes patients to develop oval-shaped areas of redness.  Irritated skin may be limited to a single patch or to several patches covering a smaller area.  
Generalized morphea is more widespread, affecting a number of skin regions throughout the body.  In linear morphea, skin irritation appears in a linear, rather than an oval shape.  Damage can penetrate to the tissues below the skin, including muscle and bone.  
Pansclerotic morphea,  the rarest and most severe form, usually affect children and involves the entire body, also penetrating through the skin into the bone.  The cause of morphea is unknown but is believed to be autoimmune.  
There is no cure for morphea, but treatments are available to manage symptoms.  Patches of irritation caused by mild types of morphea often improve in 3-5 years, though new patches may develop. However, damage affecting both the skin and the muscles/bones, as in linear morphea, may have a longer duration and occur in cycles of flares and remission, while pansclerotic morphea tends to worsen significantly with time.  Both linear and pansclerotic morphea may cause severe disability.</t>
  </si>
  <si>
    <t>Moyamoya disease</t>
  </si>
  <si>
    <t>69116000</t>
  </si>
  <si>
    <t>Moyamoya disease occurs when the carotid artery, that brings blood to the brain, in the skull is blocked or narrowed. The term "moyamoya" is Japanese and means "puff of smoke" to describe the appearance of the tiny blood vessels responsible for the blockage. When these blockages occurs, they can cause a ministroke and bleeding in the brain. Moyamoya disease affects brain functions and may cause cognitive and developmental delays or disability.
Although this rare disease most commonly affects children, adults may have this condition as well. The cause for Moyamoya disease is unknown, however, researchers suggest that there may be a genetic factor involved since the disease is most commonly seen in Asian countries.</t>
  </si>
  <si>
    <t>Cerebrovascular moyamoya disease</t>
  </si>
  <si>
    <t>Moya-moya disease</t>
  </si>
  <si>
    <t>Progressive intracranial arterial occlusion</t>
  </si>
  <si>
    <t>Progressive intracranial occlusive arteriopathy</t>
  </si>
  <si>
    <t>Spontaneous occlusion of the Circle of Willis</t>
  </si>
  <si>
    <t>Multiple Sclerosis</t>
  </si>
  <si>
    <t>MS</t>
  </si>
  <si>
    <t>Multiple sclerosis</t>
  </si>
  <si>
    <t>Multiple Sclerosis (MS) is a central nervous system disease that occurs when the immune system attacks the myelin, which is a protective covering around the nerves. The nerves may then suffer permanent damage. The cause of the abnormal immune system action is unknown, but there seems to be some genetic link. The most common form of MS is relapsing-remitting which occurs when a patient has symptom-free periods, but the patient may develop a progressive form where the symptoms worsen over time. Women are affected twice as often as men. MS varies in severity, with some people losing the ability to walk.</t>
  </si>
  <si>
    <t>https://www.ncbi.nlm.nih.gov/pmc/articles/PMC6442006/</t>
  </si>
  <si>
    <t>Wallin 2019</t>
  </si>
  <si>
    <t>Prevalence in over-18 population</t>
  </si>
  <si>
    <t xml:space="preserve">Autoantigen-specific T cells have been identified both in healthy individuals and in patients with MS. Their entrance into the inflamed CNS environment is likely mediated by the immune mechanisms posited above, whereupon entering, the autoreactive T cells are able to subsequently contribute to myelin destruction and axonal damage in addition to secondary inflammation following activation by local antigen-presenting cells. Attention has been directed towards uncovering frequencies of autoantigen-specific T cell binding to myelin proteins including MOG, MBP, and proteolipid in addition to heat shock protein αB-crystallin and oligodendroglia-specific enzyme transaldolase in CD4+ cells isolated from MS patients (Banki et al., 1994; Greer and Pender, 2008). Anti-MOG has previously been isolated from postmortem CNS tissue in MS patients (O'Connor et al., 2005). In an assay based on self-assembly of radiolabeled MHC tetramers, it was demonstrated that such tetramers were more sensitive for MOG autoantibody detection. Nevertheless, MOG-specific autoantibodies were found more so in patients with acute disseminated encephalomyelitis, than in adults with MS (O'Connor et al., 2007). Likewise, the ability to detect and clone autoantigen-specific T cells from blood has allowed further quantification of MOG frequencies, work which demonstrated an increase in MOG-specific T cells in MS patients in comparison to healthy individuals (Raddassi et al., 2011).
ALSO: Immune Pathogenesis Until recently, there were discussions as to whether MS is a primary degenerative disease with secondary inflammation or an autoimmune disease with immune-mediated destruction of the CNS. The sharing of almost half of the allelic variants between MS and other autoimmune disorders from the GWAS has to a large extent provided convincing evidence for an autoimmune pathophysiology for the disease (Hafler, 2012). Our current understanding of MS strongly implicates involvement of the immune system and autoreactive proinflammatory T cells that are critical to the propagation of CNS tissue injury.
The Autoimmune Diseases . Elsevier Science. Kindle Edition. </t>
  </si>
  <si>
    <t>308.1 to 310.1 cases per 100,000</t>
  </si>
  <si>
    <t>Disseminated sclerosis</t>
  </si>
  <si>
    <t>Schilders disease</t>
  </si>
  <si>
    <t>Systemic sclerosis, diffuse</t>
  </si>
  <si>
    <t>Relapsing-remitting multiple sclerosis</t>
  </si>
  <si>
    <t>Primary progressive multiple sclerosis</t>
  </si>
  <si>
    <t>Myasthenia gravis</t>
  </si>
  <si>
    <t>MG</t>
  </si>
  <si>
    <t>Myasthenia gravis is a neuromuscular disorder characterized by muscle weakness and fatigue. It occurs when the antibodies block the junction between the nerve and skeletal muscles, which are responsible for voluntary body movements.</t>
  </si>
  <si>
    <t>https://pubmed.ncbi.nlm.nih.gov/15052614/</t>
  </si>
  <si>
    <t>Keesey 2004</t>
  </si>
  <si>
    <t>By reference</t>
  </si>
  <si>
    <t>Acetylcholine receptors</t>
  </si>
  <si>
    <t xml:space="preserve">AChR antibodies were first detected by means of a radioimmunoprecipitation assay (RIA) employing 125I α-bungarotoxin, which binds strongly to AChRs, to label AChRs in detergent extracts of human muscle (Lindstrom et al., 1976). Modern RIAs employ AChRs extracted from muscle cell lines expressing mixtures of fetal and adult AChRs (Beeson et al., 1996). Directly radiolabeled recombinant MuSK are used for detection of MuSK antibodies (Matthews et al., 2004). Enzyme-linked immunosorbent assays are not as sensitive or as specific. Cell-based assays (CBAs) use cells transfected with DNA(s) for the antigen of interest and expressed on the cell surface. Indirect immunofluorescence can then detect binding of patients' antibodies. This method is sensitive and, importantly, measures antibodies that only bind to extracellular determinants of the antigen (Leite et al., 2010). This was demonstrated in previously seronegative cases using cells transfected with AChR subunits and with the scaffold protein rapsyn that clusters the AChRs (Leite et al., 2008). CBAs have also been developed to detect MuSK or Lrp4 antibodies (Leite et al., 2008; Higuchi et al., 2011).
The Autoimmune Diseases . Elsevier Science. Kindle Edition. </t>
  </si>
  <si>
    <t>15.0 to 20.0 cases per 100,000</t>
  </si>
  <si>
    <t>Acquired myasthenia</t>
  </si>
  <si>
    <t>Autoimmune myasthenia gravis</t>
  </si>
  <si>
    <t>Myelin oligodendrocyte glycoprotein antibody-associated disease</t>
  </si>
  <si>
    <t>Polyneuropathy associated with monoclonal immunoglobulin M antibodies to myelin-associated glycoprotein</t>
  </si>
  <si>
    <t>https://onlinelibrary.ectrims-congress.eu/ectrims/2019/stockholm/278755/eoin.flanagan.the.epidemiology.of.myelin.oligodendrocyte.glycoprotein.antibody.html</t>
  </si>
  <si>
    <t>Flanagan 2019</t>
  </si>
  <si>
    <t>MOG</t>
  </si>
  <si>
    <t>1237194006</t>
  </si>
  <si>
    <t xml:space="preserve">Myelin oligodendrocyte glycoprotein disease (MOG) is a recently recognized condition marked by the presence of antibodies against myelin oligodendrocyte glycoprotein (MOG).  The disease differs from multiple sclerosis (MS),  aquaporin-4 (AQP4) antibody disease, and neuromyelitis optica spectrum disorders (NMOSD).  MOG symptoms can range from those of neuromyelitis optica to acute demyelinating encephalomyelitis and cortical encephalitis. A correct diagnosis requires both  specific and sensitive assays for the antibody.  In brain images MOG overlaps with AQP4 antibody NMOSD but can be usually distinguished from MS.  In particular, the silent lesions typical of MS that progressively increase lesion volume are rare in MOG antibody disease. Medium-term immunosuppression appears to be protective. Permanent disability, particularly severe ambulatory and visual disability, is less frequent than in AQP4 antibody NMOSD and usually results from the onset attack. </t>
  </si>
  <si>
    <t>Article not found on Pubmed</t>
  </si>
  <si>
    <t xml:space="preserve">There are reports of serum and CSF anti-MBP, anti-MOG, and anti-PLP autoantibodies (Warren and Catz, 1994; Warren et al., 1994; Berger et al., 2003) in patients with MS. Such studies have been challenged due to the possibility of non-specific binding of low-affinity antibodies and observations that high-affinity antibodies against MOG epitopes are only present in a small proportion of patients (Menge et al., 2011). However, using sensitive solution phase assays, high-affinity autoantibodies to MBP and MOG can be detected in the serum and CSF of patients with acute disseminated encephalomyelitis and MS (O'Connor et al., 2003, 2005, 2007; Zhou et al., 2006). A recent study aiming to characterize intrathecal MOG antibodies in MS indicated that the rMOG index, a marker of intrathecal MOG antibody production, may provide complementary information to routine CSF testing in the diagnosis of MS (Klawiter et al., 2010). Moreover, anti-MOG autoantibodies can be eluted from the brain tissue of a subset of patients with MS (O'Connor et al., 2005). Such markers support the ongoing hypothesis of MS as a disease linked to immune dysfunction, ongoing inflammation, and tissue damage and repair.
The Autoimmune Diseases . Elsevier Science. Kindle Edition. </t>
  </si>
  <si>
    <t>1.6 to 3.42 cases per 100,000</t>
  </si>
  <si>
    <t>Anti-MAG disease</t>
  </si>
  <si>
    <t>Anti-MOG disease</t>
  </si>
  <si>
    <t>MOG antibody disease</t>
  </si>
  <si>
    <t>Myelin oligodendrocyte glycoprotein disease</t>
  </si>
  <si>
    <t>Heart</t>
  </si>
  <si>
    <t>Myocarditis due to autoimmune disease</t>
  </si>
  <si>
    <t>Coxsackie myocarditis</t>
  </si>
  <si>
    <t>Myocarditis is an inflammation of the heart wall. Myocarditis can affect both the heart's muscle cells and the heart's electrical system, leading to problems with the heart's pumping function and irregular heart rhythms. Myocarditis can also be caused by viral infections or systemic inflammatory conditions such as additional autoimmune disorders. In severe cases of myocarditis, the heart muscle weakens and cannot pump blood effectively to other parts of your body. There are 3 types of myocarditis: acute, chronic, and lymphocytic.
Acute myocarditis is usually caused by a viral infection and can develop suddenly and resolve quickly. Chronic myocarditis takes longer to treat and occurs due to more general inflammatory conditions such as autoimmune diseases. Lymphocytic myocarditis is a rare form of myocarditis and tend to occur after a virus when white blood cells enter and cause inflammation in the heart.</t>
  </si>
  <si>
    <t>Autoimmune cardiomyopathy</t>
  </si>
  <si>
    <t>Autoimmune myocarditis</t>
  </si>
  <si>
    <t>Myocarditis is an inflammation of the heart wall. Myocarditis can affect both the heart's muscle cells and the heart's electrical system, leading to problems with the heart's pumping function and irregular heart rhythms. Myocarditis can also be caused by viral infections or systemic inflammatory conditions such as additional autoimmune disorders. In severe cases of myocarditis, the heart muscle weakens and cannot pump blood effectively to other parts of your body. There are 3 types of myocarditis: acute, chronic, and lymphocytic.</t>
  </si>
  <si>
    <t>https://www.ncbi.nlm.nih.gov/pmc/articles/PMC6227754/</t>
  </si>
  <si>
    <t>Lancet 2018</t>
  </si>
  <si>
    <t>Global actual estimates converted to US as 4.2% of world</t>
  </si>
  <si>
    <t>Tissue specific antibodies/tcells not found</t>
  </si>
  <si>
    <t xml:space="preserve">Thus, autoimmune myocarditis, like most autoimmune diseases, is characterized by the production of multiple organ-specific autoantibodies.
The Autoimmune Diseases . Elsevier Science. Kindle Edition. </t>
  </si>
  <si>
    <t>21.0 to 26.0 cases per 100,000</t>
  </si>
  <si>
    <t>Myositis</t>
  </si>
  <si>
    <t>Myositis and "inflammatory myopathy" both mean inflammation of the muscles, which may in turn cause muscle weakness, swelling, and pain. Polymyositis, dermatomyositis, inclusion body myositis, and juvenile myositis are all specific types of myositis that are autoimmune. However, myositis and "inflammatory myopathy" are broad terms that means muscle inflammation, and not all forms are autoimmune, and not all individuals diagnosed with myositis or inflammatory myopathy have an autoimmune form of disease. If a cause cannot be acertained, the patient may be diagnosed with an "idiopathic" condition, which simply means that the cause of the inflammation has not been found; such patients could eventually be found to have an autoimmune form of the disease.</t>
  </si>
  <si>
    <t>https://pubmed.ncbi.nlm.nih.gov/25065005/</t>
  </si>
  <si>
    <t>Meyer 2014</t>
  </si>
  <si>
    <t xml:space="preserve">The autoantibodies elaborated in patients with myositis recognize a family of autoantigens which have important, conserved functions in general cellular processes, and are apparently ubiquitously expressed. Prominent among these functions are protein translation (e.g., amino acyl tRNA synthetases, signal recognition particle; Mathews and Bernstein, 1983; Reeves et al., 1986), gene expression (e.g., components of the nucleosome remodeling and deacetylation complex (NuRD); Targoff and Reichlin, 1985), DNA repair machinery (e.g., double strand break and mismatch repair machinery; Casciola-Rosen et al., 1995, 2001; Suwa et al., 1996), and the exosome complex. Additionally, several autoantigens (e.g., Ro52 and MDA5) are induced by type 1 interferons (Rhodes et al., 2002; Sato et al., 2009). Several observations about the autoantibodies in myositis are notable. With the exception of Ro52 (TRIM 21), patients generally target a single autoantigen. For example, patients with antibodies against an aminoacyl tRNA synthetase recognize only one of the multiple molecules which could be targeted in this family. Similarly, patients with antibodies against the Mi-2 component of the NuRD complex do not recognize autoantigens in the other functional families. Ro52 is an interferon-inducible antigen which is frequently targeted in myositis, and is almost always targeted in association with an autoantigen from a different protein family. For example, &gt;50% of patients with antibodies recognizing an aminoacyl tRNA synthetase also have antibodies against Ro52. Ro52 is also frequently targeted together with antigens in other groups (Rutjes et al., 1997).
The Autoimmune Diseases . Elsevier Science. Kindle Edition. </t>
  </si>
  <si>
    <t>12.84 to 15.46 cases per 100,000</t>
  </si>
  <si>
    <t>Juvenile myositis</t>
  </si>
  <si>
    <t>Idiopathic inflammatory myopathies</t>
  </si>
  <si>
    <t>Idiopathic inflammatory myopathy</t>
  </si>
  <si>
    <t>autoimmune necrotizing myopathy</t>
  </si>
  <si>
    <t>autoimmune myopathy</t>
  </si>
  <si>
    <t>Necrotizing vasculitis</t>
  </si>
  <si>
    <t>11791001</t>
  </si>
  <si>
    <t xml:space="preserve">Vasculitis is an inflammation of blood vessels. When vasculitis is severe, blood cannot reach important organs or tissues. In severe cases, the tissue dies, which is called necrosis, and the term "necrotizing vasculitis" is used. It is also called "systemic vasculitis" since the severity of the disease can be widespread. 
Necrotizing vasculitis can lead to blood clots, weight loss, loss of weight, exhaustion, depression, fever, and widespread pain that worsens in the morning.
The specific location of vasculitis inflammation determines what tissue or organs (e.g., kidneys, fingers, head) are affected, and the type of vasculitis often depends on the location.  For more information, see the specific forms of vasculitis elsewhere on the website (listed above). </t>
  </si>
  <si>
    <t>https://www.ncbi.nlm.nih.gov/pmc/articles/PMC4252802/</t>
  </si>
  <si>
    <t>Arora 2014</t>
  </si>
  <si>
    <t xml:space="preserve">Unclear - only 5 mentions, in passing, in R&amp;M.  BUT THIS:  high titers of rheumatoid factor, and antinuclear antibodies as well as increased levels of gammaglobulins, hypocomplementemia, and increased erythrocyte sedimentation rate are usually detected (Tsokos et al., 1987; Ramos-Casals et al., 2004).
The Autoimmune Diseases . Elsevier Science. Kindle Edition. </t>
  </si>
  <si>
    <t>4.5 cases per 100,000</t>
  </si>
  <si>
    <t>Neuralgic amyotrophy</t>
  </si>
  <si>
    <t>Acute brachial neuritis</t>
  </si>
  <si>
    <t>Brachial neuritis</t>
  </si>
  <si>
    <t>Brachial neuropathy</t>
  </si>
  <si>
    <t>https://www.ncbi.nlm.nih.gov/pmc/articles/PMC5721299/</t>
  </si>
  <si>
    <t>Ohta 2017</t>
  </si>
  <si>
    <t>The estimated prevalence of Parsonage-Turner syndrome is approximately 1.64 per 100,000</t>
  </si>
  <si>
    <t>Listed as a comorbidity of GBS</t>
  </si>
  <si>
    <t>1.64 cases per 100,000</t>
  </si>
  <si>
    <t>Brachial plexitis</t>
  </si>
  <si>
    <t>Brachial plexus disorder</t>
  </si>
  <si>
    <t>Brachial plexus neuritis</t>
  </si>
  <si>
    <t>Brachial radiculitis</t>
  </si>
  <si>
    <t>Idiopathic brachial neuritis</t>
  </si>
  <si>
    <t>Idiopathic brachial plexus neuropathy</t>
  </si>
  <si>
    <t>26609002</t>
  </si>
  <si>
    <t>Neuralgic amyotrophy, also known as brachial plexus disorder and Parsonage-Turner syndrome, is a neurological disorder described by sudden onset of serious pain (aching, burning or stabbing pains) in the shoulder and arm. Pain may radiate into the neck and into the hands. The legs or diaphragm may be affected in some cases. PTS is usually triggered by an illness, infection, injury, or environmental factor, and the body creates an autoimmune response. Severe pain may last for a few hours or continue for weeks. Less intense pain can continue for a year or more. Pain is usually worse at night. Weakness of the muscles in the affected areas may develop days or weeks after onset of symptoms. Some people experience a single episode, some experience persistent symptoms, and others may experience symptom-free intervals between episodes.</t>
  </si>
  <si>
    <t>Parsonage-Turner Syndrome</t>
  </si>
  <si>
    <t>Neuromyelitis optica</t>
  </si>
  <si>
    <t>Damage caused by the autoimmune system to the myelin (covering surrounding nerves) of the optical nerves and spine, which affects vision and may also result in other neurological symptoms.</t>
  </si>
  <si>
    <t>https://www.ncbi.nlm.nih.gov/pmc/articles/PMC3883026/</t>
  </si>
  <si>
    <t>Marrie 2013</t>
  </si>
  <si>
    <t xml:space="preserve">Aquaporin-4 </t>
  </si>
  <si>
    <t xml:space="preserve">A serum autoantibody, neuromyelitis optica immunoglobulin (NMO-IgG), was identified in patients with neuromyelitis optica, an inflammatory demyelinating disease similar to, and considered by some to be a variant of, MS affecting the optic nerves and spinal cord, thereby highlighting the importance of the differential diagnosis between MS of NMO and NMO spectrum disorders. NMO and the associated autoantibody (NMO-IgG/anti-aquaporin 4) is discussed further in Chapter 57.
The Autoimmune Diseases . Elsevier Science. Kindle Edition. </t>
  </si>
  <si>
    <t>.52 to 4.4 cases per 100,000</t>
  </si>
  <si>
    <t>NMO</t>
  </si>
  <si>
    <t>NMOSD</t>
  </si>
  <si>
    <t>Devic's disease</t>
  </si>
  <si>
    <t>Devic's syndrome</t>
  </si>
  <si>
    <t>Neuromyelitis optica spectrum Disorder</t>
  </si>
  <si>
    <t>Optic neuromyelitis</t>
  </si>
  <si>
    <t>Opticomyelitis</t>
  </si>
  <si>
    <t>Opticospinal MS</t>
  </si>
  <si>
    <t>Neuromyotonia</t>
  </si>
  <si>
    <t>305719002</t>
  </si>
  <si>
    <t>Neuromyotonia (also known as Issacs' syndrome) is a rare, autoimmune disorder in which hyperactive nerves cause muscles to be over-activated. This hyperactivity results in muscle stiffness, twitching, cramping, increased sweating, and delayed muscle relaxation, especially in the limbs and trunk. These symptoms can occur anytime, even when asleep or under anaesthesia. Weakened reflexes and muscle pain is also common.  There is currently no cure, but treatment may manage symptoms.</t>
  </si>
  <si>
    <t xml:space="preserve">Although the term voltage-gated potassium channel antibodies is now entrenched in the literature, the measurements actually encompass at least two different antibodies linked to the potassium channel. These antibodies, called LGI1 and CASPR2, are associated with limbic encephalitis and neuromyotonia, respectively (Vincent, 2009). LGI1 is not actually an ion channel protein, but instead is a secreted protein.
The Autoimmune Diseases . Elsevier Science. Kindle Edition. </t>
  </si>
  <si>
    <t>https://pubmed.ncbi.nlm.nih.gov/?term=%22Neuromyotonia%22+%22autoimmune%22&amp;sort=date</t>
  </si>
  <si>
    <t>NMT</t>
  </si>
  <si>
    <t>Continuous muscle fiber activity syndrome</t>
  </si>
  <si>
    <t>Isaacs' syndrome</t>
  </si>
  <si>
    <t>Isaacs-Mertens syndrome</t>
  </si>
  <si>
    <t>Issacs' syndrome</t>
  </si>
  <si>
    <t>Quantal squander syndrome</t>
  </si>
  <si>
    <t>Ophthalmoplegia due to Graves' disease</t>
  </si>
  <si>
    <t>Thyroid eye disease</t>
  </si>
  <si>
    <t>Graves' ophthalmopathy (GO) is an autoimmune disorder affecting the eyes that is associated with Graves' disease.  In Graves' disease, the immune system targets and damages a specific cell type found in the thyroid.  This cell type is also found in the tissues surrounding the eyes (the orbit), and Graves' ophthalmopathy results when the immune system attacks these orbital cells in addition to the cells in the thyroid.  Patients with GO experience swelling in the tissues, muscles, and fat in the eye socket, which leads to an abnormal protrusion of the eye.  Smoking is associated with a greater risk of acquiring GO.  Patients often experience full recovery without intervention, but treatments are available to manage symptoms.</t>
  </si>
  <si>
    <t>https://www.ncbi.nlm.nih.gov/pmc/articles/PMC5397790/</t>
  </si>
  <si>
    <t>Perros 2017</t>
  </si>
  <si>
    <t>Based on percentage of patients with Graves' disease</t>
  </si>
  <si>
    <t>Subtype of Grave's</t>
  </si>
  <si>
    <t>8.97 cases per 10,000</t>
  </si>
  <si>
    <t>Graves' eye disease</t>
  </si>
  <si>
    <t>104461000119104</t>
  </si>
  <si>
    <t>Graves ophthalmopathy</t>
  </si>
  <si>
    <t>Graves' ophthalmopathy</t>
  </si>
  <si>
    <t>Graves' orbitopathy</t>
  </si>
  <si>
    <t>Graves’ ophthalmopathy (GO) is an autoimmune disorder affecting the eyes that is associated with Graves’ disease.  In Graves’ disease, the immune system targets and damages a specific cell type found in the thyroid.  This cell type is also found in the tissues surrounding the eyes (the orbit), and Graves’ ophthalmopathy results when the immune system attacks these orbital cells in addition to the cells in the thyroid.  
Patients with GO experience swelling in the tissues, muscles, and fat in the eye socket, which leads to an abnormal protrusion of the eye.  Smoking is associated with a greater risk of acquiring GO.  Patients often experience full recovery without intervention, but treatments are available to manage symptoms.</t>
  </si>
  <si>
    <t>Thyroid-Associated orbitopathy</t>
  </si>
  <si>
    <t>Opsoclonus-myoclonus syndrome</t>
  </si>
  <si>
    <t>OMS</t>
  </si>
  <si>
    <t>Opsoclonus-myoclonus syndrome is a rare autoimmune disorder that affects the nervous system. Inflammation in the neurological system causes this disorder. OMS typically occurs with tumors (neuroblastomas) or after a viral or bacterial infection. The immune reaction to the tumor or infection makes the body attack the nervous system. In some cases, the cause is unknown.</t>
  </si>
  <si>
    <t>https://www.ncbi.nlm.nih.gov/pmc/articles/PMC5604058/#:~:text=anti%2DHu%20syndrome-,Introduction,per%20million%20children%20(2).</t>
  </si>
  <si>
    <t>Pranzatelli 2017</t>
  </si>
  <si>
    <t>Prevalence in under-18 population</t>
  </si>
  <si>
    <t xml:space="preserve">Measurement of paraneoplastic antibodies in the serum is the most important diagnostic test. In addition to its value in establishing the diagnosis of a paraneoplastic syndrome, the antibody identified may reveal the likely underlying tumor. However, it is important to remember that not all paraneoplastic syndromes are antibody positive. For example, opsoclonus–myoclonus syndrome associated with neuroblastoma is clearly the result of an autoimmune process, yet a specific antibody has never been identified in the serum of affected children (Bolognani et al., 2007).
The Autoimmune Diseases . Elsevier Science. Kindle Edition. </t>
  </si>
  <si>
    <t>.27 to .4 cases per 1,000,000</t>
  </si>
  <si>
    <t>https://pubmed.ncbi.nlm.nih.gov/33060390/</t>
  </si>
  <si>
    <t>Ataxo-opso-myoclonus syndrome</t>
  </si>
  <si>
    <t>Dancing eye syndrome</t>
  </si>
  <si>
    <t>Dancing eye-dancing feet syndrome</t>
  </si>
  <si>
    <t>Kinsbourne syndrome</t>
  </si>
  <si>
    <t>OMA syndrome</t>
  </si>
  <si>
    <t>Opsoclonus myoclonus syndrome</t>
  </si>
  <si>
    <t>Opsoclonus-myoclonus-ataxia syndrome</t>
  </si>
  <si>
    <t>Paraneoplastic opsoclonus-myoclonus</t>
  </si>
  <si>
    <t>Paraneoplastic opsoclonus-myoclonus-ataxia syndrome</t>
  </si>
  <si>
    <t>POMA syndrome</t>
  </si>
  <si>
    <t>Palindromic rheumatism</t>
  </si>
  <si>
    <t xml:space="preserve">Palindromic rheumatism is a disorder that involves episodes of joint inflammation that can affect one or many joint areas. The cause is unknown, but there is evidence that it may result from autoinflammatory processes.  The episodes can last from hours to days, and the time between episodes can range from days to months. Most individuals with the disorder experience multiple episodes per year. The episodes leave no lasting damage, and there are typically no symptoms between episodes.  Studies have shown that roughly half of all patients diagnosed with palindromic rheumatism eventually develop rheumatoid arthritis. Some researchers believe that palindromic rheumatism is simply an early symptom of rheumatoid arthritis. Treatments to manage symptoms are still under investigation. </t>
  </si>
  <si>
    <t>https://pubmed.ncbi.nlm.nih.gov/18412310/</t>
  </si>
  <si>
    <t>Powell 2008</t>
  </si>
  <si>
    <t>3 Mentions</t>
  </si>
  <si>
    <t>No prevalence data</t>
  </si>
  <si>
    <t>Hench-Rosenberg syndrome</t>
  </si>
  <si>
    <t>Hench's syndrome</t>
  </si>
  <si>
    <t>Palindromic rheumatism syndrome</t>
  </si>
  <si>
    <t>Paraneoplastic cerebellar degeneration</t>
  </si>
  <si>
    <t>Paraneoplastic cerebellar degeneration (PCD) is a rare autoimmune disorder that occurs in patients with carcinoma. PCD results when the immune system does not differentiate between tumor cells and healthy cells in the cerebellum and attacks both, causing damage. Cancer is often undetected in these patients until symptoms of PCD emerge. Disease progresses quickly, and patients will experience motor and cognitive difficulties that become disabling within less than a few weeks. Treatments are available to manage symptoms, but prognosis is usually poor.</t>
  </si>
  <si>
    <t>https://pubmed.ncbi.nlm.nih.gov/31552550/</t>
  </si>
  <si>
    <t>Vogrig 2019</t>
  </si>
  <si>
    <t>Based on 28% of patients with paraneoplastic syndrome</t>
  </si>
  <si>
    <t>https://pubmed.ncbi.nlm.nih.gov/27606347/</t>
  </si>
  <si>
    <t xml:space="preserve">Autoantibodies to PCA-Tr (Tr antibodies) are associated with paraneoplastic cerebellar degeneration (PCD) in the setting of Hodgkin's lymphoma (HL), or more rarely non-Hodgkin's lymphoma (Bernal et al., 2003).
The Autoimmune Diseases . Elsevier Science. Kindle Edition. </t>
  </si>
  <si>
    <t>28% of patients with paraneoplastic syndrome</t>
  </si>
  <si>
    <t>PCA</t>
  </si>
  <si>
    <t>PCD</t>
  </si>
  <si>
    <t>PNS</t>
  </si>
  <si>
    <t>Paraneoplastic cerebellar ataxia</t>
  </si>
  <si>
    <t>Paraneoplastic neurological syndrome</t>
  </si>
  <si>
    <t>Paraneoplastic syndrome</t>
  </si>
  <si>
    <t>Paroxysmal nocturnal hemoglobinuria</t>
  </si>
  <si>
    <t>R</t>
  </si>
  <si>
    <t xml:space="preserve">Paroxysmal nocturnal hemoglobinuria is a rare blood disorder caused when a protein is missing from a person's blood due to a mutation in a gene. Without the protein, the body's immune system attacks the red blood cells and breaks them apart.  </t>
  </si>
  <si>
    <t>https://ashpublications.org/blood/article/134/Supplement_1/3407/428186/Epidemiology-of-PNH-and-Real-World-Treatment</t>
  </si>
  <si>
    <t>Jalbert 2019</t>
  </si>
  <si>
    <t>The prevalence of PNH varied little between 2016 and 2017, from 12 to 13 per 1,000,000</t>
  </si>
  <si>
    <t xml:space="preserve">Cells have mechanisms to defend against occasional deposition of C3b. CD59 (membrane inhibitor of reactive lysis) protects autologous cells against the membrane attack complex, and its deficiency leads to paroxysmal nocturnal hemoglobinuria (Yamashina et al., 1990), where erythrocytes are slowly but continuously destroyed by unrestrained activation of the alternate complement pathway.
The Autoimmune Diseases . Elsevier Science. Kindle Edition. </t>
  </si>
  <si>
    <t>.12 to .13 cases per 100,000</t>
  </si>
  <si>
    <t>Pediatric autoimmune neuropsychiatric disorder associated with streptococcal infection</t>
  </si>
  <si>
    <t>PANDAS</t>
  </si>
  <si>
    <t>PANS</t>
  </si>
  <si>
    <t>Pediatric Autoimmune Neuropsychiatric Disorders Associated with Streptococcus (PANDAS) affect children, adolescents, and young adults who may present with acute onset of obsessive-compulsive disorder (OCD) and/or tics following strep infection. PANDAS is a subset of Pediatric Acute-Onset Neuropsychiatric Syndrome (PANS) in which similar symptoms result from a misguided immune response following other infectious or environmental triggers such as the flu, COVID, or tick-borne diseases.</t>
  </si>
  <si>
    <t xml:space="preserve">A miscellaneous group of movement disorders, observed particularly in children, and sharing the features of an antecedent streptococcal infection, are claimed to have in common the expression of autoantibodies to neurons of basal ganglia in the brain. Prototypic among these is Sydenham's chorea, marked by frequent unintended jerky movements, and long known to occur occasionally in association with streptococcal-related rheumatic carditis. Others include the Tourette syndrome of motor and vocal tics, and a pediatric autoimmune neuropsychiatric disorder associated with streptococcal infections (PANDAS) (Shulman, 1999). Speculative extensions have brought in other entities including obsessive–compulsive and attention-deficit disorders. Autoimmunity has been implicated, but on rather slender evidence: (1) the claimed antecedent streptococcal infections that provide a reasoning for the occurrence of autoimmunity similar to that proposed for the onset of rheumatic carditis (see Chapter 69), (2) positive tests for antineuronal autoantibodies particularly to autoantigens of basal ganglia neurons, and (3) a claimed capacity of patients' sera to transfer disease passively after direct injection into the striatum of rats. However, the autoantibody studies are in earlier literature and have not been convincingly confirmed (reviewed by Dale, 2005), and the validity of the data on passive transfer to animals by serum is likewise questionable (Giovannoni, 2005).
The Autoimmune Diseases . Elsevier Science. Kindle Edition. </t>
  </si>
  <si>
    <t>1 in 200 pandas network -hearsay</t>
  </si>
  <si>
    <t>Pediatric Acute-onset Neuropsychiatric Syndrome</t>
  </si>
  <si>
    <t>Pemphigus</t>
  </si>
  <si>
    <t>Pemphigus foliaceus</t>
  </si>
  <si>
    <t>https://pubmed.ncbi.nlm.nih.gov/30892569/</t>
  </si>
  <si>
    <t>Wertenteil 2019</t>
  </si>
  <si>
    <t xml:space="preserve">Desmogleins </t>
  </si>
  <si>
    <t xml:space="preserve">The serum of PV patients contains IgG autoantibodies that stain the epidermal intercellular spaces (ICS) by indirect immunofluorescence (IF) producing titers that roughly correlate with disease activity (Beutner and Jordon, 1964). Direct IF of perilesional skin reveals IgG bound to keratinocyte cell surfaces. These autoantibodies are predominantly of the IgG4 subclass (Jones et al., 1988). Noteworthy, non-pathogenic anti-Dsg3 autoantibodies have been detected in first-degree relatives of PV patients, which are mainly IgG1 subclass (Bhol et al., 1995; Kricheli et al., 2000). The target antigen recognized by PV autoantibodies is desmoglein 3 (Dsg3), a 130-kDa desmosomal core glycoprotein (Amagai et al., 1991). While patients with limited mucosal lesions have autoantibodies to Dsg3 exclusively, patients who develop skin lesions may possess autoantibodies against Dsg1 as well (Ding et al., 1997). It is well established that about 50% of PV patients show autoantibodies against Dgs3 and Dsg1.
The Autoimmune Diseases . Elsevier Science. Kindle Edition. </t>
  </si>
  <si>
    <t>4.9 to 5.4 cases per 100,000</t>
  </si>
  <si>
    <t>Pemphigus erythematosus</t>
  </si>
  <si>
    <t>Brazilian pemphigus foliaceus</t>
  </si>
  <si>
    <t>Pemphigus vulgaris</t>
  </si>
  <si>
    <t xml:space="preserve">Pemphigus includes a group of autoimmune diseases that cause blisters and sores in the mouth, skin, genitals, or any area that has mucous membranes. Normally, the immune system produces antibodies to fight off harmful invaders, such as viruses and bacteria. In pemphigus however, the body produces antibodies that damage cells of the skin, the junctions between them, and mucous membranes. Pemphigus vulgaris is the most common subtype of pemphigus.
Pemphigus can occur at any age, but it is most often seen in people who are middle-aged or older. It tends to be a long-lasting (chronic) condition, and some types can be life-threatening without treatment. Treatment with medication usually controls it.
Pemphigus is different from bullous pemphigoid, a blistering skin condition that affects older adults and may cause death to those in poor health. The main difference is microscopic: in pemphigus the skin cells are not able to stick to each other causing fluid to accumulate between them forming blisters;  bullous pemphigoid affects deeper layers of the skin, and the cells of the top layer of skin, the epidermis, cannot stick to the layer beneath it, the dermis, meaning they come off and fluid accumulates between the dermis and epidermis layer. </t>
  </si>
  <si>
    <t>Drug-induced pemphigus</t>
  </si>
  <si>
    <t>Pemphigus paraneoplastica</t>
  </si>
  <si>
    <t>POEMS syndrome</t>
  </si>
  <si>
    <t xml:space="preserve">POEMS is an acronym that stands for the disorder's features, which may include Polyneuropathy (disease affecting many nerves), Organomegaly (abnormal enlargement of an organ), Endocrinopathy (diseases affecting certain hormone-producing glands that help to regulate sexual function), Monoclonal gammopathy and Skin Changes. POEMS syndrome is a rare blood disorder where there is an uncontrolled growth of a single clone of plasma cells, which results in abnormal accumulation of immunoglobulins in the blood. </t>
  </si>
  <si>
    <t>https://www.ncbi.nlm.nih.gov/pmc/articles/PMC6598596/</t>
  </si>
  <si>
    <t>Wang 2019</t>
  </si>
  <si>
    <t xml:space="preserve">The POEMS syndrome (polyneuropathy, organomegaly, endocrinopathy, M-protein, and skin changes) is a rare condition associated with both osteosclerotic myeloma and Castleman's disease. The paraprotein required to make the diagnosis does not seem to participate in the pathogenesis as it is often still found after successful treatment. Furthermore, cytokines (especially IL-6 and IL-1β) and vascular growth endothelial factor (VEGF) are implicated in causation (Lagueny et al., 2004; Dispenzieri, 2012).
The Autoimmune Diseases . Elsevier Science. Kindle Edition. </t>
  </si>
  <si>
    <t>.3 cases per 100,000</t>
  </si>
  <si>
    <t>Crow-Fukase syndrome</t>
  </si>
  <si>
    <t>Osteosclerotic myeloma</t>
  </si>
  <si>
    <t>PEP syndrome</t>
  </si>
  <si>
    <t>Polyneuropathy-organomegaly-endocrinopathy-M protein-skin lesions</t>
  </si>
  <si>
    <t>Shimpo syndrome</t>
  </si>
  <si>
    <t>Takatsuki syndrome</t>
  </si>
  <si>
    <t>Polyarteritis nodosa</t>
  </si>
  <si>
    <t>c-PAN</t>
  </si>
  <si>
    <t>PAN</t>
  </si>
  <si>
    <t>Polyarteritis nodosa is an autoimmune disease that causes damage, weakness, and swelling to arteries. Small and medium-sized arteritis are affected by this disease. The autoimmune response that causes PAN is commonly triggered by drugs, vaccines, and both viral and bacterial infections.  PAN is a multisystem disorder, so any organ in the body can be affected. Typically, the skin, heart, peripheral nervous system, kidneys, joints, eyes, and gastrointestinal system are affected. Common symptoms include feelings of malaise, pain, and skin irritation.  There is no cure for PAN, but there are treatments to help with symptoms and disease progression. Outcomes vary depending on symptoms and disease severity, and relapses are possible.  If left untreated, some complications may be fatal.</t>
  </si>
  <si>
    <t>https://pubmed.ncbi.nlm.nih.gov/24485157/</t>
  </si>
  <si>
    <t>Hernández-Rodríguez 2014</t>
  </si>
  <si>
    <t>.16 cases per 100,000</t>
  </si>
  <si>
    <t>Classic polyarteritis nodosa</t>
  </si>
  <si>
    <t>Periarteritis nodosa</t>
  </si>
  <si>
    <t>Polyarteritis</t>
  </si>
  <si>
    <t>Polyglandular autoimmune syndrome type 1</t>
  </si>
  <si>
    <t>APECED</t>
  </si>
  <si>
    <t>APS-1</t>
  </si>
  <si>
    <t>Polyglandular autoimmune syndrome type 1 is a rare autoimmune condition that is caused by a genetic variant that prevents the destruction of antibodies in the thymus gland. As a result, those antibodies attack healthy tissue in a number of glands, leading to the symptoms. There are three components of APECED: chronic mucocutaneous candidiasis, hypoparathyroidism, and adrenal insufficiency.</t>
  </si>
  <si>
    <t>All cases of APS will be captured in other diseases since these are overlap syndromes</t>
  </si>
  <si>
    <t xml:space="preserve">Autoantibodies to several other organ-specific self antigens have been reported in APS-1 (Table 43.1).
The Autoimmune Diseases . Elsevier Science. Kindle Edition. </t>
  </si>
  <si>
    <t>Autoimmune polyendocrine syndrome type 1</t>
  </si>
  <si>
    <t>Autoimmune polyendocrinopathy-candidiasis-ectodermal dystrophy</t>
  </si>
  <si>
    <t>Autoimmune polyglandular syndrome type 1</t>
  </si>
  <si>
    <t>Whitaker syndrome</t>
  </si>
  <si>
    <t>Polyglandular autoimmune syndrome type 2</t>
  </si>
  <si>
    <t>APS2</t>
  </si>
  <si>
    <t>PGA 2</t>
  </si>
  <si>
    <t>PGA-II</t>
  </si>
  <si>
    <t xml:space="preserve">APS-2 is an overlap disease that may include Addison's disease, thyroid diseases (Graves disease, Hashimoto's thyroiditis), and diabetes mellitus type 1 </t>
  </si>
  <si>
    <t>Overlap syndrome</t>
  </si>
  <si>
    <t>Autoimmune polyendocrine syndrome type 2</t>
  </si>
  <si>
    <t>Autoimmune polyglandular syndrome type II</t>
  </si>
  <si>
    <t>Carpenter syndrome</t>
  </si>
  <si>
    <t>Multiple endocrine deficiency syndrome  type 2</t>
  </si>
  <si>
    <t>Polyglandular deficiency syndrome type 2</t>
  </si>
  <si>
    <t>Schmidt syndrome</t>
  </si>
  <si>
    <t>Polyglandular autoimmune syndrome type 3</t>
  </si>
  <si>
    <t>PAS 3</t>
  </si>
  <si>
    <t>PAS III</t>
  </si>
  <si>
    <t xml:space="preserve">APS-3 is an overlap disease that primarily includes thyroid diseases (Graves disease, Hashimoto's thyroiditis), diabetes mellitus type 1 and celiac disease. In addition, the disease may include pernicious anemia, alopecia, Sjogren's syndrome, myasthenia gravis and vitiligo. </t>
  </si>
  <si>
    <t>Autoimmune polyendocrine syndrome type 3</t>
  </si>
  <si>
    <t>Autoimmune polyglandular syndrome type III</t>
  </si>
  <si>
    <t>Polyglandular deficiency syndrome type 3</t>
  </si>
  <si>
    <t>Polyglandular autoimmune syndrome type 4</t>
  </si>
  <si>
    <t xml:space="preserve">Multiple autoimmune syndrome is any combination of 2 or more autoimmune conditions. The Autoimmune Registry's research across numerous databases has determined that roughly 40% of individuals with autoimmune disease have multiple diseases. </t>
  </si>
  <si>
    <t>Autoimmune polyendocrine syndrome type 4</t>
  </si>
  <si>
    <t>Multiple autoimmune syndrome</t>
  </si>
  <si>
    <t xml:space="preserve">APS-4 is any combination of autoimmune diseases not covered by types 1, 2 or 3. </t>
  </si>
  <si>
    <t>Polymyalgia rheumatica</t>
  </si>
  <si>
    <t>Polymyalgia rheumatica (PMR) is an autoimmune disease that causes an inflammatory reaction affecting the lining of joints, especially the shoulders and hips, and sometimes the arteries and some major branches of the aorta. It is usually associated with temporal arteritis.</t>
  </si>
  <si>
    <t>https://www.ncbi.nlm.nih.gov/pmc/articles/PMC5623160/</t>
  </si>
  <si>
    <t>Crowson 2017</t>
  </si>
  <si>
    <t>Prevalence in over-50 population</t>
  </si>
  <si>
    <t xml:space="preserve">Evidence suggests that the systemic inflammatory syndrome precedes rather than follows vascular inflammation, responds promptly to corticosteroid immunosuppression, and is mediated by a distinct immune abnormality: the excessive production of IL-6 and related cytokines. Clinical symptoms vary depending on the nature of the vascular lesions and the vascular bed is preferentially affected. For clinical purposes it is helpful to subdivide the GCA syndrome into different subtypes, including cranial GCA, nonstenosing GCA, large vessel GCA, and polymyalgia
The Autoimmune Diseases . Elsevier Science. Kindle Edition. </t>
  </si>
  <si>
    <t>651.0 to 750.0 cases per 100,000</t>
  </si>
  <si>
    <t>Polymyositis</t>
  </si>
  <si>
    <t>Polymyositis is inflammation of muscle tissue, causing chronic muscle weakness in both sides of the body. This results in mobility issues, such as difficulty climbing stairs, rising from a seated position, lifting objects, etc. Polymyositis mostly affects adults ages 30 to 50s, and women are usually more often affected compared to men. This disease develops gradually, affecting both sides of the muscles closest to the trunk, such as the hips, neck, upper arms, and thighs. The risk of polymyositis increases if already diagnosed with another autoimmune disease, for example, lupus, rheumatoid arthritis, scleroderma, or Sjogren’s syndrome.</t>
  </si>
  <si>
    <t>https://www.ncbi.nlm.nih.gov/books/NBK532860/</t>
  </si>
  <si>
    <t>Cheeti 2020</t>
  </si>
  <si>
    <t>21.42 for dermatomyositis; remainder are polymyositis - reports may include double-counting</t>
  </si>
  <si>
    <t xml:space="preserve">Anti-polymyositis/scleroderma (anti-PM-Scl) antibodies are present in up to 24% of patients with polymyositis/SSc overlap syndrome.
The Autoimmune Diseases . Elsevier Science. Kindle Edition. </t>
  </si>
  <si>
    <t>5.0 to 22.0 cases per 100,000</t>
  </si>
  <si>
    <t>Postmyocardial infarction syndrome</t>
  </si>
  <si>
    <t>Postpericardiotomy pericarditis</t>
  </si>
  <si>
    <t xml:space="preserve">All of the conditions listed here occur following a heart attack, traumatic injury to the heart or the pericardium, or an operation such as coronary artery bypass grafting (CABG), mitral valve replacement, aortic valve replacement, and pacemaker or stent implantation. 
They are marked by inflammation of the pericardium (the sac that surrounds the heart) accompanied by high fever.  Symptoms occur usually from 3-4 days up to 2-6 weeks post-surgery/injury and on rare occasions symptoms may develop up to a few months post-surgery/injury. Most patients improve with medication and do not suffer chronic illness.  
To date, there is no direct or indirect evidence that post-pericardiotomy syndrome is autoimmune. Kaya et al 2012 provides an excellent review of the science of this entire class of disease. However, it states that “…precise mechanisms on how these autoantibodies perpetuate or even induce an organ specific autoimmune response are not yet fully understood.”  </t>
  </si>
  <si>
    <t>https://pubmed.ncbi.nlm.nih.gov/3189147/</t>
  </si>
  <si>
    <t>Miller 1988</t>
  </si>
  <si>
    <t>Based on a percentage of patients who suffer heart attacks</t>
  </si>
  <si>
    <t xml:space="preserve">Finally, post-pericardiotomy syndrome and post-myocardial infarction syndrome are sometimes cited as instances of an autoimmune response instigated by damaged or necrotic tissue (Maisch et al., 1979). This chapter reviews the evidence linking autoimmunity with two important forms of heart disease, myocarditis and dilated cardiomyopathy (DCM). It must be stated, ab initio, that immunologic testing has so far not been effective in allowing a clear distinction between autoimmune and other etiologies
The Autoimmune Diseases . Elsevier Science. Kindle Edition. </t>
  </si>
  <si>
    <t>Incidence estimated at 17.8% of heart attacks  (500,000 heart attacks in the US each year)</t>
  </si>
  <si>
    <t>Post-cardiac injury syndrome</t>
  </si>
  <si>
    <t>Post-myocardial infarction syndrome</t>
  </si>
  <si>
    <t>Post-pericardiotomy syndrome</t>
  </si>
  <si>
    <t>Dressler's syndrome</t>
  </si>
  <si>
    <t>Delayed postmyocardial infarction syndrome</t>
  </si>
  <si>
    <t>Primary biliary cholangitis</t>
  </si>
  <si>
    <t>PBC</t>
  </si>
  <si>
    <t>Primary biliary cholangitis is chronic disease in which the bile ducts of the liver are slowly destroyed due to inflammation with progressive scarring.</t>
  </si>
  <si>
    <t>https://pubmed.ncbi.nlm.nih.gov/29066370/</t>
  </si>
  <si>
    <t>Lu 2017</t>
  </si>
  <si>
    <t xml:space="preserve">An autoimmune pathogenesis for PBC appears indisputable according to different lines of evidence, notably high levels/counts of serum autoantibodies and autoreactive T cells directed at overlapping epitopes on the mitochondrial constituent pyruvate dehydrogenase complex (Folci et al., 2012), and/or reactivity to nuclear autoantigens (ANA) of very particular specificities. Detectable AMA in serum exist in some 90% of affected individuals, but AMA negative cases are clinically similar, and AMA titers do not correlate with disease staging or grading (Selmi et al., 2008b). If ANA positivity were taken into account, then nearly all cases of PBC could show seropositivity. </t>
  </si>
  <si>
    <t>29.3 cases per 100,000</t>
  </si>
  <si>
    <t>Primary biliary cirrhosis</t>
  </si>
  <si>
    <t>Primary idiopathic dilated cardiomyopathy</t>
  </si>
  <si>
    <t xml:space="preserve">A disease in which the immune system attacks the heart muscle causing inflammation, normally beginning in the heart's left ventricle (the heart's main pumping chamber). The ventricle stretches and thins and is unable to pump blood as a healthy heart can. Not all patients experience symptoms, but for some it can be life-threatening.     </t>
  </si>
  <si>
    <t>https://pubmed.ncbi.nlm.nih.gov/2766509/</t>
  </si>
  <si>
    <t>Codd 1989</t>
  </si>
  <si>
    <t xml:space="preserve">The ambiguities in diagnosing inflammatory disease of the heart muscle are evident. Although the availability of endomyocardial biopsy has helped to clarify the situation, many cases are still inconclusive. There is, at present, a need for noninvasive, inexpensive diagnostic procedures to distinguish autoimmune from other forms of inflammatory heart disease. Much evidence points to a significant role of autoimmunity in some animal models of heart muscle disease. It is logical, therefore, to propose that serologic tests, based on the demonstration of circulating autoantibodies to cardiac antigens, might be useful in the identification of autoimmune forms of myocarditis and DCM in humans. The literature has been reviewed by Caforio et al. (2002), Cihakova and Rose (2008), and, most recently, Kaya et al. (2012).
The Autoimmune Diseases . Elsevier Science. Kindle Edition. </t>
  </si>
  <si>
    <t>36.5 cases per 100,000</t>
  </si>
  <si>
    <t>Dilated cardiomyopathy</t>
  </si>
  <si>
    <t>Idiopathic dilated cardiomyopathy</t>
  </si>
  <si>
    <t>Primary sclerosing cholangitis</t>
  </si>
  <si>
    <t>PSC is a rare progressive disorder of the liver which is characterized by inflammation, thickening, and abnormal formation of fibrous tissue within the passages that carry bile from the liver (bile ducts). Both bile ducts within the liver and outside the liver are affected.</t>
  </si>
  <si>
    <t xml:space="preserve">https://www.ncbi.nlm.nih.gov/pmc/articles/PMC5478316/ </t>
  </si>
  <si>
    <t>Liang 2017</t>
  </si>
  <si>
    <t xml:space="preserve">PSC patients have a variety of nonspecific autoantibodies. In addition to atypical p-ANCA which cross-reacts with a ubiquitous protein in intestinal bacteria (see above), nearly two-thirds of PSC patients have autoantibodies against cholangiocytes (Xu et al., 2002). These autoantibodies may cause cholangiocytes to express CD44 and increase IL-6 production which could potentially lead to the recruitment of memory T cells via CD44 and upregulation of the innate immune system via ERK1/2 transcription factor signaling and upregulation of TLRS (Xu et al., 2002; Karrar et al., 2007). T cells in the liver and bile ducts of PSC patients may have oligoclonal restriction (Broome et al., 1997; Probert et al., 1997). Furthermore, the proportion of γδ+ T cells in the liver and peripheral circulation is increased in PSC patients. The peripheral γδ+ T cells co-express CD45RO and IL-2 receptors which suggests they have an activated memory phenotype (Wen et al., 1992; Martins et al., 1996). CD4+CD25+ T regulatory cells are believed to play an important role in autoimmune diseases. Indeed, patients with PSC-UC appear to have a higher peripheral proportion of CD4+CD25+ T cells when compared to UC patients without PSC (Kekilli et al., 2013). The significance of this observation remains unclear but warrants further study.
The Autoimmune Diseases . Elsevier Science. Kindle Edition. </t>
  </si>
  <si>
    <t>4.82 to 7.35 cases per 100,000</t>
  </si>
  <si>
    <t>PSC</t>
  </si>
  <si>
    <t>Chronic obliterative cholangitis</t>
  </si>
  <si>
    <t>Fibrosing cholangitis</t>
  </si>
  <si>
    <t>Stenosing cholangitis</t>
  </si>
  <si>
    <t>Progressive hemifacial atrophy</t>
  </si>
  <si>
    <t xml:space="preserve">Progressive hemifacial atrophy, also called Parry Romberg Syndrome, predominantly affects the skin of the face and is believed to be autoimmune in nature, though the cause is still being researched.  Typically, the skin deteriorates gradually over one side of the face, beginning with the upper jaw and the area extending from the nose to the corner of the lip, and then spreading to other parts of the face.  In some cases, symptoms are not restricted to only one side of the face and may also occur in the trunk or limbs.  Severe cases can spread to the muscles, bones, and cartilage.  Patients can expect symptoms to progress over a period of 2 to 20 years, after which time progression plateaus.  Treatments have so far been unsuccessful in stopping progression, but they do help manage associated discomfort.  Cases that progress over longer periods of time and beginning at a younger age often lead to the most severe symptoms, resulting in facial distortions and nerve disorders. </t>
  </si>
  <si>
    <t>https://www.ncbi.nlm.nih.gov/pmc/articles/PMC4991159/</t>
  </si>
  <si>
    <t>Gupta 2016</t>
  </si>
  <si>
    <t>1.0 cases per 700,000</t>
  </si>
  <si>
    <t>Idiopathic hemifacial atrophy</t>
  </si>
  <si>
    <t>Parry Romberg syndrome</t>
  </si>
  <si>
    <t>Progressive facial hemiatrophy</t>
  </si>
  <si>
    <t>Romberg's syndrome</t>
  </si>
  <si>
    <t>Psoriasis</t>
  </si>
  <si>
    <t>Psoriasis is a chronic autoimmune disease that causes raised, red, scaly patches to appear on the skin. It affects 1% to 3% of people in Western countries. Psoriasis can appear anywhere on the body, with some cases being mild and others severe enough to significantly impact quality of life. The condition can develop at any age, with earlier onset associated with more severe disease than later onset. Various triggers, including trauma, infections, dry skin, and certain medications, can worsen the condition. Some people with psoriasis may also develop psoriatic arthritis, which causes joint pain and stiffness.
The disease is caused by an overactive immune system, where T cells mistakenly attack the skin, leading to inflammation and rapid skin cell turnover. This process is driven by immune system proteins called cytokines, such as IL-23 and TNF-α, which promote inflammation. Treatments targeting these immune responses, such as biologic medications and immunosuppressants, have been effective in managing symptoms. Despite its autoimmune features, researchers have yet to identify the exact self-antigen that triggers the immune response in psoriasis.
The development of psoriasis involves a complex cycle of immune activation and skin cell dysfunction. Triggers such as physical injury or infections can initiate an immune response that leads to inflammation and the recruitment of immune cells into the skin. These immune cells release cytokines that further stimulate skin cells, causing thickening and scaling. While genetic factors play a role in susceptibility, environmental triggers are also important. Ongoing research aims to better understand the disease mechanisms and develop more targeted therapies to improve treatment outcomes.</t>
  </si>
  <si>
    <t>https://pubmed.ncbi.nlm.nih.gov/24388724/</t>
  </si>
  <si>
    <t>Rachakonda 2014</t>
  </si>
  <si>
    <t xml:space="preserve">The concept of an autoimmune basis for psoriasis notwithstanding the presence of a dysregulated immune system (Nestle et al., 2009) is supported by the following: 1. Increased numbers of immune cells (mainly dendritic and T cells) within the lesions, and the appearance of oligoclonal T cells in lesions over time. 2. Oligoclonal T cell activation in psoriatic lesions (Lin et al., 2001). 3. Efficacy of T cell-targeted treatments (cyclosporine, efalizumab, alefacept) (Lowes et al., 2007), drugs that inhibit Th1 and Th17 cells and their cytokines (ustekinumab), or therapies that are thought to target the adaptive immune system rather than modify keratinocyte function (corticosteroids, UVB) (Schwarz, 2008; Bergboer et al., 2012). 4. Genetic associations that are largely immunologic (discussed below). 5. Xenograft animal models (Bergboer et al., 2012) that have focused on the functional role of T cells and cytokines (Nestle et al., 2009). 6. The observation that bone marrow transplantation into psoriasis patients may cure the disease, and that psoriasis can be transferred from a psoriatic transplant donor to the recipient (Nestle et al., 2009). However, as yet there is no convincing evidence identifying the specificity of autoreactive T cell clones in psoriasis. Although it has been proposed that CD4+ T cell activation initiates psoriasis and CD8+ intraepidermal T cells cause lesion persistence, there is no evidence that these cells are activated by self-antigens (Lin et al., 2001). Many of the triggers for psoriasis are not antigen specific (Leung et al., 1993, 1998), and several of the most effective treatments such as anti-tumor necrosis factor (TNF) biologics may affect both innate and acquired immunity as well as inflammation in general.
The Autoimmune Diseases . Elsevier Science. Kindle Edition. </t>
  </si>
  <si>
    <t>2,600.0 to 3,700.0 cases per 100,000</t>
  </si>
  <si>
    <t>number 3 https://pubmed.ncbi.nlm.nih.gov/?term=%22Psoriasis%22+%22autoimmune%22&amp;sort=date</t>
  </si>
  <si>
    <t>Guttate psoriasis</t>
  </si>
  <si>
    <t>The majority of CP patients show circulating IgG autoantibodies against BP180 antigen (Balding et al., 1996). Some of these CP autoantibodies recognize the C-terminal domain of BP180, which is different from BP. A subset of CP patients exhibits circulating autoantibodies against laminin 5 (epiligrin), also known as epiligrin (Domloge-Hultsch et al., 1994; Egan et al., 1999).</t>
  </si>
  <si>
    <t>Psoriatic arthritis</t>
  </si>
  <si>
    <t>Psoriasis with arthropathy</t>
  </si>
  <si>
    <t>PsA</t>
  </si>
  <si>
    <t>https://pubmed.ncbi.nlm.nih.gov/36902329/</t>
  </si>
  <si>
    <t xml:space="preserve">Psoriatic arthritis is an autoimmune disease marked by the combination of psoriasis and one or more forms of rheumatoid-like arthritis, including anklosing spondylitis, rheumatoid arthritis, and juvenile rheumatoid arthritis. </t>
  </si>
  <si>
    <t>https://www.ncbi.nlm.nih.gov/pmc/articles/PMC4610151/pdf/nihms-710337.pdf</t>
  </si>
  <si>
    <t>Ogdie 2015</t>
  </si>
  <si>
    <t xml:space="preserve">This is another inadequately defined JIA category. If Vancouver criteria (presence of arthritis and psoriasis or some psoriatic features) (Southwood et al., 1989) are used to define psoriatic arthritis two populations of patients are identified: (1) one that represents, as adult psoriatic arthritis, a form of spondyloarthropathy; (2) a second form that shares the same above-mentioned characteristics of ANA-positive, early onset oligoarthritis (Martini, 2003; Stoll et al., 2006). So the association of psoriasis with arthritis seems to lead to the identification of two different subsets of patients, one that is similar to adult psoriatic arthritis and the other that overlaps with ANA-positive, early onset oligoarthritis (Martini, 2003; Ravelli et al., 2011). The ILAR classification criteria for psoriatic arthritis, in which patients with enthesitis are by definition excluded, limit the identification of those patients that have a form of psoriatic arthritis similar to that observed in adults (Stoll et al., 2008).
The Autoimmune Diseases . Elsevier Science. Kindle Edition. </t>
  </si>
  <si>
    <t>60.0 to 250.0 cases per 100,000</t>
  </si>
  <si>
    <t>Pure red cell aplasia</t>
  </si>
  <si>
    <t>PRCA</t>
  </si>
  <si>
    <t>Pure red cell aplasia (PRCA) occurs when red blood cells fail to fully develop after they are produced in the bone marrow.  This leads to symptoms of anemia, including tiredness and pale skin.  There are 2 types of PRCA caused by autoimmune processes:  
Acquired primary PRCA typically affects adults and leads to symptoms of anemia.  The trigger for primary PRCA is unknown. Acquired primary PRCA is caused by the immune system attacking developing red blood cells, preventing them from maturing into functional adult cells.  
Acquired secondary PRCA, which is also autoimmune, is similar to acquired primary PRCA but the trigger is an infection, another autoimmune disorder, pregnancy, drugs, or cancer.  PRCA is also one of the important complications in hematopoietic stem cell transplantation when the blood type of the donor and recipient do not match.
Patients may experience symptoms of anemia as well as symptoms of the underlying health condition.  Treatments for both primary and secondary PRCA are available, but outcomes vary, and life expectancy is often markedly reduced.  
A third type of PRCA, Diamond-Blackfan syndrome, is due to genetic mutation and presents during infancy.   It is not autoimmune.</t>
  </si>
  <si>
    <t>https://pubmed.ncbi.nlm.nih.gov/35522950/</t>
  </si>
  <si>
    <t>Nakazawa 2022</t>
  </si>
  <si>
    <t>A nationwide epidemiologic study for acquired PRCA identified 1055 patients, an incidence rate of 1.06 patients per million per year.</t>
  </si>
  <si>
    <t xml:space="preserve">Autoantibodies Against Erythropoietin Cause Pure Red Cell Aplasia Pure red cell aplasia is often associated with thymomas, and is cured in a quarter of cases by thymectomy (Jacobs et al., 1959). The reason remained obscure until 1967, when an inhibitor of erythropoiesis was discovered in the plasma of patients with pure red aplasia (Krantz and Kao, 1967). It is now clear that the inhibitor consisted of autoantibodies to erythropoietin (Casadevall et al., 1996). Very rarely, patients treated with human recombinant erythropoietin make antibodies against both human recombinant erythropoietin and endogenous erythropoietin, producing pure red aplasia (Casadevall et al., 2002). Supporting evidence that autoantibodies against erythropoietin cause pure red cell aplasia comes from reports that rituximab, which depletes B lymphocytes, ameliorates pure red cell aplasia (Behler et al., 2009).
The Autoimmune Diseases . Elsevier Science. Kindle Edition. </t>
  </si>
  <si>
    <t>Acquired pure red cell aplasia</t>
  </si>
  <si>
    <t>Adult pure red cell aplasia</t>
  </si>
  <si>
    <t>Idiopathic pure red cell aplasia</t>
  </si>
  <si>
    <t>Primary acquired PRCA</t>
  </si>
  <si>
    <t xml:space="preserve">Primary acquired pure red cell aplasia </t>
  </si>
  <si>
    <t>Pyoderma gangrenosum</t>
  </si>
  <si>
    <t xml:space="preserve">Pyoderma gangrenosum is an autoinflammatory skin disease that starts as small red bumps and develops into large open sores on the skin, usually on the legs.
</t>
  </si>
  <si>
    <t>https://pubmed.ncbi.nlm.nih.gov/31400451/</t>
  </si>
  <si>
    <t>Xu 2020</t>
  </si>
  <si>
    <t>The age- and sex-standardized prevalence of PG among the study population was 0.0058%, or 5.8 PG cases (95% confidence interval [CI], 5.6-6.1) per 100,000 adults</t>
  </si>
  <si>
    <t>2 Mentions in passing</t>
  </si>
  <si>
    <t>5.6 to 6.1 cases per 100,000</t>
  </si>
  <si>
    <t>https://pubmed.ncbi.nlm.nih.gov/34435004/</t>
  </si>
  <si>
    <t>Rasmussen syndrome</t>
  </si>
  <si>
    <t>Rasmussen syndrome, or Rasmussen’s Encephalitis (RE), is a rare, progressive disease that involves cognitive decline due to inflammation of one half of the brain. Those with Rasmussen syndrome experience frequent seizures and eventual permanent brain damage. This disease mostly affects children ages 2 and 10, but can also affect adolescents and adults. Treatments for this disease include antiseizure medication, immunotherapy, and in more severe cases, brain surgery. The cause of Rasmussen's syndrome is unknown, however, researchers believe that it may be an autoimmune condition that affects one half of the brain or may occur due to an unknown virus entering the brain.</t>
  </si>
  <si>
    <t>https://pubmed.ncbi.nlm.nih.gov/23216622/</t>
  </si>
  <si>
    <t>Bien 2013</t>
  </si>
  <si>
    <r>
      <t>2.4 cases per 1 million</t>
    </r>
    <r>
      <rPr>
        <sz val="10"/>
        <color rgb="FF000000"/>
        <rFont val="Arial"/>
        <family val="2"/>
      </rPr>
      <t> people age 18 or younger per year</t>
    </r>
  </si>
  <si>
    <t>Autoimmunity became implicated from the early 1990s in seizure disorders when a severe form of childhood encephalitis with seizures (Rasmussen disease, RD) was linked with antibodies to excitatory glutamate receptors in the CNS.</t>
  </si>
  <si>
    <t>435341000124104</t>
  </si>
  <si>
    <t>Symptom</t>
  </si>
  <si>
    <t>Raynaud's phenomenon</t>
  </si>
  <si>
    <t>In secondary Raynaud's phenomenon, blood flow to the fingers and toes is limited, causing cold extremities and sometimes pain. The condition is made worse by cold temperatures. The amount of time that these extremities stay cold can vary.  
Secondary Raynaud's is a symptom experienced (and reported) by patients with autoimmune diseases.  Primary Raynaud's is when the symptoms appear without any other disease.  Therefore, primary Raynaud's is not an autoimmune disease.  However, a person suffering from Raynaud's could have an undiagnosed autoimmune disease.</t>
  </si>
  <si>
    <t>https://www.ncbi.nlm.nih.gov/pmc/articles/PMC4368987/</t>
  </si>
  <si>
    <t>Garner 2015</t>
  </si>
  <si>
    <t>No mention of autoantibodies, only mentioned as a comorbidity/symptom</t>
  </si>
  <si>
    <t>2,080.0 to 8,710.0 cases per 100,000</t>
  </si>
  <si>
    <t>Raynaud disease</t>
  </si>
  <si>
    <t>Raynaud's disease</t>
  </si>
  <si>
    <t>Secondary Raynaud's</t>
  </si>
  <si>
    <t>Secondary Raynaud's phenomenon</t>
  </si>
  <si>
    <t>Reactive arthritis</t>
  </si>
  <si>
    <t>Reiter's syndrome</t>
  </si>
  <si>
    <t>ReA</t>
  </si>
  <si>
    <t xml:space="preserve">Reactive arthritis is an autoimmune condition classified in the family of spondyloarthritis. It is a type of arthritis that is typically acute and is most frequently caused by infections from bacteria in the genitals or bowel.  Reactive arthritis symptoms usually last for between 3 and 12 months. However, in some individuals, subsequent flares may occur due to stress or infection. The condition may also become chronic in some individuals.  Reactive arthritis may go unnoticed and heal on its own or it can cause pain in the joints. The knees and ankles are affected most often. </t>
  </si>
  <si>
    <t>https://pubmed.ncbi.nlm.nih.gov/20476864/</t>
  </si>
  <si>
    <t>Hanova 2010</t>
  </si>
  <si>
    <t xml:space="preserve">As it has been shown that bacteria persist in vivo in patients with ReA, most likely in the joint in the case of Chlamydia and in the gut mucosa or lymph nodes of the gut in the case of the enterobacteriae, the following questions arise: (1) why do these bacteria persist in some patients but not in others; and (2) why do some patients (although the minority) develop a chronic course of their arthritis. The ReA-associated bacteria are obligate (such as Chlamydia) or facultative intracellular bacteria. T-helper 1 (Th1) cytokines such as TNF-α and interferon-γ (IFN-γ) are crucial for an effective elimination of these bacteria, while Th2 cytokines such as IL-4 or anti-inflammatory cytokines such as IL-10 might inhibit an effective elimination. We and others showed that there is a relative deficiency of Th1 cytokines in ReA, especially of TNF-α but also of IFN-γ, both locally in synovial fluid and synovial membrane and systemically in peripheral blood (Yin et al., 1997; Braun et al., 1999). Furthermore, we could demonstrate a correlation between a low TNF-α production in peripheral blood and a longer duration of arthritic symptoms (Braun et al., 1999). Thus, a relative lack of Th1 cytokines appears to be relevant for the occurrence and persistence of ReA, probably mediated by a persistence of bacteria. IL-10 has received increasing interest recently as a potentially immunosuppressive cytokine. While upregulation of such a cytokine would be wanted in autoimmune diseases such as rheumatoid arthritis, we could show that it is relatively upregulated in ReA, and thus that it might contribute to bacterial persistence in ReA, possibly by downregulation of the Th1 cytokines, IFN-γ and TNF-α (Yin et al., 1999b). Persistence of bacterial antigens disseminated to the joints might cause aberrant inflammation at these sites which are also exposed to mechanical stress. Alternatively, persistence of antigens might cause pathological priming of T cells cross-reacting to autologous antigens.
The Autoimmune Diseases . Elsevier Science. Kindle Edition. </t>
  </si>
  <si>
    <t>78.1 to 106.2 cases per 100,000</t>
  </si>
  <si>
    <t>Fiessinger-Leroy disease</t>
  </si>
  <si>
    <t>Reactive arthritis triad</t>
  </si>
  <si>
    <t>Relapsing polychondritis</t>
  </si>
  <si>
    <t xml:space="preserve">Relapsing polychondritis (RP) occurs when the immune system attacks cartilage and other related tissues in the body, causing inflammation and tissue damage. Though the disease is frequently characterized through ears, nose, and joint symptoms, it is a multi-systemic disease. Episodes may last several days to weeks and typically resolve without treatment. 
In cases where the cartilage is not visible, RP can cause heart valve abnormalities, kidney disease, neurological problems, gastrointestinal problems.  </t>
  </si>
  <si>
    <t>https://pubmed.ncbi.nlm.nih.gov/14673390/</t>
  </si>
  <si>
    <t>Kent 2004</t>
  </si>
  <si>
    <t>https://ard.bmj.com/content/58/10/656</t>
  </si>
  <si>
    <t xml:space="preserve">Specific antibodies to cartilage were detected using IIF and cartilage substrate from mouse leg, or from human costochondral and tracheal cartilage, after preincubation with hyaluronidase to remove masking proteoglycan (Dolan et al., 1976; Foidart et al., 1978). Autoantibodies were more readily detected in the acute stages, were of IgG class and non-complement-binding, and levels correlated with disease severity. Absorption exclusively with type II collagen removed reactivity with cartilage from serum. Using a direct immunofluorescence procedure, and serum from in a single case, Bergfeld (1978) detected deposits in vivo of IgG, IgA, and C3 in affected cartilage. In a subsequent study, positive results were reported in six of nine patients for antibodies to cartilage, and there was association with organ (thyroid)-specific autoantibodies as well (Ebringer et al., 1981). Assays for T cell-mediated immune responses to cartilage proved indecisive (Foidart et al., 1978; Ebringer et al., 1981).
The Autoimmune Diseases . Elsevier Science. Kindle Edition. </t>
  </si>
  <si>
    <t>3.5 cases per 1,000,000</t>
  </si>
  <si>
    <t>Atrophic polychondritis</t>
  </si>
  <si>
    <t>Chronic atrophic polychondritis</t>
  </si>
  <si>
    <t>Meyenburg-Altherr-Uehlinger syndrome</t>
  </si>
  <si>
    <t>Polychondropathia</t>
  </si>
  <si>
    <t>Recurrent polychondritis</t>
  </si>
  <si>
    <t>Relapsing perichondritis</t>
  </si>
  <si>
    <t>Relapsing polyneuropathy</t>
  </si>
  <si>
    <t>Systemic chondromalacia</t>
  </si>
  <si>
    <t>Systemic chondromalocia</t>
  </si>
  <si>
    <t>Von Meyenburg disease</t>
  </si>
  <si>
    <t>Restless legs</t>
  </si>
  <si>
    <t>A condition that causes an unpleasant or uncomfortable sensation in the legs and an irresistible urge to move them.  Restless leg syndrome is a symptom of several autoimmune diseases, including &lt;a href="/Disease_Profile/rheumatoid-arthritis.aspx"&gt;rheumatoid arthritis, &lt;a href="/Disease_Profile/Sj%C3%B6grens-disease.aspx"&gt;Sjögren's disease, &lt;a href="/Disease_Profile/crohns-disease.aspx"&gt;Crohn's disease&lt;/a&gt;, and other inflammatory bowel diseases.  However, since restless leg is a relatively common condition affecting 8% of the population, the correlation with autoimmune disease might not indicate a causative relationship.</t>
  </si>
  <si>
    <t>https://www.ncbi.nlm.nih.gov/pmc/articles/PMC4634567/</t>
  </si>
  <si>
    <t xml:space="preserve"> Innes 2011 </t>
  </si>
  <si>
    <t>4,000.0 to 29,000.0 cases per 100,000</t>
  </si>
  <si>
    <t>Restless leg syndrome</t>
  </si>
  <si>
    <t>Willis-Ekbom Disease</t>
  </si>
  <si>
    <t>Retinocochleocerebral vasculopathy</t>
  </si>
  <si>
    <t>RED-M</t>
  </si>
  <si>
    <t>Susac's syndrome affects three parts of the body: the brain, the retina of the eye, and the inner ear. The cause is uncertain, but the disease is believed to be autoimmune.  Swelling in the lining of the blood vessels in these three areas blocks and decreases blood flow, which results in impaired brain function and vision/ hearing loss.  Symptoms are typically unstable as the disease progresses, and patients often experience disturbance in only 2 of the 3 areas at any given time.  
The severity of cases may vary, with mild cases resolving in under a year and severe cases having longer duration and causing irreparable damage.  During the course of the disease, some patients may experience symptoms in a flare-remission pattern, while others are consistently symptomatic until time of recovery.  Treatment is available to prevent permanent damage, and most patients under medical care can expect to experience complete or near complete recovery.</t>
  </si>
  <si>
    <t>https://pubmed.ncbi.nlm.nih.gov/23628737/</t>
  </si>
  <si>
    <t>Dörr 2013</t>
  </si>
  <si>
    <t>https://pubmed.ncbi.nlm.nih.gov/?term=%22Retinocochleocerebral+vasculopathy%22+%22autoimmune%22&amp;sort=date</t>
  </si>
  <si>
    <t>SICRET</t>
  </si>
  <si>
    <t>Retinopathy-encephalopathy-deafness associated microangiopathy</t>
  </si>
  <si>
    <t>Small infarctions of cochlear, retinal and encephalic tissue</t>
  </si>
  <si>
    <t>Susac syndrome</t>
  </si>
  <si>
    <t>Susac's syndrome</t>
  </si>
  <si>
    <t>Rheumatic Chorea</t>
  </si>
  <si>
    <t>Rheumatic chorea, also called Sydenham chorea, is a rare neurological disorder typically occurring during childhood. It is caused by an autoimmune reaction following infection from the same bacterium that causes rheumatic fever. It leads to chorea: sudden, continuous, involuntary movements affecting the entire body. Symptoms can last in children anywhere from 3 weeks to several months. Patients with mild cases recover on their own in a few weeks, but treatment is available to provide relief to those with severe symptoms.
Since antibiotics have reduced the incidence of rheumatic fever, the incidence of rheumatic chorea in developed countries like the US is much lower than in developing countries. (Note that we could not find a study that supports a statistic cited in several papers that 30% of patients with rheumatic fever develop rheumatic chorea).</t>
  </si>
  <si>
    <t>Rare in the United States due to the decrease in rheumatic fever More common in developing countries 40% of individuals with rheumatic fever develop Sydenham chorea. ARI Estimate</t>
  </si>
  <si>
    <t>Rheumatic chorea</t>
  </si>
  <si>
    <t>St. Vitus Dance</t>
  </si>
  <si>
    <t>Sydenham chorea</t>
  </si>
  <si>
    <t>Syndenham chorea</t>
  </si>
  <si>
    <t>Rheumatic fever</t>
  </si>
  <si>
    <t>Rheumatic fever is an inflammatory disease that sometimes develops as a complication of inadequately treated strep throat (group A streptococcal infection). Rheumatic fever can cause permanent damage to the heart including damaged heart valves and heart failure.  The disease is mostly diagnosed in children.
Rheumatic fever is not a chronic condition, but the consequences of the heart damage it may cause, rheumatic heart disease, can be chronic. 
The disease and its consequences can be prevented with antibiotics if the strep infection is diagnosed quickly, treatment is started in a timely manner, and the patient follows through with the treatment completely. 
Note: scarlet fever is another symptom of a strep infection but is not a separate cause of rheumatic fever.</t>
  </si>
  <si>
    <t>https://www.orpha.net/consor/cgi-bin/OC_Exp.php?lng=en&amp;Expert=3099</t>
  </si>
  <si>
    <t>Orphanet</t>
  </si>
  <si>
    <t>Incidence - cases per year, unsubstantiated data from Ophanet</t>
  </si>
  <si>
    <t xml:space="preserve">Several streptococcal and human cross-reactive antibodies have been found in the sera of RF patients and immunized rabbits and mice over the last 50 years and have been recently reviewed (Cunningham, 2000; Guilherme et al., 2004). N-acetyl β-D-glucosamine, which is present in both the streptococcal cell wall and heart valvular tissue, is one of the major targets of the humoral response in RF/RHD, and antibodies against this polysaccharide displayed cross-reactivity with laminin, an extracellular matrix alpha-helical coiled-coil protein that surrounds heart cells and is also present in the valves (Cunningham et al., 1989; Cunningham, 2000). Cardiac myosin is the most important protein in the myocardium and by using affinity purified anti-myosin antibodies, Cunningham's group identified a five amino acid residue (Gln-Lys-Ser-Lys-Gln) epitope of the N-terminal M5 and M6 proteins as being cross-reactive with cardiac myosin (Cunningham et al., 1989). The permanent rheumatic lesions that damage the valves and antibodies against vimentin, an abundant protein in the valvular tissue, probably play a role in the valvular lesions (Cunningham, 2000). In conclusion, antibodies against N-acetyl β-D-glucosamine, some epitopes of cardiac myosin, and vimentin can be considered as immunological markers of the disease.
The Autoimmune Diseases . Elsevier Science. Kindle Edition. </t>
  </si>
  <si>
    <t>Estimated at 1 in 20,000</t>
  </si>
  <si>
    <t>Acute rheumatic fever</t>
  </si>
  <si>
    <t>Inflammatory rheumatism</t>
  </si>
  <si>
    <t>Rheumatic arthritis</t>
  </si>
  <si>
    <t>Acute rheumatic myocarditis</t>
  </si>
  <si>
    <t>Rheumatoid arthritis</t>
  </si>
  <si>
    <t xml:space="preserve">Rheumatoid arthritis (RA) is an autoimmune disease marked by inflammation and damage to joints, surrounding bone, blood vessels, and connective tissue.   This disorder usually affects both sides of the body (i.e. both ankles or both wrists). It can also damage the lungs, heart, eyes, skin, and various other body systems.    
Joints affected by RA are often painful, stiff, and swollen, especially in the morning, and symptoms typically appear in flares followed by remission.  Research has not determined the cause of RA but associations have been found with certain genes, infections, and hormonal changes.  Risk also increases with inhalation of hazardous particles in certain occupations and chronic smoking.  
There is no cure, though treatments to manage symptoms are available.  Prognosis is dependent on disease severity and timely treatment.  Some patients experience mild symptoms with long remissions, while others experience intense symptoms for extended periods of time with few remissions.  The condition is progressive, and patients often worsen over time.  Patients with severe cases may develop disability due to musculoskeletal damage, and some may experience serious cardiac complications.
</t>
  </si>
  <si>
    <t>https://www.ncbi.nlm.nih.gov/pmc/articles/PMC6117145/</t>
  </si>
  <si>
    <t>Tuncer 2018</t>
  </si>
  <si>
    <t xml:space="preserve">The immunologic hallmark of RA is the presence of autoantibodies in the circulation (and also in the synovial fluid). Indeed, the presence of autoantibodies constitutes an important aspect of the new ACR-EULAR classification criteria of RA and contributes two points out of a maximum of 10 if detectable and even three points if at high levels (Aletaha et al., 2010). The first autoantibody ever described in RA was rheumatoid factor (RF) (Waaler, 1939), subsequently recognized to be a family of autoantibodies directed against the Fc portion of immunoglobulin (Ig) G. In clinical routine, IgM-RF is most commonly determined, but RFs can be of any isotype, and next to IgM-RF, IgG-RF and IgA-RF are frequently seen. The latter has been found to be predictive for the development of RA and is associated with worse prognosis (Houssien et al., 1997; Rantapaa-Dahlqvist et al., 2003; Nell et al., 2005). Also, IgM-RF precedes the occurrence of RA and, especially at high levels (≥50 IU/ml), it is associated with significant joint damage (Nielen et al., 2004; Nell et al., 2005; Aletaha et al., 2012). Moreover, the risk of developing RA for RF positive individuals in the general population may be up to 26-fold increased (Nielsen et al., 2012). This suggests an involvement of RF in the pathways to inflammation and especially joint destruction which could be a consequence of immune complex formation and subsequent Fc receptor binding, complement activation, and consequential increase in levels of inflammatory cytokines (Winchester et al., 1970; Schur et al., 1975; Mallya et al., 1982).
The Autoimmune Diseases . Elsevier Science. Kindle Edition. </t>
  </si>
  <si>
    <t>330.0 to 790.0 cases per 100,000</t>
  </si>
  <si>
    <t>Rheumatoid vasculitis</t>
  </si>
  <si>
    <t>Rheumatoid vasculitis (RV) is a rare autoimmune disorder affecting a small number of patients with rheumatoid arthritis, which causes inflammation and damage to the blood vessels.  Vessels in any part of the body may be affected, though large blood vessels are less likely to be impacted than medium or small blood vessels.  RV most often develops in patients who have suffered from rheumatoid arthritis for 10 to 14 years.  Patients often experience feelings of malaise, sores on the legs, severely decreased blood flow to the fingers and toes, nerve problems, and eye aggravation.  The cause of RV is uncertain, though smoking is believed to significantly increase risk.  Complications involving the organs may be fatal.  Available treatments have mixed success, and prognosis remains poor.</t>
  </si>
  <si>
    <t>https://www.ncbi.nlm.nih.gov/pmc/articles/PMC2867593/</t>
  </si>
  <si>
    <t>Bartels 2009</t>
  </si>
  <si>
    <t>Based on percentage of patients with rheumatoid arthritis</t>
  </si>
  <si>
    <t>A subtype of RA</t>
  </si>
  <si>
    <t>25.9 to 33.2 of 100,000 RA patients</t>
  </si>
  <si>
    <t>RV</t>
  </si>
  <si>
    <t>Sarcoidosis</t>
  </si>
  <si>
    <t>31541009</t>
  </si>
  <si>
    <t>One way the immune system works is to surround an invader and keep it from harming the body. Those small clumps of immune system cells are called granulomas and they form as part of the body's inflammation response to foreign, potentially harmful, substances. 
In sarcoidosis the inflammation process gets out of control, and granulomas form even though there is no foreign substance, and the number of granulomas increases. When left untreated, the granulomas harden and produce permanent scars, usually in the lungs but they can occur in other organs and tissues.  
The symptoms of sarcoidosis depend on where the granulomas form.   In some cases, the disease goes away on its own. In others, the disease may not progress clinically but individuals will still suffer from some symptoms that affect their quality of life. Up to a third of people diagnosed will require long-term treatment. Sarcoidosis is considered chronic in people whose disease remains active for more than 2-5 years; chronic sarcoidosis can be debilitating and life-threatening. 
Sarcoidosis often starts with a set of symptoms collectively referred to as Lofgren's Syndrome (see below).</t>
  </si>
  <si>
    <t>https://pubmed.ncbi.nlm.nih.gov/27509154/</t>
  </si>
  <si>
    <t>Baughman 2016</t>
  </si>
  <si>
    <t>59.04 - 60.18 range over 4 years</t>
  </si>
  <si>
    <t xml:space="preserve">The immune system is clearly implicated as judged by the Th1-directed granulomatous histopathology. Also, there is solid evidence from a comparative population study in Italy of co-association with other autoimmune diseases, notably autoimmune thyroiditis, although the strength of this association is questionable (Antonelli et al., 2006). Ho et al. (2005) drew on the known Th1-biased CD4+ T cell response in sarcoidosis, together with possible involvement of the natural killer T (NKT) cell system. NKT cells are activated by glycolipid antigens presented by CD1 molecules on antigen-presenting cells (APCs) (Chapter 8). There is a particular class of CD1 (CD1d) that, after interaction with NKT cells with an invariant receptor (Va24/JaQ, paired with Vb11), can exert regulatory effects. Also, in mice at least, the CD1-restricted repertoire includes autoreactive T cells (Park et al., 2001). Ho et al. (2005) ascertained in sarcoidosis a deficiency (for unknown reasons) of Va24 NKT cells, with ensuing loss of their normal regulatory effect on CD1d-dependent reactivity. However, for sarcoidosis to be confidently ascribed to autoimmunity, depletion of Va24 NKT cells would need to be associated with persistent stimulation of the Th1 T cell pathway by some endogenous autoantigen, for which the evidence is meager, at best.
The Autoimmune Diseases . Elsevier Science. Kindle Edition. </t>
  </si>
  <si>
    <t>59.04 to 60.18 cases per 100,000</t>
  </si>
  <si>
    <t>Besnier-Boeck-Schaumann disease</t>
  </si>
  <si>
    <t>72470008</t>
  </si>
  <si>
    <t>Lupus pernio</t>
  </si>
  <si>
    <t>Lofgrens syndrome</t>
  </si>
  <si>
    <t>238676008</t>
  </si>
  <si>
    <t>Schnitzler syndrome</t>
  </si>
  <si>
    <t xml:space="preserve">Schnitzler syndrome is a disease in which periodic episodes of inflammation occur. It is considered an autoinflammatory disease, not an autoimmune disease, because the immune system does not mistakenly attack healthy cells. Instead, Schnitzler syndrome is believed to arise from a problem with the immune system itself. It is uncertain what causes Schnitzler syndrome, but it does not appear to be hereditary.
Patients with Schnitzler syndrome typically experience chronic rash, relapsing fevers, pain and inflammation in the joints, enlarged lymph nodes, and an excess of certain proteins in the blood.  The condition is chronic, generally without worsening, though 10-15% of people with Schnitzler syndrome experience cancerous or non-cancerous overproduction of certain types of white blood cells. There is no cure, but treatments may relieve symptoms in some individuals.   </t>
  </si>
  <si>
    <t>https://www.ncbi.nlm.nih.gov/pmc/articles/PMC4405827/</t>
  </si>
  <si>
    <t>de Koning 2014</t>
  </si>
  <si>
    <t>Based on case reports</t>
  </si>
  <si>
    <t>281 cases reported to date at Mayo Clinic</t>
  </si>
  <si>
    <t>autoinflammatory not autoimmune</t>
  </si>
  <si>
    <t>Chronic urticaria with gammapathy</t>
  </si>
  <si>
    <t>Chronic urticaria with gammopathy</t>
  </si>
  <si>
    <t>Chronic urticaria with macroglobulinemia</t>
  </si>
  <si>
    <t>Schnitzler's syndrome</t>
  </si>
  <si>
    <t>Scleritis</t>
  </si>
  <si>
    <t xml:space="preserve">Scleritis is an inflammation of the white tissue, the sclera, that surrounds most of the eye. Though scleritis is a symptom of a number of autoimmune diseases, it is suspected of being an autoimmune disease itself.  </t>
  </si>
  <si>
    <t xml:space="preserve">Scleritis is a painful and potentially sight-threatening inflammatory disease involving the sclera. Episcleritis is typically more acute and less severe than scleritis and it is often idiopathic; however, many of the diseases associated with scleritis have also been associated with episcleritis. Clinical examination evaluates for the presence of erythema and edema of the episclera or sclera as well as injection of the deep episcleral vessels (Figure 55.2). The inflamed sclera is usually characterized by a violaceous hue which can be graded in a standardized fashion (Sen et al., 2011). Many inflammatory systemic disorders are associated with scleritis, the most common being rheumatoid arthritis. Others include juvenile idiopathic arthritis (JIA), Reiter syndrome, Crohn's disease, ankylosing spondylitis, ulcerative colitis, polymyositis, polyarteritis nodosa, systemic lupus erythematosus (SLE), Wegener's granulomatosis, sarcoidosis, Lyme disease, and Cogan syndrome. In up to 40% of cases no associated disease can be identified (Sainz de la Maza et al., 2012).
The Autoimmune Diseases . Elsevier Science. Kindle Edition. </t>
  </si>
  <si>
    <t>Sjögren's disease</t>
  </si>
  <si>
    <t>Sjögren’s disease is a systemic autoimmune disease that is marked by dry mouth and dry eyes. Though traditionally thought to be focused on the moisture-secreting glands of the eyes and mouth, it can affect the lungs, brain, gastrointestinal tract, sinus tract, nerves, joints, blood vessels, and kidneys. Symptoms vary significantly among patients, ranging from dry eyes and dry mouth to fatigue, pain and brain fog. Depression and anxiety are common comorbidities of Sjögren's, and patients’ quality of life is significantly affected. 
Since 2012, Sjögren's disease has been adopted as the official name of the disease by the Sjögren's Foundation and others to reflect the systemic nature of the disease. 
Sjögren's patients are predominantly female, with a female to male ratio of roughly 9 to 1. 
Patients with Sjögren's can be diagnosed through positive antibodies (SSA or SSB, called “seropositive”) or by symptoms and other markers without the presence of antibodies (called "seronegative"). Seronegative patients report greater difficulty in obtaining a diagnosis, and it is believed that Sjögren's disease is underdiagnosed. Sjögren's disease is also often accompanied by other immune system disorders, such as rheumatoid arthritis and lupus.  Some physicians have used the term “Secondary Sjögren's” to describe cases where Sjögren's is accompanied by another autoimmune disease, as opposed to “Primary Sjögren's,” which refers to cases where Sjögren's is the only autoimmune diagnosis. However, many patients and advocates argue that the term “Secondary” minimizes the impact of Sjogren’s and overlooks the unique challenges of Sjogren’s, which requires its own diagnostic and treatment approach regardless of coexisting conditions.</t>
  </si>
  <si>
    <t>https://pubmed.ncbi.nlm.nih.gov/32606345/</t>
  </si>
  <si>
    <t>Narváez 2020</t>
  </si>
  <si>
    <t xml:space="preserve">From an immunological point of view, B cell activation is the hallmark of the syndrome resulting in hypergammaglobulinemia, cryoglobulinemia, and autoantibody production. The latter includes the presence of increased titers of antinuclear antibodies and rheumatoid factor as well as reactivities against the ribonucleoproteinic complexes Ro/SSA and La/SSB. Antibodies against a-fodrin—an organ-specific cytoskeletal autoantigen—initially purified by salivary glands of a murine SjS mouse model have been also detected in almost all sera from patients with primary SjS (Haneji et al., 1997; Witte et al., 2000, 2003). However, subsequent reports failed to demonstrate their superiority in terms of specificity and sensitivity in comparison to anti-Ro/SSA and anti-La/SSB testing (Ruiz-Tiscar et al., 2005; Locht et al., 2008). As a result their use in clinical practice is quite limited. Hypergammaglobulinemia has been associated with cutaneous vasculitis, articular, pulmonary or renal involvement and cryoglobulinemia with B cell lymphoma development and increased mortality rates (Skopouli et al., 2000; Ioannidis et al., 2002). Antibodies directed against Ro/SSA and La/SSB antigens are detected in approximately 60% and 30% of SjS patients, respectively, and have been previously shown to be associated with earlier disease onset, longer disease duration, parotid gland enlargement, higher frequency of extraglandular manifestations, more intense lymphocytic infiltration of the minor salivary glands, other B cell activation markers, as well as the presence of HLADR2 and DR3. While RNA immunoprecipitation has been considered as the reference method for detection of these autoantibodies, counterimmunoelectrophoresis demonstrates increased reliability with high levels of sensitivity and specificity. Commercially available enzyme-linked immunosorbent assay (ELISA) kits are now widely used in clinical practice (Manoussakis et al., 1993; Mavragani et al., 2000; Tzioufas et al., 2002; Hernandez-Molina et al., 2011). On the other hand, anticentromere (ACA) antibodies occur in 3.7% of SjS patients designating the presence of an intermediate scleroderma-like phenotype. The ACA+ SjS subgroup demonstrates a higher prevalence of Raynaud's phenomenon and dysphagia but lower rates of dry eyes, hypergammaglobulinemia, anti-Ro/SSA, and anti-La/SSB antibodies compared to ACA− SjS patients.
The Autoimmune Diseases . Elsevier Science. Kindle Edition. </t>
  </si>
  <si>
    <t>.15 to .43 cases per 100</t>
  </si>
  <si>
    <t>autoimmune https://pubmed.ncbi.nlm.nih.gov/?term=%22Sjogren%27s+syndrome%22+%22autoimmune%22&amp;sort=date</t>
  </si>
  <si>
    <t>SJS</t>
  </si>
  <si>
    <t>Sjögren’s disease is a systemic autoimmune disease that can affect many parts of the body.  Traditionally, it was thought to be focused on the moisture-secreting glands of the eyes and mouth, but that has since been debunked.  Its name was changed from Sjögren's syndrome to Sjögren's disease to reflect the systemic nature of the disease.  Sjögren's patients are also predominantly female, with a female to male ratio of roughly 10 to 1.                                                                                               
Sjögren's can impact many different areas of the body, including the lungs, brain, gastrointestinal tract, sinus tract, nerves, joints, blood vessels, and kidneys.  Symptoms vary significantly among patients, ranging from dry eyes and dry mouth to systemic fatigue, pain and brain fog.  Depression and anxiety are also common comorbidities to the disease.  Patients’ quality of life can be significantly impacted, with some evidence that fatigue and pain are the greatest predictors of poor quality of life.                                                                                          
Patients with Sjögren's can be diagnosed through positive antibodies (SSA or SSB), seropositive, or by diagnostic criteria without the presence of antibodies (called "seronegative").  Seronegative patients report greater difficulty in obtaining a diagnosis and it is believed that, in general, Sjögren's disease is under-diagnosed.                                               
Sjögren's disease is also often accompanied by other immune system disorders, such as rheumatoid arthritis and lupus.  In such cases, physicians tend to refer to the patients as having Secondary Sjögren's, as opposed to Primary Sjögren's when patients only have one autoimmune disease.  There has been a movement among patients and advocates to remove the label of “Secondary” as it trivializes Sjögren's as less important than the other autoimmune diseases.</t>
  </si>
  <si>
    <t>Sjogren's disease</t>
  </si>
  <si>
    <t>Keratoconjunctivitis sicca</t>
  </si>
  <si>
    <t>Sicca syndrome</t>
  </si>
  <si>
    <t xml:space="preserve">Sicca syndrome is marked by dry mouth and dry eyes. If these symptoms are caused by an autoimmune process, it is called Sjogren's disease. See &lt;a href="/Disease_Profile/Sj%C3%B6grens-disease.aspx"&gt;Sjögrens disease for more information. </t>
  </si>
  <si>
    <t>Sjögrens disease</t>
  </si>
  <si>
    <t>Sjögren's syndrome</t>
  </si>
  <si>
    <t>SLE glomerulonephritis syndrome</t>
  </si>
  <si>
    <t>Lupus nephritis is a complication in patients with systemic lupus erythematosus (SLE), an autoimmune condition causing inflammation of the body's tissues.  Lupus nephritis targets the kidneys, causing damage and inflammation, which prevents normal function and may lead to kidney failure.  Significant delay or lack of treatment can be fatal, but early medical care can manage symptoms and result in a good prognosis.</t>
  </si>
  <si>
    <t>https://www.ncbi.nlm.nih.gov/pmc/articles/PMC5864167/</t>
  </si>
  <si>
    <t>Wang 2017</t>
  </si>
  <si>
    <t>29% of lupus patients</t>
  </si>
  <si>
    <t>Lupus nephritis</t>
  </si>
  <si>
    <t>Steroid-responsive encephalopathy associated with autoimmune thyroiditis</t>
  </si>
  <si>
    <t>Steroid-responsive encephalopathy associated with autoimmune thyroiditis (SREAT), often called Hashimoto’s encephalopathy, is a rare autoimmune disease that affects both the nervous system and endocrine system. Encephalopathy, or brain dysfunction, resulting from thyroid disease can lead to muscle twitches, seizures, confusion, and even paranoia. The three forms of SREAT are acute, subacute, and chronic. SREAT also ranges in severity, from mild cognitive impairment to life-threatening seizures.</t>
  </si>
  <si>
    <t>https://pubmed.ncbi.nlm.nih.gov/17850170/</t>
  </si>
  <si>
    <t>Mocellin 2007</t>
  </si>
  <si>
    <t>The prevalence has been estimated to be 2.1/100,000, by reference</t>
  </si>
  <si>
    <t>subtype of autoimmune thyroiditis</t>
  </si>
  <si>
    <t>2.1 cases per 100,000</t>
  </si>
  <si>
    <t>This seems strange</t>
  </si>
  <si>
    <t>Hashimoto's encephalopathy</t>
  </si>
  <si>
    <t>Hashimoto's encephalitis</t>
  </si>
  <si>
    <t>Encephalopathy associated with autoimmune thyroid disease</t>
  </si>
  <si>
    <t>Nonvasculitic autoimmune meningoecephalitis</t>
  </si>
  <si>
    <t>Stiff-person syndrome</t>
  </si>
  <si>
    <t>Stiff person syndrome (SPS) is a rare, progressive syndrome believed to be autoimmune in nature, though the cause is currently unknown.  SPS is characterized by decreased inhibition of the central nervous system, which leads to greater muscle activity causing flares of severe stiffness and spasms, usually in the muscles of the trunk and limbs.  Triggers include noise, touch, and emotional distress.  SPS may result in disability, fractures due to severe muscle contractions, and abnormal posture.  Comorbidities may include diabetes, thyroiditis, vitiligo, and pernicious anemia.  There is no cure, but symptoms can be managed through treatment.</t>
  </si>
  <si>
    <t>https://www.ncbi.nlm.nih.gov/pmc/articles/PMC6944797/</t>
  </si>
  <si>
    <t>Nguyen 2019</t>
  </si>
  <si>
    <t>Unsubstantiated in article</t>
  </si>
  <si>
    <t xml:space="preserve">An autoimmune basis is confirmed by positive serological tests and/or improvement with immunotherapy. While a specific autoantibody syndrome cannot be distinguished with certainty, particular findings suggest specific diagnoses. Thus, stiffness with acquired hyperekplexia (an extremely exaggerated startle response) has been associated with autoantibodies to the glycine receptor, and stiff person syndrome in the setting of gynecologic cancers
The Autoimmune Diseases . Elsevier Science. Kindle Edition. </t>
  </si>
  <si>
    <t>119 cases in UK over 5 years.</t>
  </si>
  <si>
    <t>Moersch-Woltman syndrome</t>
  </si>
  <si>
    <t>Stiff man syndrome</t>
  </si>
  <si>
    <t>Stiff person syndrome</t>
  </si>
  <si>
    <t>Subacute bacterial endocarditis</t>
  </si>
  <si>
    <t>Subacute bacterial endocarditis (SBE) is a type of bacterial endocarditis. Endocarditis is an infection of the inner lining of your heart chambers and heart valves (the endocardium).  In SBE, the lining inside the heart valves become infected. 
SBE is not an autoimmune disease, but patients are at increased risk of developing autoimmune disease following SBE. 
This condition most frequently occurs following surgery to a region of the body infected with streptococcal bacteria.  Invasive surgery in the infected tissue facilitates the spread of the bacteria to the heart valves by way of the blood.  The infection normally develops slowly during the two weeks after surgery and may persist for months.  SBE typically only occurs in patients who already have damage to their heart valves from other health conditions.  SBE is difficult to diagnosis because initial symptoms consist almost exclusively of feelings of malaise, which are also common in many other disorders.  SBE may trigger the onset of autoimmune conditions, such as vasculitis. If left untreated, complications can be fatal; however, positive outcomes are expected with early medical care.</t>
  </si>
  <si>
    <t>https://pubmed.ncbi.nlm.nih.gov/28104075/</t>
  </si>
  <si>
    <t>Cahill 2017</t>
  </si>
  <si>
    <t>No mention (1 footnote)</t>
  </si>
  <si>
    <t>3.0 to 10.0 cases per 100,000</t>
  </si>
  <si>
    <t>Subacute infective endocarditis</t>
  </si>
  <si>
    <t>Subacute native valve endocarditis</t>
  </si>
  <si>
    <t>Sympathetic uveitis</t>
  </si>
  <si>
    <t xml:space="preserve">Sympathetic Ophthalmia (SO) is a rare inflammatory condition that affects both eyes following trauma or surgery to one of the eyes. The immune system is sensitized to proteins from the damaged eye and then attacks those same proteins in the uninjured (or “spared” eye), leading to inflammation of the uninjured eye. Sympathetic ophthalmia is a form of uveitis. The disease can lead to blindness. 
</t>
  </si>
  <si>
    <t>https://www.ncbi.nlm.nih.gov/pmc/articles/PMC3277011/</t>
  </si>
  <si>
    <t>Arevalo 2012</t>
  </si>
  <si>
    <t>.03 cases per 100,000</t>
  </si>
  <si>
    <t>Exciting Eye</t>
  </si>
  <si>
    <t>Spared Eye Injury</t>
  </si>
  <si>
    <t>Sympathetic ophthalmia</t>
  </si>
  <si>
    <t>Sympathizing Eye</t>
  </si>
  <si>
    <t>Systemic lupus erythematosus</t>
  </si>
  <si>
    <t>SLE</t>
  </si>
  <si>
    <t>SLE, the most common type of lupus, is a chronic inflammatory disease that occurs when the body's immune system attacks its own tissues and organs. Inflammation caused by lupus can affect many different body systems — including joints, skin, kidneys, blood cells, brain, heart and lungs.</t>
  </si>
  <si>
    <t>https://pubmed.ncbi.nlm.nih.gov/33474834/</t>
  </si>
  <si>
    <t>Izmirly 2021</t>
  </si>
  <si>
    <t xml:space="preserve">Although there are a few nonimmunologic laboratory characteristics of SLE, these are not specific (Aranow et al., 2011; Reeves et al., 2011). Immunological tests, which are specific to most autoimmune diseases such as lupus, include the presence of specific cytotoxic lymphocytes and a variety of autoantibodies, including a persistently positive antinuclear antibody (ANA). The diagnostic utility of test procedures for ANA is described in Chapter 77. Laboratory data in the form of an isolated false-positive syphilis test, a low platelet count, elevated partial thromboplastin time (PTT), or leukopenia may suggest many other diseases that are often considered before SLE. SLE is a clinical diagnosis that depends on a careful history and physical examination. Autoantibodies are frequently associated with no disease and occur in normal people; they alone support but are not diagnostic of the disease. A history of specific medication is particularly important, as reversible drug-induced lupus is responsible for some 10% of cases (Yung and Richardson, 2011) and is often seen in older patients, particularly males. Lupus can be related to other illnesses that can occur in the patient's family such as rheumatoid arthritis (RA), ITP, and multiple sclerosis.
The Autoimmune Diseases . Elsevier Science. Kindle Edition. </t>
  </si>
  <si>
    <t>65.3 to 81.0 cases per 100,000</t>
  </si>
  <si>
    <t>Lupus</t>
  </si>
  <si>
    <t>Systemic mast cell disease</t>
  </si>
  <si>
    <t>Systemic mastocytosis is caused when too many mast cells accumulate in the body. It is not an autoimmune disease, but a disease of the immune system, specifically mast cells. Mast cells transport histamine, which is involved in allergic responses.  
When mastocytosis is limited to the skin, it is called cutaneous mastocytosis, and is a less severe form of the disease.</t>
  </si>
  <si>
    <t>https://pmc.ncbi.nlm.nih.gov/articles/PMC11799073/</t>
  </si>
  <si>
    <t>Jørgensen 2025</t>
  </si>
  <si>
    <t>27.43 per 100,000</t>
  </si>
  <si>
    <t>GARD suggests under 200,000 and cites the value for the cutaneous form</t>
  </si>
  <si>
    <t>Systemic sclerosis</t>
  </si>
  <si>
    <t>Scleroderma is an autoimmune, rheumatic, and chronic disease that affects the body by hardening connective tissue. This disease may also cause issues in the blood vessels, organs, and digestive tract. Scleroderma is characterized as limited or diffuse, referring to the degree of skin involvement, but can both involve any vascular or organ symptoms. These symptoms occur when the body produces too much collagen, which builds up the body’s connective tissues. People who usually get scleroderma are those between the ages of 30 and 50 and tend to be female at birth.</t>
  </si>
  <si>
    <t>https://pubmed.ncbi.nlm.nih.gov/22269658/</t>
  </si>
  <si>
    <t>Barnes 2012</t>
  </si>
  <si>
    <t xml:space="preserve">There is a wide range of autoantibodies found in SSc and nuclear antigens represent the primary target for these antibodies. ANA are found in more than 90% of SSc patients (Medsger and Steen, 1996). Anti-Scl-70 and ACA are highly specific for SSc and support the clinical diagnosis of the disease (Reveille et al., 2003). The virtual mutually exclusive existence of these antibodies in different disease subtypes and their correlation with certain disease complications raises the likelihood that different disease processes lead to the development of these serological variations (Castro and Jimenez, 2010; Bunn and Black, 1999). Both PDGF receptor-specific antibodies and AECA seem to be involved in SSc pathogenesis. PDGF plays an important role in the fibrotic process of SSc. Stimulatory autoantibodies against PDGF receptors were detected in SSc sera (Baroni et al., 2006); upon binding to the receptors, the RAR-ERK1/2 pathway is induced and increases the level of reactive oxygen species (ROS), and the persistence of ROS and ERK1/2 favor an increased collagen gene expression (Svegliati et al., 2005).
The Autoimmune Diseases . Elsevier Science. Kindle Edition. </t>
  </si>
  <si>
    <t>15.0 to 30.0 cases per 100,000</t>
  </si>
  <si>
    <t>Diffuse Systemic sclerosis</t>
  </si>
  <si>
    <t>Scleroderma</t>
  </si>
  <si>
    <t>Systemic scleroderma</t>
  </si>
  <si>
    <t>Systemic sclerosis with limited cutaneous involvement</t>
  </si>
  <si>
    <t>Limited cutaneous systemic sclerosis</t>
  </si>
  <si>
    <t>CREST is a subtype of scleroderma, a connective tissue disease characterized by changes in the skin, blood vessels, skeletal muscles, and internal organs. CREST is the acronym for the clinical features seen in individuals with the disease :                        
C - Calcinosis: calcium deposits in the connective tissues
R - Raynaud's phenomenon: where the hands and feet turn white and cold and then blue, in response to cold or anxiety.
E - Esophageal dysfunction:  where a person has difficulty swallowing 
S - Sclerodactyly: thick and tight skin on the fingers, caused by an excess of collagen deposits within skin layers.
T - Telangiectasia: small red spots on the hands and face that are caused by the swelling of tiny blood vessels.
To be diagnosed with CREST, you must have 3 out of the 5 symptoms.</t>
  </si>
  <si>
    <t>https://pubmed.ncbi.nlm.nih.gov/36686888/</t>
  </si>
  <si>
    <t>Efrimescu 2023</t>
  </si>
  <si>
    <t>Systemic sclerosis sine scleroderma</t>
  </si>
  <si>
    <t>128461001</t>
  </si>
  <si>
    <t>5% of those with systemic sclerosis (Note: overlaps exist among types)</t>
  </si>
  <si>
    <t>dcSSc</t>
  </si>
  <si>
    <t>298285004</t>
  </si>
  <si>
    <t>lcSSc</t>
  </si>
  <si>
    <t>Systemic sclerosis with limited cutaneous involvement, formerly called CREST, is a subtype of scleroderma, a connective tissue disease characterized by changes in the skin, blood vessels, skeletal muscles, and internal organs. CREST is the acronym for the clinical features seen in individuals with the disease :                        
C - Calcinosis: calcium deposits in the connective tissues
R - Raynaud's phenomenon: where the hands and feet turn white and cold and then blue, in response to cold or anxiety.
E - Esophageal dysfunction:  where a person has difficulty swallowing 
S - Sclerodactyly: thick and tight skin on the fingers, caused by an excess of collagen deposits within skin layers.
T - Telangiectasia: small red spots on the hands and face that are caused by the swelling of tiny blood vessels.
To be diagnosed with CREST, you must have 3 out of the 5 symptoms.</t>
  </si>
  <si>
    <t>70%-80%% of those with systemic sclerosis (Note: overlaps exist among types)</t>
  </si>
  <si>
    <t>CREST syndrome</t>
  </si>
  <si>
    <t>Diffuse cutaneous systemic sclerosis</t>
  </si>
  <si>
    <t>20%-30% of those with systemic sclerosis (Note: overlaps exist among types)</t>
  </si>
  <si>
    <t>Takayasu's arteritis</t>
  </si>
  <si>
    <t>Takayasu’s arteritis (TA) is a rare disease that affects large blood vessels, especially the aorta and its major branches. It is sometimes called "pulseless disease" because it can weaken or block pulses in the arms and legs. The condition mainly affects young women, particularly those from Asian and South American countries. Although it is most common in women under 40, TA can also occur in men and older individuals. 
In Takayasu’s arteritis, inflammation causes the walls of affected arteries to become thickened and scarred, which can reduce blood flow to important organs and limbs. The disease is marked by patches of severe inflammation in the artery walls, often alternating with areas of normal tissue. Over time, the arteries can become narrowed (stenosis) or, in some cases, develop bulges (aneurysms). The aortic wall is often involved, with inflammatory cells such as lymphocytes and plasma cells attacking the outermost layers of the artery and sometimes extending into the surrounding tissues. 
Early symptoms may include fever, night sweats, fatigue, joint pain, and chest discomfort. As the disease progresses, inflammation and damage to major arteries can lead to headaches, dizziness, vision problems, and even fainting due to reduced blood flow to the brain. Narrowing of the arteries supplying the arms and upper body can cause pain and weakness, while involvement of the coronary arteries can result in chest pain and an increased risk of heart disease, including aortic regurgitation, a serious condition that allows blood to flow backward into the heart and can lead to heart failure.</t>
  </si>
  <si>
    <t>https://pubmed.ncbi.nlm.nih.gov/19542212/</t>
  </si>
  <si>
    <t>Watts 2009</t>
  </si>
  <si>
    <t>The mean prevalence of TAK was 4.7/million</t>
  </si>
  <si>
    <t xml:space="preserve">Despite considerable overlap in the histomorphology and clinical presentation of GCA and TA, evidence suggests that pathogenic mechanisms are distinct (Seko, 2002) (Figure 73.5). Whereas CD4+ T cells producing IFN-γ have been identified as key regulators in the vascular lesions of GCA, they appear to be less important in TA. In the vascular infiltrates of TA, γδ T cells account for 31% of the cells, natural killer cells for 20%, and CD8+ cytotoxic T cells for 15% (Seko, 2000). CD4+ T cells, macrophages, and B cells were less frequent. In support for the concept that cytotoxic cells directly damage resident cells in the aorta, Seko et al. (1994) have shown cellular expression of perforin and deposition of perforin directly onto wall resident cells. Heat shock proteins, in particular HSP65, have been proposed as the antigen stimulating cytotoxic lymphocytes (Seko et al., 2000). Restricted usage of T cell receptor AV and BV genes in tissue infiltrating T cells also supports the concept of selective expansion of antigen-reactive T cells in the vessel wall infiltrates (Seko et al., 1996). Dense expression of costimulatory molecules is in line with a role for adaptive immune responses driving the disease process. Data suggesting a possible role of metalloproteinases as biomarkers of disease activities refocuses interest on macrophage-dependent disease mechanisms (Matsuyama et al., 2003). Destruction of elastic membranes points towards release of elastolytic enzymes, likely derived from tissue-infiltrating macrophages.
The Autoimmune Diseases . Elsevier Science. Kindle Edition. </t>
  </si>
  <si>
    <t>.47 cases per 100,000</t>
  </si>
  <si>
    <t>https://pubmed.ncbi.nlm.nih.gov/34556808/</t>
  </si>
  <si>
    <t>Takayasu's disease</t>
  </si>
  <si>
    <t>Temporal arteritis</t>
  </si>
  <si>
    <t>GCA</t>
  </si>
  <si>
    <t>https://pubmed.ncbi.nlm.nih.gov/28551169/</t>
  </si>
  <si>
    <t xml:space="preserve">Principally, GCA is a chronic inflammatory disease in which CD4+ T lymphocytes establish stable lymphoid microstructures in the arterial wall and orchestrate the differentiation of tissue-injurious macrophages (Figure 73.2) (see also Chapter 11). The response-to-injury program of the vessel is maladaptive and leads to overshooting proliferation of the intimal layer resulting in luminal occlusion, ischemia, and infarct of dependent organ structures. Age-related changes in the immune system as well as in the arterial system represent risk factors for the development of this granulomatous arteritis (Mohan et al., 2011). Dysfunctional immunity is only one aspect of the pathogenic process; the blood vessel participates as an equal partner in destabilizing the immune protection ordinarily guarding blood vessel walls from inflammation. Vascular cells actively interact with immune cells to break tissue tolerance and provide signals that amplify tissue-destructive feed-forward circuits sustaining vasculitis (Weyand and Goronzy, 2013). Specifically, wall-resident cells, such as endothelial cells and vascular smooth muscle cells, may provide activation and survival signals for infiltrating immune cells that allow them to be retained in the tissue niche and undergo chronic activation.
The Autoimmune Diseases . Elsevier Science. Kindle Edition. </t>
  </si>
  <si>
    <t>161.0 to 254.0 cases per 100,000</t>
  </si>
  <si>
    <t>Temporal arteritis, also known as giant cell arteritis, is an inflammation of the lining of the arteries that typically affects the arteries in the head. Temporal arteritis can frequently cause headaches, scalp tenderness, jaw pain and vision problems.</t>
  </si>
  <si>
    <t>Cranial arteritis</t>
  </si>
  <si>
    <t>Giant cell arteritis</t>
  </si>
  <si>
    <t>Granulomatous arteritis</t>
  </si>
  <si>
    <t>Horton's disease</t>
  </si>
  <si>
    <t>Tolosa-Hunt syndrome</t>
  </si>
  <si>
    <t>THS</t>
  </si>
  <si>
    <t>Patients with Tolosa-Hunt syndrome experience episodes of severe headaches surrounding the eyes, along with restricted eye movement that is painful (ophthalmoplegia). Normally, only one eye is affected and will frequently appear protruded. Symptoms may also include nerve abnormalities, such as eyelid drooping, double vision, large pupil, and numbness of the face. This disorder typically occurs in relapsing flares. The cause of Tolosa-Hunt syndrome is unknown but is associated with the inflammation within the eyes and may be autoimmune.</t>
  </si>
  <si>
    <t>https://pubmed.ncbi.nlm.nih.gov/16109058/</t>
  </si>
  <si>
    <t>Iaconetta 2005</t>
  </si>
  <si>
    <t xml:space="preserve">No Mention in Rose &amp; Mackay - Although there has not been a clear autoimmune etiology associated with Tolosa Hunt syndrome, it has been reported with other systemic and autoimmune inflammatory disorders such as systemic lupus erythematosus, sarcoidosis, and Wegener's granulomatosis and could be a presenting complaint of these diseases. - Amrutkar 2020 Statpearls - </t>
  </si>
  <si>
    <t>300 based on case reports</t>
  </si>
  <si>
    <t>Non-specific inflammation of the cavernous sinus</t>
  </si>
  <si>
    <t>Non-specific inflammation of the superior orbital fissure</t>
  </si>
  <si>
    <t>Painful Ophthalmoplegia</t>
  </si>
  <si>
    <t>Transverse myelitis</t>
  </si>
  <si>
    <t>Inflammation of the spinal cord with neurological effects that go in a transverse (horizontal or bandlike) manner across the body, as opposed to going up or down the spinal cord.</t>
  </si>
  <si>
    <t>https://www.ncbi.nlm.nih.gov/pmc/articles/PMC6078000/</t>
  </si>
  <si>
    <t>Holroyd 2018</t>
  </si>
  <si>
    <t>2.46 per 100 000 for monophasic TM</t>
  </si>
  <si>
    <t xml:space="preserve">Etiologies for TM can be broadly classified as parainfectious, paraneoplastic, drug/toxin-induced, systemic autoimmune disorders (SAIDs), and acquired demyelinating diseases like multiple sclerosis (MS) or neuromyelitis optica (NMO) - Beh 2013 - </t>
  </si>
  <si>
    <t>2.46 cases per 100,000</t>
  </si>
  <si>
    <t>Secondary acute transverse myelitis</t>
  </si>
  <si>
    <t>Ulcerative colitis (UC) is an inflammatory bowel disease (IBD) that causes long-lasting inflammation and sores, called ulcers, in the large intestine, including the colon.  When the condition affects the entire digestive tract, it is called Crohn's disease (CD).
Both UC and CD are caused by an autoimmune response that reflects the involvement of the innate and adaptive immune systems. The disease mechanism is complex, but appears to start when a normal immune response to a bacterial infection does not stop properly after the infection is fought off. The resulting inflammation leads to the symptoms of both UC and CD.</t>
  </si>
  <si>
    <t>490.5 to 630.0 cases per 100,000</t>
  </si>
  <si>
    <t>Undifferentiated connective tissue disease</t>
  </si>
  <si>
    <t>UCTD</t>
  </si>
  <si>
    <t xml:space="preserve">Patients of undifferentiated connective tissue disease (UCTD) share some, but not all, symptoms with other connective tissue diseases, such as systemic lupus erythmatosus, systemic sclerosis, dermatomyositis, polymyositis, rheumatoid arthritis, Sjogren's syndrome, and antiphospholipid syndrome.  UCTD is diagnosed when a patient has a positive serum ANA test and shows stable symptoms for a minimum of 3 years.  UCTD is distinct from the other above-mentioned diseases in that the condition remains stable over time without worsening. 30% of patients diagnosed with UCTD will be given a new diagnosis because their disease will not remain stable.  </t>
  </si>
  <si>
    <t>https://pubmed.ncbi.nlm.nih.gov/28921728/</t>
  </si>
  <si>
    <t>Spinillo 2017</t>
  </si>
  <si>
    <t>No discussion except as a symptom</t>
  </si>
  <si>
    <t>14.0 to 140.0 cases per 100,000</t>
  </si>
  <si>
    <t>Undifferentiated connective tissue syndrome</t>
  </si>
  <si>
    <t>Urticarial vasculitis</t>
  </si>
  <si>
    <t xml:space="preserve">Autoimmune urticaria occurs when the immune system attacks the normal tissues of the body, resulting in hives. The condition becomes chronic when the lesions persists longer than 6 weeks. Chronic autoimmune urticaria has been found to be associated with autoimmune thyroid disease.
Urticaria can also be caused by allergic reaction to plants like poison ivy, dyes found in clothing, and cosmetics. An allergic reaction is not an autoimmune disease because there is no involvement by the adaptive immune system and auto-antibodies that attack your own cells are not involved. There are antibodies (IgE antibodies), but they target the invading molecules (e.g., poison ivy), not the cells in the skin. In autoimmune urticaria, the antibodies created are attacking the skin itself, not an invading molecule. 
</t>
  </si>
  <si>
    <t>https://www.ncbi.nlm.nih.gov/pmc/articles/PMC7063238/</t>
  </si>
  <si>
    <t>Kolkhir 2020</t>
  </si>
  <si>
    <t>2 to 27% of those with chronic urticaria</t>
  </si>
  <si>
    <t>The three major categories of systemic vasculitis are large vessel vasculitis (chronic granulomatous arteritis), medium vessel vasculitis (necrotizing arteritis), and small vessel vasculitis (necrotizing polyangiitis) (Figure 72.1, Box 72.1).</t>
  </si>
  <si>
    <t>Uveitis</t>
  </si>
  <si>
    <t>Uveitis is an inflammation of the uvea - a set of tissues that form a layer of eyeball that sits between the outer layers of the eye and the "vitreous chamber", which forms the main body of the eye. The uvea itself has several kinds of tissue that can be affected by immune processes, all of which are called uveitis. About half of people who receive a diagnosis of uveitis have an autoimmune form of the disease. Uveitis is a term that means "inflammation of the uvea", and not all forms of uveitis are autoimmune, and not all individuals diagnosed with uveitis have an autoimmune form of uveitis. 
The most common form of autoimmune uveitis is &lt;a href="&lt;a href="https://diseases.autoimmuneregistry.org/Disease_Profile/intermediate-uveitis"&gt;intermediate uveitis&lt;/a&gt;.</t>
  </si>
  <si>
    <t>https://pubmed.ncbi.nlm.nih.gov/24008391/</t>
  </si>
  <si>
    <t>Acharya 2013</t>
  </si>
  <si>
    <t>Of 217,061 eligible patients, 872 were identified using ICD-9 codes and 224 cases of uveitis were confirmed. </t>
  </si>
  <si>
    <t xml:space="preserve">Substantial evidence exists that autoimmune diseases may also be initiated or aggravated by infection. This happens presumably when nonspecific polyclonal activation of the immune system, either by virus or immunostimulatory agents such as Gram-negative bacterial cell wall components, overwhelms the normal regulatory mechanisms and permits “forbidden clones” of cells to proliferate and cause tissue damage. The molecular mimicry theory states that structural similarity between invading organisms and organ tissue components may lead to persistence of the inflammatory response even after the inciting agent has been quickly cleared. This has been postulated as a mechanism for uveitis. The primary amino acid sequence of hepatitis B virus DNA polymerase shows sequence homology to the retinal S-antigen.
The Autoimmune Diseases . Elsevier Science. Kindle Edition. </t>
  </si>
  <si>
    <t>103.2 cases per 100,000</t>
  </si>
  <si>
    <t>Autoimmune uveitis</t>
  </si>
  <si>
    <t>Idiopathic uveitis</t>
  </si>
  <si>
    <t>Vitiligo</t>
  </si>
  <si>
    <t>Vitiligo is a disease that causes the loss of skin color in blotches. The extent and rate of color loss from vitiligo is unpredictable. It can affect the skin on any part of your body. It may also affect hair, the inside of the mouth, and even the eyes.
Normally, the color of hair, skin, and eyes is determined by melanin. Vitiligo occurs when the cells that produce melanin die or stop functioning.</t>
  </si>
  <si>
    <t>https://www.ncbi.nlm.nih.gov/pmc/articles/PMC5038943/</t>
  </si>
  <si>
    <t>Zhang 2016</t>
  </si>
  <si>
    <t xml:space="preserve">The use of melanocyte antibodies as markers of vitiligo activity is a controversial subject. While a recent study reported no correlation between the presence of antibodies and recent disease activity or different clinical parameters (e.g., age, gender, extension, and duration of vitiligo) (Kroon et al., 2012), other reports found the incidence and/or level of melanocyte antibodies linked to the activity and extent of vitiligo (Naughton et al., 1986; Aronson and Hashimoto, 1987; Harning et al., 1991; Yu et al., 1993; Kemp et al., 2011). autoantibody to SOX9 and SOX10 was reported in patients with ... vitiligo
The Autoimmune Diseases . Elsevier Science. Kindle Edition. </t>
  </si>
  <si>
    <t>100.0 to 200.0 cases per 100,000</t>
  </si>
  <si>
    <t>https://pubmed.ncbi.nlm.nih.gov/?term=%22Vitiligo%22+%22autoimmune%22&amp;sort=date</t>
  </si>
  <si>
    <t>Leukoderma</t>
  </si>
  <si>
    <t>Vogt-Koyanagi-Harada disease</t>
  </si>
  <si>
    <t>Vogt-Koyanagi-Harada (VKH), is a rare disease that affects multiple systems including the nervous system and skin. The disease results in rapid vision loss as well as loss of hearing and hair. Although the cause of VKH is unknown, researchers believe that it is an immune response to a genetic defect of the Human Leukocyte antigen (HLA). Other researchers believe that there may be a genetic predisposition for VKH and may only be expressed by an environmental trigger.</t>
  </si>
  <si>
    <t>https://pubmed.ncbi.nlm.nih.gov/27008848/</t>
  </si>
  <si>
    <t>Lavezzo 2016</t>
  </si>
  <si>
    <t>In the United States, the incidence of VKHD is approximately 1.5 to 6 per 1 million patients</t>
  </si>
  <si>
    <t>There are numerous autoimmune diseases that are associated with posterior uveitis: Behcet's disease, systemic lupus erythematosus, polyarteritis nodosa, Wegener's granulomatosis, sarcoidosis, syphilis, and Vogt–Koyanagi–Harada syndrome.</t>
  </si>
  <si>
    <t>Warm autoimmune hemolytic anemia</t>
  </si>
  <si>
    <t xml:space="preserve">Warm autoimmune hemolytic anemia is caused when a person's antibodies attack and destroy their red blood cells.  Unlike &lt;a href="/Disease_Profile/cold-agglutinin-disease.aspx"&gt;cold agglutinin disease&lt;/a&gt;, the autoimmune destruction of cells occurs when a person's body temperature is normal or above normal.  It leads to low red blood cell levels in the body.  
Some cases of this disease are caused by medications and are not autoimmune.  </t>
  </si>
  <si>
    <t xml:space="preserve">Warm autoantibodies are the commonest cause of AIHA and react as well, or more strongly, with RBC at 37°C than at lower temperatures (Sokol et al., 1992; Packman, 2008). Most are of the IgG class and cause extravascular hemolysis, predominantly by Fc receptor (FcγR)-mediated phagocytosis (Engelfriet et al., 1981; Petz and Garratty, 2004b; Packman, 2008). The complement regulators on the RBC membrane (Ruiz-Argüelles and Llorente, 2007) typically prevent MAC formation, but deposition of C3b and C3d is common and can strongly enhance opsonization (Kurlander et al., 1978) by interacting with specific receptors including CR1 and CR3 (Ross and Medof, 1985). Although blood monocytes and hepatic Kupffer cells also express appropriate sets of receptors, splenic macrophages are the main effectors of RBC destruction (Engelfriet et al., 1981; Petz and Garratty, 2004b; Packman, 2008). Some sensitized RBC may be only partially phagocytosed and released back into the circulation as spherocytes, which have a short half-life (Garratty, 1983). Between 22% (Dausset and Colombani, 1959) and 81% (Pirofsky, 1976) of warm AIHA cases have been reported to be secondary, varying with different interpretations of this classification. The most common associations are with other immune-based conditions, most notably ulcerative colitis, rheumatoid arthritis, and systemic lupus erythematosus (SLE), with neoplasia, particularly chronic lymphocytic leukemia (CLL), and with a variety of infectious diseases (Sokol et al., 1992; Petz and Garratty, 2004a).
The Autoimmune Diseases . Elsevier Science. Kindle Edition. </t>
  </si>
  <si>
    <t>.11 to .13 cases per 1,000</t>
  </si>
  <si>
    <t>Acquired autoimmune hemolytic anemia</t>
  </si>
  <si>
    <t>Idiopathic autoimmune hemolytic anemia</t>
  </si>
  <si>
    <t>Immune hemolytic anemia</t>
  </si>
  <si>
    <t>Immunohemolytic anemia</t>
  </si>
  <si>
    <t>Syn</t>
  </si>
  <si>
    <t>meaning</t>
  </si>
  <si>
    <t>name of disease</t>
  </si>
  <si>
    <t>synonym</t>
  </si>
  <si>
    <t>Group - not yet included in list</t>
  </si>
  <si>
    <t>Obsolete snomed</t>
  </si>
  <si>
    <t>Subtype with its own snomed</t>
  </si>
  <si>
    <t>High prevalence disease with low percent of autoimmune</t>
  </si>
  <si>
    <t>A disease name that conflates a suspected or confirmed autoimmune disease with a disease that is not autoimmune</t>
  </si>
  <si>
    <t>Remove - not autoimmune</t>
  </si>
  <si>
    <t>© 2026 Autoimmune Registry, Inc.</t>
  </si>
  <si>
    <t>This work is licensed under the Creative Commons Attribution-ShareAlike 4.0 International License (CC BY-SA 4.0).</t>
  </si>
  <si>
    <t>You are free to share and adapt this material, provided attribution is given and derivative works are distributed under the same license.</t>
  </si>
  <si>
    <t>License: https://creativecommons.org/licenses/by-sa/4.0/</t>
  </si>
  <si>
    <t>Autoimmune Registry Inc. List of Autoimmune Diseases</t>
  </si>
  <si>
    <t>Synonym Key on second sheet</t>
  </si>
  <si>
    <t>Published Prevalence Data</t>
  </si>
  <si>
    <t>Antibodies</t>
  </si>
  <si>
    <t>Rose_Mackay Citation</t>
  </si>
  <si>
    <t>Pubmed Evidence (incomplete)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</si>
</sst>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_(* #,##0.0_);_(* \(#,##0.0\);_(* &quot;-&quot;??_);_(@_)"/>
    <numFmt numFmtId="166" formatCode="_(* #,##0.000_);_(* \(#,##0.000\);_(* &quot;-&quot;??_);_(@_)"/>
    <numFmt numFmtId="167" formatCode="_(* #,##0.0000000_);_(* \(#,##0.0000000\);_(* &quot;-&quot;??_);_(@_)"/>
  </numFmts>
  <fonts count="25">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u/>
      <sz val="11"/>
      <color theme="10"/>
      <name val="Aptos Narrow"/>
      <family val="2"/>
      <scheme val="minor"/>
    </font>
    <font>
      <sz val="11"/>
      <name val="Aptos Narrow"/>
      <family val="2"/>
      <scheme val="minor"/>
    </font>
    <font>
      <b/>
      <sz val="11"/>
      <color rgb="FFFF0000"/>
      <name val="Aptos Narrow"/>
      <family val="2"/>
      <scheme val="minor"/>
    </font>
    <font>
      <sz val="11"/>
      <color rgb="FF212121"/>
      <name val="Aptos Narrow"/>
      <family val="2"/>
      <scheme val="minor"/>
    </font>
    <font>
      <sz val="11"/>
      <color rgb="FF000000"/>
      <name val="Aptos Narrow"/>
      <family val="2"/>
      <scheme val="minor"/>
    </font>
    <font>
      <b/>
      <sz val="11"/>
      <name val="Aptos Narrow"/>
      <family val="2"/>
      <scheme val="minor"/>
    </font>
    <font>
      <sz val="11"/>
      <color rgb="FF464646"/>
      <name val="HelveticaNeue"/>
    </font>
    <font>
      <sz val="11"/>
      <color rgb="FF464646"/>
      <name val="Aptos Narrow"/>
      <family val="2"/>
      <scheme val="minor"/>
    </font>
    <font>
      <sz val="11"/>
      <color rgb="FF333333"/>
      <name val="Aptos Narrow"/>
      <family val="2"/>
      <scheme val="minor"/>
    </font>
    <font>
      <u/>
      <sz val="11"/>
      <name val="Aptos Narrow"/>
      <family val="2"/>
      <scheme val="minor"/>
    </font>
    <font>
      <b/>
      <sz val="11"/>
      <color rgb="FF333333"/>
      <name val="Aptos Narrow"/>
      <family val="2"/>
      <scheme val="minor"/>
    </font>
    <font>
      <sz val="11"/>
      <color rgb="FF1A1A1A"/>
      <name val="Aptos Narrow"/>
      <family val="2"/>
      <scheme val="minor"/>
    </font>
    <font>
      <b/>
      <sz val="11"/>
      <color rgb="FF222222"/>
      <name val="Aptos Narrow"/>
      <family val="2"/>
      <scheme val="minor"/>
    </font>
    <font>
      <sz val="11"/>
      <color rgb="FF505050"/>
      <name val="Aptos Narrow"/>
      <family val="2"/>
      <scheme val="minor"/>
    </font>
    <font>
      <sz val="6"/>
      <color rgb="FF1B1B1B"/>
      <name val="Cambria"/>
      <family val="1"/>
    </font>
    <font>
      <sz val="10"/>
      <color rgb="FF000000"/>
      <name val="Arial"/>
      <family val="2"/>
    </font>
    <font>
      <sz val="11"/>
      <color rgb="FF262262"/>
      <name val="Aptos Narrow"/>
      <family val="2"/>
      <scheme val="minor"/>
    </font>
    <font>
      <b/>
      <sz val="11"/>
      <color rgb="FF212121"/>
      <name val="Aptos Narrow"/>
      <family val="2"/>
      <scheme val="minor"/>
    </font>
    <font>
      <b/>
      <sz val="11"/>
      <color theme="1"/>
      <name val="Aptos Narrow"/>
      <scheme val="minor"/>
    </font>
    <font>
      <sz val="11"/>
      <name val="Aptos Narrow"/>
      <scheme val="minor"/>
    </font>
    <font>
      <b/>
      <sz val="11"/>
      <name val="Aptos Narrow"/>
      <scheme val="minor"/>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cellStyleXfs>
  <cellXfs count="72">
    <xf numFmtId="0" fontId="0" fillId="0" borderId="0" xfId="0"/>
    <xf numFmtId="164" fontId="3" fillId="0" borderId="1" xfId="1" applyNumberFormat="1" applyFont="1" applyFill="1" applyBorder="1" applyAlignment="1"/>
    <xf numFmtId="0" fontId="4" fillId="0" borderId="1" xfId="3" applyFill="1" applyBorder="1" applyAlignment="1"/>
    <xf numFmtId="10" fontId="3" fillId="0" borderId="1" xfId="2" applyNumberFormat="1" applyFont="1" applyFill="1" applyBorder="1" applyAlignment="1"/>
    <xf numFmtId="164" fontId="0" fillId="0" borderId="1" xfId="1" applyNumberFormat="1" applyFont="1" applyFill="1" applyBorder="1" applyAlignment="1"/>
    <xf numFmtId="165" fontId="0" fillId="0" borderId="1" xfId="1" applyNumberFormat="1" applyFont="1" applyFill="1" applyBorder="1"/>
    <xf numFmtId="166" fontId="0" fillId="0" borderId="1" xfId="1" applyNumberFormat="1" applyFont="1" applyFill="1" applyBorder="1" applyAlignment="1"/>
    <xf numFmtId="166" fontId="3" fillId="0" borderId="1" xfId="1" applyNumberFormat="1" applyFont="1" applyFill="1" applyBorder="1" applyAlignment="1"/>
    <xf numFmtId="0" fontId="4" fillId="0" borderId="1" xfId="3" applyFill="1" applyBorder="1" applyAlignment="1">
      <alignment wrapText="1"/>
    </xf>
    <xf numFmtId="10" fontId="0" fillId="0" borderId="1" xfId="2" applyNumberFormat="1" applyFont="1" applyFill="1" applyBorder="1" applyAlignment="1"/>
    <xf numFmtId="0" fontId="4" fillId="0" borderId="1" xfId="3" applyFill="1" applyBorder="1"/>
    <xf numFmtId="164" fontId="5" fillId="0" borderId="1" xfId="1" applyNumberFormat="1" applyFont="1" applyFill="1" applyBorder="1" applyAlignment="1"/>
    <xf numFmtId="164" fontId="0" fillId="0" borderId="1" xfId="1" applyNumberFormat="1" applyFont="1" applyFill="1" applyBorder="1" applyAlignment="1">
      <alignment wrapText="1"/>
    </xf>
    <xf numFmtId="0" fontId="13" fillId="0" borderId="1" xfId="3" applyFont="1" applyFill="1" applyBorder="1" applyAlignment="1">
      <alignment wrapText="1"/>
    </xf>
    <xf numFmtId="164" fontId="9" fillId="0" borderId="1" xfId="1" applyNumberFormat="1" applyFont="1" applyFill="1" applyBorder="1" applyAlignment="1"/>
    <xf numFmtId="167" fontId="3" fillId="0" borderId="1" xfId="1" applyNumberFormat="1" applyFont="1" applyFill="1" applyBorder="1" applyAlignment="1"/>
    <xf numFmtId="0" fontId="0" fillId="0" borderId="1" xfId="1" applyNumberFormat="1" applyFont="1" applyFill="1" applyBorder="1" applyAlignment="1"/>
    <xf numFmtId="43" fontId="0" fillId="0" borderId="1" xfId="1" applyFont="1" applyFill="1" applyBorder="1" applyAlignment="1"/>
    <xf numFmtId="0" fontId="13" fillId="0" borderId="1" xfId="3" applyFont="1" applyFill="1" applyBorder="1" applyAlignment="1"/>
    <xf numFmtId="10" fontId="5" fillId="0" borderId="1" xfId="2" applyNumberFormat="1" applyFont="1" applyFill="1" applyBorder="1" applyAlignment="1"/>
    <xf numFmtId="165" fontId="5" fillId="0" borderId="1" xfId="1" applyNumberFormat="1" applyFont="1" applyFill="1" applyBorder="1"/>
    <xf numFmtId="0" fontId="3" fillId="0" borderId="1" xfId="0" applyFont="1" applyBorder="1"/>
    <xf numFmtId="0" fontId="0" fillId="0" borderId="1" xfId="0" applyBorder="1" applyAlignment="1">
      <alignment wrapText="1"/>
    </xf>
    <xf numFmtId="0" fontId="0" fillId="0" borderId="1" xfId="0" applyBorder="1"/>
    <xf numFmtId="43" fontId="0" fillId="0" borderId="1" xfId="0" applyNumberFormat="1" applyBorder="1"/>
    <xf numFmtId="0" fontId="10" fillId="0" borderId="1" xfId="0" applyFont="1" applyBorder="1" applyAlignment="1">
      <alignment vertical="center" wrapText="1"/>
    </xf>
    <xf numFmtId="0" fontId="0" fillId="0" borderId="1" xfId="0" applyBorder="1" applyAlignment="1">
      <alignment horizontal="left" vertical="top" wrapText="1"/>
    </xf>
    <xf numFmtId="0" fontId="0" fillId="0" borderId="1" xfId="0" applyBorder="1" applyAlignment="1">
      <alignment vertical="top" wrapText="1"/>
    </xf>
    <xf numFmtId="0" fontId="0" fillId="0" borderId="0" xfId="0" applyAlignment="1">
      <alignment wrapText="1"/>
    </xf>
    <xf numFmtId="0" fontId="0" fillId="0" borderId="0" xfId="0" applyAlignment="1">
      <alignment horizontal="left"/>
    </xf>
    <xf numFmtId="49" fontId="0" fillId="0" borderId="0" xfId="0" applyNumberFormat="1"/>
    <xf numFmtId="0" fontId="5" fillId="0" borderId="0" xfId="0" applyFont="1"/>
    <xf numFmtId="0" fontId="0" fillId="0" borderId="1" xfId="0" applyBorder="1" applyAlignment="1">
      <alignment horizontal="left"/>
    </xf>
    <xf numFmtId="49" fontId="0" fillId="0" borderId="1" xfId="0" applyNumberFormat="1" applyBorder="1"/>
    <xf numFmtId="0" fontId="3" fillId="2" borderId="1" xfId="0" applyFont="1" applyFill="1" applyBorder="1"/>
    <xf numFmtId="0" fontId="3" fillId="2" borderId="1" xfId="0" applyFont="1" applyFill="1" applyBorder="1" applyAlignment="1">
      <alignment horizontal="left"/>
    </xf>
    <xf numFmtId="49" fontId="22" fillId="2" borderId="1" xfId="0" applyNumberFormat="1" applyFont="1" applyFill="1" applyBorder="1"/>
    <xf numFmtId="0" fontId="3" fillId="2" borderId="1" xfId="0" applyFont="1" applyFill="1" applyBorder="1" applyAlignment="1">
      <alignment wrapText="1"/>
    </xf>
    <xf numFmtId="164" fontId="3" fillId="2" borderId="1" xfId="1" applyNumberFormat="1" applyFont="1" applyFill="1" applyBorder="1" applyAlignment="1"/>
    <xf numFmtId="0" fontId="5" fillId="0" borderId="1" xfId="0" applyFont="1" applyBorder="1"/>
    <xf numFmtId="0" fontId="5" fillId="0" borderId="1" xfId="0" applyFont="1" applyBorder="1" applyAlignment="1">
      <alignment vertical="center" wrapText="1"/>
    </xf>
    <xf numFmtId="0" fontId="5" fillId="0" borderId="1" xfId="0" applyFont="1" applyBorder="1" applyAlignment="1">
      <alignment wrapText="1"/>
    </xf>
    <xf numFmtId="0" fontId="0" fillId="0" borderId="1" xfId="0" applyBorder="1" applyAlignment="1">
      <alignment horizontal="left" wrapText="1"/>
    </xf>
    <xf numFmtId="0" fontId="6" fillId="0" borderId="1" xfId="0" applyFont="1" applyBorder="1"/>
    <xf numFmtId="0" fontId="7" fillId="0" borderId="1" xfId="0" applyFont="1" applyBorder="1"/>
    <xf numFmtId="0" fontId="8" fillId="0" borderId="1" xfId="0" applyFont="1" applyBorder="1"/>
    <xf numFmtId="0" fontId="3" fillId="0" borderId="1" xfId="0" applyFont="1" applyBorder="1" applyAlignment="1">
      <alignment wrapText="1"/>
    </xf>
    <xf numFmtId="1" fontId="0" fillId="0" borderId="1" xfId="0" applyNumberFormat="1" applyBorder="1"/>
    <xf numFmtId="164" fontId="0" fillId="0" borderId="1" xfId="0" applyNumberFormat="1" applyBorder="1"/>
    <xf numFmtId="49" fontId="0" fillId="0" borderId="1" xfId="0" applyNumberFormat="1" applyBorder="1" applyAlignment="1">
      <alignment horizontal="right"/>
    </xf>
    <xf numFmtId="0" fontId="2" fillId="0" borderId="1" xfId="0" applyFont="1" applyBorder="1"/>
    <xf numFmtId="0" fontId="3" fillId="0" borderId="1" xfId="0" applyFont="1" applyBorder="1" applyAlignment="1">
      <alignment horizontal="left"/>
    </xf>
    <xf numFmtId="0" fontId="0" fillId="0" borderId="1" xfId="0" applyBorder="1" applyAlignment="1">
      <alignment horizontal="left" vertical="top"/>
    </xf>
    <xf numFmtId="0" fontId="11" fillId="0" borderId="1" xfId="0" applyFont="1" applyBorder="1"/>
    <xf numFmtId="0" fontId="12" fillId="0" borderId="1" xfId="0" applyFont="1" applyBorder="1" applyAlignment="1">
      <alignment wrapText="1"/>
    </xf>
    <xf numFmtId="0" fontId="12" fillId="0" borderId="1" xfId="0" applyFont="1" applyBorder="1"/>
    <xf numFmtId="0" fontId="14" fillId="0" borderId="1" xfId="0" applyFont="1" applyBorder="1" applyAlignment="1">
      <alignment vertical="center"/>
    </xf>
    <xf numFmtId="0" fontId="0" fillId="0" borderId="1" xfId="0" quotePrefix="1" applyBorder="1"/>
    <xf numFmtId="0" fontId="15" fillId="0" borderId="1" xfId="0" applyFont="1" applyBorder="1"/>
    <xf numFmtId="0" fontId="5" fillId="0" borderId="1" xfId="0" applyFont="1" applyBorder="1" applyAlignment="1">
      <alignment horizontal="left"/>
    </xf>
    <xf numFmtId="10" fontId="0" fillId="0" borderId="1" xfId="0" applyNumberFormat="1" applyBorder="1"/>
    <xf numFmtId="3" fontId="16" fillId="0" borderId="1" xfId="0" applyNumberFormat="1" applyFont="1" applyBorder="1"/>
    <xf numFmtId="0" fontId="18" fillId="0" borderId="1" xfId="0" applyFont="1" applyBorder="1" applyAlignment="1">
      <alignment wrapText="1"/>
    </xf>
    <xf numFmtId="0" fontId="17" fillId="0" borderId="1" xfId="0" applyFont="1" applyBorder="1"/>
    <xf numFmtId="0" fontId="12" fillId="0" borderId="1" xfId="0" applyFont="1" applyBorder="1" applyAlignment="1">
      <alignment vertical="center"/>
    </xf>
    <xf numFmtId="0" fontId="20" fillId="0" borderId="1" xfId="0" applyFont="1" applyBorder="1"/>
    <xf numFmtId="0" fontId="18" fillId="0" borderId="1" xfId="0" applyFont="1" applyBorder="1"/>
    <xf numFmtId="0" fontId="21" fillId="0" borderId="1" xfId="0" applyFont="1" applyBorder="1"/>
    <xf numFmtId="0" fontId="23" fillId="0" borderId="0" xfId="0" applyFont="1"/>
    <xf numFmtId="0" fontId="23" fillId="0" borderId="1" xfId="0" applyFont="1" applyBorder="1"/>
    <xf numFmtId="0" fontId="24" fillId="2" borderId="1" xfId="0" applyFont="1" applyFill="1" applyBorder="1"/>
    <xf numFmtId="0" fontId="22" fillId="2" borderId="1" xfId="0" applyFont="1" applyFill="1" applyBorder="1" applyAlignment="1">
      <alignment horizontal="center"/>
    </xf>
  </cellXfs>
  <cellStyles count="4">
    <cellStyle name="Comma" xfId="1" builtinId="3"/>
    <cellStyle name="Hyperlink" xfId="3"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68</xdr:row>
      <xdr:rowOff>0</xdr:rowOff>
    </xdr:from>
    <xdr:to>
      <xdr:col>5</xdr:col>
      <xdr:colOff>152400</xdr:colOff>
      <xdr:row>68</xdr:row>
      <xdr:rowOff>153610</xdr:rowOff>
    </xdr:to>
    <xdr:sp macro="" textlink="">
      <xdr:nvSpPr>
        <xdr:cNvPr id="2" name="AutoShape 1" descr="PubMed Central (PMC)">
          <a:extLst>
            <a:ext uri="{FF2B5EF4-FFF2-40B4-BE49-F238E27FC236}">
              <a16:creationId xmlns:a16="http://schemas.microsoft.com/office/drawing/2014/main" id="{3826D5E9-A771-4423-A1F1-6C8CD66FD5D1}"/>
            </a:ext>
          </a:extLst>
        </xdr:cNvPr>
        <xdr:cNvSpPr>
          <a:spLocks noChangeAspect="1" noChangeArrowheads="1"/>
        </xdr:cNvSpPr>
      </xdr:nvSpPr>
      <xdr:spPr bwMode="auto">
        <a:xfrm>
          <a:off x="4114800" y="11567160"/>
          <a:ext cx="152400" cy="1536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68</xdr:row>
      <xdr:rowOff>0</xdr:rowOff>
    </xdr:from>
    <xdr:to>
      <xdr:col>5</xdr:col>
      <xdr:colOff>152400</xdr:colOff>
      <xdr:row>68</xdr:row>
      <xdr:rowOff>153610</xdr:rowOff>
    </xdr:to>
    <xdr:sp macro="" textlink="">
      <xdr:nvSpPr>
        <xdr:cNvPr id="3" name="AutoShape 3" descr="NCBI Bookshelf">
          <a:extLst>
            <a:ext uri="{FF2B5EF4-FFF2-40B4-BE49-F238E27FC236}">
              <a16:creationId xmlns:a16="http://schemas.microsoft.com/office/drawing/2014/main" id="{F1C80C8A-147B-4FDC-9380-157050DD2537}"/>
            </a:ext>
          </a:extLst>
        </xdr:cNvPr>
        <xdr:cNvSpPr>
          <a:spLocks noChangeAspect="1" noChangeArrowheads="1"/>
        </xdr:cNvSpPr>
      </xdr:nvSpPr>
      <xdr:spPr bwMode="auto">
        <a:xfrm>
          <a:off x="4114800" y="11567160"/>
          <a:ext cx="152400" cy="1536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326</xdr:row>
      <xdr:rowOff>0</xdr:rowOff>
    </xdr:from>
    <xdr:to>
      <xdr:col>5</xdr:col>
      <xdr:colOff>152400</xdr:colOff>
      <xdr:row>326</xdr:row>
      <xdr:rowOff>153609</xdr:rowOff>
    </xdr:to>
    <xdr:sp macro="" textlink="">
      <xdr:nvSpPr>
        <xdr:cNvPr id="4" name="AutoShape 1" descr="PubMed Central (PMC)">
          <a:extLst>
            <a:ext uri="{FF2B5EF4-FFF2-40B4-BE49-F238E27FC236}">
              <a16:creationId xmlns:a16="http://schemas.microsoft.com/office/drawing/2014/main" id="{5FE23F70-F176-428F-97D0-A51889AD8CB8}"/>
            </a:ext>
          </a:extLst>
        </xdr:cNvPr>
        <xdr:cNvSpPr>
          <a:spLocks noChangeAspect="1" noChangeArrowheads="1"/>
        </xdr:cNvSpPr>
      </xdr:nvSpPr>
      <xdr:spPr bwMode="auto">
        <a:xfrm>
          <a:off x="4114800" y="56784240"/>
          <a:ext cx="152400" cy="1536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326</xdr:row>
      <xdr:rowOff>0</xdr:rowOff>
    </xdr:from>
    <xdr:to>
      <xdr:col>5</xdr:col>
      <xdr:colOff>152400</xdr:colOff>
      <xdr:row>326</xdr:row>
      <xdr:rowOff>153609</xdr:rowOff>
    </xdr:to>
    <xdr:sp macro="" textlink="">
      <xdr:nvSpPr>
        <xdr:cNvPr id="5" name="AutoShape 3" descr="NCBI Bookshelf">
          <a:extLst>
            <a:ext uri="{FF2B5EF4-FFF2-40B4-BE49-F238E27FC236}">
              <a16:creationId xmlns:a16="http://schemas.microsoft.com/office/drawing/2014/main" id="{E93DB6AB-3CFD-4E93-9471-67B9DC8CF8EA}"/>
            </a:ext>
          </a:extLst>
        </xdr:cNvPr>
        <xdr:cNvSpPr>
          <a:spLocks noChangeAspect="1" noChangeArrowheads="1"/>
        </xdr:cNvSpPr>
      </xdr:nvSpPr>
      <xdr:spPr bwMode="auto">
        <a:xfrm>
          <a:off x="4114800" y="56784240"/>
          <a:ext cx="152400" cy="15360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339</xdr:row>
      <xdr:rowOff>0</xdr:rowOff>
    </xdr:from>
    <xdr:to>
      <xdr:col>5</xdr:col>
      <xdr:colOff>152400</xdr:colOff>
      <xdr:row>339</xdr:row>
      <xdr:rowOff>153608</xdr:rowOff>
    </xdr:to>
    <xdr:sp macro="" textlink="">
      <xdr:nvSpPr>
        <xdr:cNvPr id="6" name="AutoShape 1" descr="PubMed Central (PMC)">
          <a:extLst>
            <a:ext uri="{FF2B5EF4-FFF2-40B4-BE49-F238E27FC236}">
              <a16:creationId xmlns:a16="http://schemas.microsoft.com/office/drawing/2014/main" id="{82E4BBA9-391E-4FFE-9830-DE34319E559C}"/>
            </a:ext>
          </a:extLst>
        </xdr:cNvPr>
        <xdr:cNvSpPr>
          <a:spLocks noChangeAspect="1" noChangeArrowheads="1"/>
        </xdr:cNvSpPr>
      </xdr:nvSpPr>
      <xdr:spPr bwMode="auto">
        <a:xfrm>
          <a:off x="4114800" y="59062620"/>
          <a:ext cx="152400" cy="15360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339</xdr:row>
      <xdr:rowOff>0</xdr:rowOff>
    </xdr:from>
    <xdr:to>
      <xdr:col>5</xdr:col>
      <xdr:colOff>152400</xdr:colOff>
      <xdr:row>339</xdr:row>
      <xdr:rowOff>153608</xdr:rowOff>
    </xdr:to>
    <xdr:sp macro="" textlink="">
      <xdr:nvSpPr>
        <xdr:cNvPr id="7" name="AutoShape 3" descr="NCBI Bookshelf">
          <a:extLst>
            <a:ext uri="{FF2B5EF4-FFF2-40B4-BE49-F238E27FC236}">
              <a16:creationId xmlns:a16="http://schemas.microsoft.com/office/drawing/2014/main" id="{14EDB217-543F-4330-910F-1B118710E125}"/>
            </a:ext>
          </a:extLst>
        </xdr:cNvPr>
        <xdr:cNvSpPr>
          <a:spLocks noChangeAspect="1" noChangeArrowheads="1"/>
        </xdr:cNvSpPr>
      </xdr:nvSpPr>
      <xdr:spPr bwMode="auto">
        <a:xfrm>
          <a:off x="4114800" y="59062620"/>
          <a:ext cx="152400" cy="15360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22</xdr:col>
      <xdr:colOff>0</xdr:colOff>
      <xdr:row>68</xdr:row>
      <xdr:rowOff>0</xdr:rowOff>
    </xdr:from>
    <xdr:ext cx="152400" cy="152400"/>
    <xdr:sp macro="" textlink="">
      <xdr:nvSpPr>
        <xdr:cNvPr id="8" name="AutoShape 1" descr="PubMed Central (PMC)">
          <a:extLst>
            <a:ext uri="{FF2B5EF4-FFF2-40B4-BE49-F238E27FC236}">
              <a16:creationId xmlns:a16="http://schemas.microsoft.com/office/drawing/2014/main" id="{E1DE7B61-87CE-4E4C-A3F2-F296B83CCE47}"/>
            </a:ext>
          </a:extLst>
        </xdr:cNvPr>
        <xdr:cNvSpPr>
          <a:spLocks noChangeAspect="1" noChangeArrowheads="1"/>
        </xdr:cNvSpPr>
      </xdr:nvSpPr>
      <xdr:spPr bwMode="auto">
        <a:xfrm>
          <a:off x="58140600" y="11567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68</xdr:row>
      <xdr:rowOff>0</xdr:rowOff>
    </xdr:from>
    <xdr:ext cx="152400" cy="152400"/>
    <xdr:sp macro="" textlink="">
      <xdr:nvSpPr>
        <xdr:cNvPr id="9" name="AutoShape 3" descr="NCBI Bookshelf">
          <a:extLst>
            <a:ext uri="{FF2B5EF4-FFF2-40B4-BE49-F238E27FC236}">
              <a16:creationId xmlns:a16="http://schemas.microsoft.com/office/drawing/2014/main" id="{7C66824A-D7C4-4BAD-BA9C-54F40D6326D2}"/>
            </a:ext>
          </a:extLst>
        </xdr:cNvPr>
        <xdr:cNvSpPr>
          <a:spLocks noChangeAspect="1" noChangeArrowheads="1"/>
        </xdr:cNvSpPr>
      </xdr:nvSpPr>
      <xdr:spPr bwMode="auto">
        <a:xfrm>
          <a:off x="58140600" y="11567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326</xdr:row>
      <xdr:rowOff>0</xdr:rowOff>
    </xdr:from>
    <xdr:ext cx="152400" cy="152400"/>
    <xdr:sp macro="" textlink="">
      <xdr:nvSpPr>
        <xdr:cNvPr id="10" name="AutoShape 1" descr="PubMed Central (PMC)">
          <a:extLst>
            <a:ext uri="{FF2B5EF4-FFF2-40B4-BE49-F238E27FC236}">
              <a16:creationId xmlns:a16="http://schemas.microsoft.com/office/drawing/2014/main" id="{EE1A3A0F-2B51-42DE-B971-6A3E8D468FE9}"/>
            </a:ext>
          </a:extLst>
        </xdr:cNvPr>
        <xdr:cNvSpPr>
          <a:spLocks noChangeAspect="1" noChangeArrowheads="1"/>
        </xdr:cNvSpPr>
      </xdr:nvSpPr>
      <xdr:spPr bwMode="auto">
        <a:xfrm>
          <a:off x="58140600" y="567842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326</xdr:row>
      <xdr:rowOff>0</xdr:rowOff>
    </xdr:from>
    <xdr:ext cx="152400" cy="152400"/>
    <xdr:sp macro="" textlink="">
      <xdr:nvSpPr>
        <xdr:cNvPr id="11" name="AutoShape 3" descr="NCBI Bookshelf">
          <a:extLst>
            <a:ext uri="{FF2B5EF4-FFF2-40B4-BE49-F238E27FC236}">
              <a16:creationId xmlns:a16="http://schemas.microsoft.com/office/drawing/2014/main" id="{E075211D-A7E7-4840-B74E-1269D829704C}"/>
            </a:ext>
          </a:extLst>
        </xdr:cNvPr>
        <xdr:cNvSpPr>
          <a:spLocks noChangeAspect="1" noChangeArrowheads="1"/>
        </xdr:cNvSpPr>
      </xdr:nvSpPr>
      <xdr:spPr bwMode="auto">
        <a:xfrm>
          <a:off x="58140600" y="567842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339</xdr:row>
      <xdr:rowOff>0</xdr:rowOff>
    </xdr:from>
    <xdr:ext cx="152400" cy="152400"/>
    <xdr:sp macro="" textlink="">
      <xdr:nvSpPr>
        <xdr:cNvPr id="12" name="AutoShape 1" descr="PubMed Central (PMC)">
          <a:extLst>
            <a:ext uri="{FF2B5EF4-FFF2-40B4-BE49-F238E27FC236}">
              <a16:creationId xmlns:a16="http://schemas.microsoft.com/office/drawing/2014/main" id="{5FA830AD-D616-49A8-A096-458ECD688737}"/>
            </a:ext>
          </a:extLst>
        </xdr:cNvPr>
        <xdr:cNvSpPr>
          <a:spLocks noChangeAspect="1" noChangeArrowheads="1"/>
        </xdr:cNvSpPr>
      </xdr:nvSpPr>
      <xdr:spPr bwMode="auto">
        <a:xfrm>
          <a:off x="58140600" y="59062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339</xdr:row>
      <xdr:rowOff>0</xdr:rowOff>
    </xdr:from>
    <xdr:ext cx="152400" cy="152400"/>
    <xdr:sp macro="" textlink="">
      <xdr:nvSpPr>
        <xdr:cNvPr id="13" name="AutoShape 3" descr="NCBI Bookshelf">
          <a:extLst>
            <a:ext uri="{FF2B5EF4-FFF2-40B4-BE49-F238E27FC236}">
              <a16:creationId xmlns:a16="http://schemas.microsoft.com/office/drawing/2014/main" id="{363FB4DA-DDFC-42B6-B23E-97E9F7DA9690}"/>
            </a:ext>
          </a:extLst>
        </xdr:cNvPr>
        <xdr:cNvSpPr>
          <a:spLocks noChangeAspect="1" noChangeArrowheads="1"/>
        </xdr:cNvSpPr>
      </xdr:nvSpPr>
      <xdr:spPr bwMode="auto">
        <a:xfrm>
          <a:off x="58140600" y="59062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72</xdr:row>
      <xdr:rowOff>0</xdr:rowOff>
    </xdr:from>
    <xdr:ext cx="152400" cy="152400"/>
    <xdr:sp macro="" textlink="">
      <xdr:nvSpPr>
        <xdr:cNvPr id="14" name="AutoShape 1" descr="PubMed Central (PMC)">
          <a:extLst>
            <a:ext uri="{FF2B5EF4-FFF2-40B4-BE49-F238E27FC236}">
              <a16:creationId xmlns:a16="http://schemas.microsoft.com/office/drawing/2014/main" id="{9D4F95DF-BC93-462F-9B80-55063BFE2645}"/>
            </a:ext>
          </a:extLst>
        </xdr:cNvPr>
        <xdr:cNvSpPr>
          <a:spLocks noChangeAspect="1" noChangeArrowheads="1"/>
        </xdr:cNvSpPr>
      </xdr:nvSpPr>
      <xdr:spPr bwMode="auto">
        <a:xfrm>
          <a:off x="58140600" y="1226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72</xdr:row>
      <xdr:rowOff>0</xdr:rowOff>
    </xdr:from>
    <xdr:ext cx="152400" cy="152400"/>
    <xdr:sp macro="" textlink="">
      <xdr:nvSpPr>
        <xdr:cNvPr id="15" name="AutoShape 3" descr="NCBI Bookshelf">
          <a:extLst>
            <a:ext uri="{FF2B5EF4-FFF2-40B4-BE49-F238E27FC236}">
              <a16:creationId xmlns:a16="http://schemas.microsoft.com/office/drawing/2014/main" id="{42339EE9-3D2C-4D9E-8A0A-DE78F4BD37AF}"/>
            </a:ext>
          </a:extLst>
        </xdr:cNvPr>
        <xdr:cNvSpPr>
          <a:spLocks noChangeAspect="1" noChangeArrowheads="1"/>
        </xdr:cNvSpPr>
      </xdr:nvSpPr>
      <xdr:spPr bwMode="auto">
        <a:xfrm>
          <a:off x="58140600" y="1226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52</xdr:row>
      <xdr:rowOff>0</xdr:rowOff>
    </xdr:from>
    <xdr:ext cx="152400" cy="152400"/>
    <xdr:sp macro="" textlink="">
      <xdr:nvSpPr>
        <xdr:cNvPr id="16" name="AutoShape 1" descr="PubMed Central (PMC)">
          <a:extLst>
            <a:ext uri="{FF2B5EF4-FFF2-40B4-BE49-F238E27FC236}">
              <a16:creationId xmlns:a16="http://schemas.microsoft.com/office/drawing/2014/main" id="{F1BDB50F-413D-4AB6-A344-0019C2062C6E}"/>
            </a:ext>
          </a:extLst>
        </xdr:cNvPr>
        <xdr:cNvSpPr>
          <a:spLocks noChangeAspect="1" noChangeArrowheads="1"/>
        </xdr:cNvSpPr>
      </xdr:nvSpPr>
      <xdr:spPr bwMode="auto">
        <a:xfrm>
          <a:off x="4114800" y="8763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52</xdr:row>
      <xdr:rowOff>0</xdr:rowOff>
    </xdr:from>
    <xdr:ext cx="152400" cy="152400"/>
    <xdr:sp macro="" textlink="">
      <xdr:nvSpPr>
        <xdr:cNvPr id="17" name="AutoShape 3" descr="NCBI Bookshelf">
          <a:extLst>
            <a:ext uri="{FF2B5EF4-FFF2-40B4-BE49-F238E27FC236}">
              <a16:creationId xmlns:a16="http://schemas.microsoft.com/office/drawing/2014/main" id="{18A1998F-ADF3-40D4-851B-3F390ED7DCC9}"/>
            </a:ext>
          </a:extLst>
        </xdr:cNvPr>
        <xdr:cNvSpPr>
          <a:spLocks noChangeAspect="1" noChangeArrowheads="1"/>
        </xdr:cNvSpPr>
      </xdr:nvSpPr>
      <xdr:spPr bwMode="auto">
        <a:xfrm>
          <a:off x="4114800" y="8763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52</xdr:row>
      <xdr:rowOff>0</xdr:rowOff>
    </xdr:from>
    <xdr:ext cx="152400" cy="152400"/>
    <xdr:sp macro="" textlink="">
      <xdr:nvSpPr>
        <xdr:cNvPr id="18" name="AutoShape 1" descr="PubMed Central (PMC)">
          <a:extLst>
            <a:ext uri="{FF2B5EF4-FFF2-40B4-BE49-F238E27FC236}">
              <a16:creationId xmlns:a16="http://schemas.microsoft.com/office/drawing/2014/main" id="{CD1697F9-29F2-4196-A103-289859FB0844}"/>
            </a:ext>
          </a:extLst>
        </xdr:cNvPr>
        <xdr:cNvSpPr>
          <a:spLocks noChangeAspect="1" noChangeArrowheads="1"/>
        </xdr:cNvSpPr>
      </xdr:nvSpPr>
      <xdr:spPr bwMode="auto">
        <a:xfrm>
          <a:off x="58140600" y="8763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52</xdr:row>
      <xdr:rowOff>0</xdr:rowOff>
    </xdr:from>
    <xdr:ext cx="152400" cy="152400"/>
    <xdr:sp macro="" textlink="">
      <xdr:nvSpPr>
        <xdr:cNvPr id="19" name="AutoShape 3" descr="NCBI Bookshelf">
          <a:extLst>
            <a:ext uri="{FF2B5EF4-FFF2-40B4-BE49-F238E27FC236}">
              <a16:creationId xmlns:a16="http://schemas.microsoft.com/office/drawing/2014/main" id="{3723F40E-966F-4ABB-A4CF-D8FBF4EF2536}"/>
            </a:ext>
          </a:extLst>
        </xdr:cNvPr>
        <xdr:cNvSpPr>
          <a:spLocks noChangeAspect="1" noChangeArrowheads="1"/>
        </xdr:cNvSpPr>
      </xdr:nvSpPr>
      <xdr:spPr bwMode="auto">
        <a:xfrm>
          <a:off x="58140600" y="8763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72</xdr:row>
      <xdr:rowOff>0</xdr:rowOff>
    </xdr:from>
    <xdr:ext cx="152400" cy="152400"/>
    <xdr:sp macro="" textlink="">
      <xdr:nvSpPr>
        <xdr:cNvPr id="20" name="AutoShape 1" descr="PubMed Central (PMC)">
          <a:extLst>
            <a:ext uri="{FF2B5EF4-FFF2-40B4-BE49-F238E27FC236}">
              <a16:creationId xmlns:a16="http://schemas.microsoft.com/office/drawing/2014/main" id="{0E531014-5ABD-44BE-BC5C-2464E84CBA2D}"/>
            </a:ext>
          </a:extLst>
        </xdr:cNvPr>
        <xdr:cNvSpPr>
          <a:spLocks noChangeAspect="1" noChangeArrowheads="1"/>
        </xdr:cNvSpPr>
      </xdr:nvSpPr>
      <xdr:spPr bwMode="auto">
        <a:xfrm>
          <a:off x="58140600" y="1226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72</xdr:row>
      <xdr:rowOff>0</xdr:rowOff>
    </xdr:from>
    <xdr:ext cx="152400" cy="152400"/>
    <xdr:sp macro="" textlink="">
      <xdr:nvSpPr>
        <xdr:cNvPr id="21" name="AutoShape 3" descr="NCBI Bookshelf">
          <a:extLst>
            <a:ext uri="{FF2B5EF4-FFF2-40B4-BE49-F238E27FC236}">
              <a16:creationId xmlns:a16="http://schemas.microsoft.com/office/drawing/2014/main" id="{3F91316D-F407-47A9-BA2E-D17E4E32597A}"/>
            </a:ext>
          </a:extLst>
        </xdr:cNvPr>
        <xdr:cNvSpPr>
          <a:spLocks noChangeAspect="1" noChangeArrowheads="1"/>
        </xdr:cNvSpPr>
      </xdr:nvSpPr>
      <xdr:spPr bwMode="auto">
        <a:xfrm>
          <a:off x="58140600" y="1226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72</xdr:row>
      <xdr:rowOff>0</xdr:rowOff>
    </xdr:from>
    <xdr:ext cx="152400" cy="152400"/>
    <xdr:sp macro="" textlink="">
      <xdr:nvSpPr>
        <xdr:cNvPr id="22" name="AutoShape 1" descr="PubMed Central (PMC)">
          <a:extLst>
            <a:ext uri="{FF2B5EF4-FFF2-40B4-BE49-F238E27FC236}">
              <a16:creationId xmlns:a16="http://schemas.microsoft.com/office/drawing/2014/main" id="{8C3AE41C-C5DC-4F3D-8CD2-4F661E863084}"/>
            </a:ext>
          </a:extLst>
        </xdr:cNvPr>
        <xdr:cNvSpPr>
          <a:spLocks noChangeAspect="1" noChangeArrowheads="1"/>
        </xdr:cNvSpPr>
      </xdr:nvSpPr>
      <xdr:spPr bwMode="auto">
        <a:xfrm>
          <a:off x="58140600" y="1226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72</xdr:row>
      <xdr:rowOff>0</xdr:rowOff>
    </xdr:from>
    <xdr:ext cx="152400" cy="152400"/>
    <xdr:sp macro="" textlink="">
      <xdr:nvSpPr>
        <xdr:cNvPr id="23" name="AutoShape 3" descr="NCBI Bookshelf">
          <a:extLst>
            <a:ext uri="{FF2B5EF4-FFF2-40B4-BE49-F238E27FC236}">
              <a16:creationId xmlns:a16="http://schemas.microsoft.com/office/drawing/2014/main" id="{7D55BE31-B3A1-4D5B-ABB5-891E6D10F37B}"/>
            </a:ext>
          </a:extLst>
        </xdr:cNvPr>
        <xdr:cNvSpPr>
          <a:spLocks noChangeAspect="1" noChangeArrowheads="1"/>
        </xdr:cNvSpPr>
      </xdr:nvSpPr>
      <xdr:spPr bwMode="auto">
        <a:xfrm>
          <a:off x="58140600" y="1226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703</xdr:row>
      <xdr:rowOff>0</xdr:rowOff>
    </xdr:from>
    <xdr:ext cx="152400" cy="157202"/>
    <xdr:sp macro="" textlink="">
      <xdr:nvSpPr>
        <xdr:cNvPr id="24" name="AutoShape 1" descr="PubMed Central (PMC)">
          <a:extLst>
            <a:ext uri="{FF2B5EF4-FFF2-40B4-BE49-F238E27FC236}">
              <a16:creationId xmlns:a16="http://schemas.microsoft.com/office/drawing/2014/main" id="{F936817E-F832-40F1-AB49-93C25D2DEDE3}"/>
            </a:ext>
          </a:extLst>
        </xdr:cNvPr>
        <xdr:cNvSpPr>
          <a:spLocks noChangeAspect="1" noChangeArrowheads="1"/>
        </xdr:cNvSpPr>
      </xdr:nvSpPr>
      <xdr:spPr bwMode="auto">
        <a:xfrm>
          <a:off x="4114800" y="12285726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703</xdr:row>
      <xdr:rowOff>0</xdr:rowOff>
    </xdr:from>
    <xdr:ext cx="152400" cy="157202"/>
    <xdr:sp macro="" textlink="">
      <xdr:nvSpPr>
        <xdr:cNvPr id="25" name="AutoShape 3" descr="NCBI Bookshelf">
          <a:extLst>
            <a:ext uri="{FF2B5EF4-FFF2-40B4-BE49-F238E27FC236}">
              <a16:creationId xmlns:a16="http://schemas.microsoft.com/office/drawing/2014/main" id="{A49CFB10-7D25-4159-BD08-5334ACF4401E}"/>
            </a:ext>
          </a:extLst>
        </xdr:cNvPr>
        <xdr:cNvSpPr>
          <a:spLocks noChangeAspect="1" noChangeArrowheads="1"/>
        </xdr:cNvSpPr>
      </xdr:nvSpPr>
      <xdr:spPr bwMode="auto">
        <a:xfrm>
          <a:off x="4114800" y="12285726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703</xdr:row>
      <xdr:rowOff>0</xdr:rowOff>
    </xdr:from>
    <xdr:ext cx="152400" cy="152400"/>
    <xdr:sp macro="" textlink="">
      <xdr:nvSpPr>
        <xdr:cNvPr id="26" name="AutoShape 1" descr="PubMed Central (PMC)">
          <a:extLst>
            <a:ext uri="{FF2B5EF4-FFF2-40B4-BE49-F238E27FC236}">
              <a16:creationId xmlns:a16="http://schemas.microsoft.com/office/drawing/2014/main" id="{4171FCD3-9D11-48D2-8A21-C9977142ECCE}"/>
            </a:ext>
          </a:extLst>
        </xdr:cNvPr>
        <xdr:cNvSpPr>
          <a:spLocks noChangeAspect="1" noChangeArrowheads="1"/>
        </xdr:cNvSpPr>
      </xdr:nvSpPr>
      <xdr:spPr bwMode="auto">
        <a:xfrm>
          <a:off x="58140600" y="1228572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703</xdr:row>
      <xdr:rowOff>0</xdr:rowOff>
    </xdr:from>
    <xdr:ext cx="152400" cy="152400"/>
    <xdr:sp macro="" textlink="">
      <xdr:nvSpPr>
        <xdr:cNvPr id="27" name="AutoShape 3" descr="NCBI Bookshelf">
          <a:extLst>
            <a:ext uri="{FF2B5EF4-FFF2-40B4-BE49-F238E27FC236}">
              <a16:creationId xmlns:a16="http://schemas.microsoft.com/office/drawing/2014/main" id="{3960F2EE-3E74-4324-A25E-E6B68322442F}"/>
            </a:ext>
          </a:extLst>
        </xdr:cNvPr>
        <xdr:cNvSpPr>
          <a:spLocks noChangeAspect="1" noChangeArrowheads="1"/>
        </xdr:cNvSpPr>
      </xdr:nvSpPr>
      <xdr:spPr bwMode="auto">
        <a:xfrm>
          <a:off x="58140600" y="1228572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129</xdr:row>
      <xdr:rowOff>0</xdr:rowOff>
    </xdr:from>
    <xdr:ext cx="152400" cy="157202"/>
    <xdr:sp macro="" textlink="">
      <xdr:nvSpPr>
        <xdr:cNvPr id="28" name="AutoShape 1" descr="PubMed Central (PMC)">
          <a:extLst>
            <a:ext uri="{FF2B5EF4-FFF2-40B4-BE49-F238E27FC236}">
              <a16:creationId xmlns:a16="http://schemas.microsoft.com/office/drawing/2014/main" id="{E2E75294-7E00-4D53-BA4A-E129BF3759E1}"/>
            </a:ext>
          </a:extLst>
        </xdr:cNvPr>
        <xdr:cNvSpPr>
          <a:spLocks noChangeAspect="1" noChangeArrowheads="1"/>
        </xdr:cNvSpPr>
      </xdr:nvSpPr>
      <xdr:spPr bwMode="auto">
        <a:xfrm>
          <a:off x="7901940" y="2225802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129</xdr:row>
      <xdr:rowOff>0</xdr:rowOff>
    </xdr:from>
    <xdr:ext cx="152400" cy="157202"/>
    <xdr:sp macro="" textlink="">
      <xdr:nvSpPr>
        <xdr:cNvPr id="29" name="AutoShape 3" descr="NCBI Bookshelf">
          <a:extLst>
            <a:ext uri="{FF2B5EF4-FFF2-40B4-BE49-F238E27FC236}">
              <a16:creationId xmlns:a16="http://schemas.microsoft.com/office/drawing/2014/main" id="{5CC56FCE-5FC9-4BFB-BF8F-326C23041407}"/>
            </a:ext>
          </a:extLst>
        </xdr:cNvPr>
        <xdr:cNvSpPr>
          <a:spLocks noChangeAspect="1" noChangeArrowheads="1"/>
        </xdr:cNvSpPr>
      </xdr:nvSpPr>
      <xdr:spPr bwMode="auto">
        <a:xfrm>
          <a:off x="7901940" y="2225802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318</xdr:row>
      <xdr:rowOff>0</xdr:rowOff>
    </xdr:from>
    <xdr:ext cx="152400" cy="152400"/>
    <xdr:sp macro="" textlink="">
      <xdr:nvSpPr>
        <xdr:cNvPr id="30" name="AutoShape 1" descr="PubMed Central (PMC)">
          <a:extLst>
            <a:ext uri="{FF2B5EF4-FFF2-40B4-BE49-F238E27FC236}">
              <a16:creationId xmlns:a16="http://schemas.microsoft.com/office/drawing/2014/main" id="{03BDCA66-E46F-4FFF-B14B-5CA7997B60FD}"/>
            </a:ext>
          </a:extLst>
        </xdr:cNvPr>
        <xdr:cNvSpPr>
          <a:spLocks noChangeAspect="1" noChangeArrowheads="1"/>
        </xdr:cNvSpPr>
      </xdr:nvSpPr>
      <xdr:spPr bwMode="auto">
        <a:xfrm>
          <a:off x="4114800" y="55382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318</xdr:row>
      <xdr:rowOff>0</xdr:rowOff>
    </xdr:from>
    <xdr:ext cx="152400" cy="152400"/>
    <xdr:sp macro="" textlink="">
      <xdr:nvSpPr>
        <xdr:cNvPr id="31" name="AutoShape 3" descr="NCBI Bookshelf">
          <a:extLst>
            <a:ext uri="{FF2B5EF4-FFF2-40B4-BE49-F238E27FC236}">
              <a16:creationId xmlns:a16="http://schemas.microsoft.com/office/drawing/2014/main" id="{E3AC776C-88D9-4A6D-A5FB-D52008227990}"/>
            </a:ext>
          </a:extLst>
        </xdr:cNvPr>
        <xdr:cNvSpPr>
          <a:spLocks noChangeAspect="1" noChangeArrowheads="1"/>
        </xdr:cNvSpPr>
      </xdr:nvSpPr>
      <xdr:spPr bwMode="auto">
        <a:xfrm>
          <a:off x="4114800" y="55382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318</xdr:row>
      <xdr:rowOff>0</xdr:rowOff>
    </xdr:from>
    <xdr:ext cx="152400" cy="152400"/>
    <xdr:sp macro="" textlink="">
      <xdr:nvSpPr>
        <xdr:cNvPr id="32" name="AutoShape 1" descr="PubMed Central (PMC)">
          <a:extLst>
            <a:ext uri="{FF2B5EF4-FFF2-40B4-BE49-F238E27FC236}">
              <a16:creationId xmlns:a16="http://schemas.microsoft.com/office/drawing/2014/main" id="{78AF49A0-7AE8-444B-9608-2F4A07909967}"/>
            </a:ext>
          </a:extLst>
        </xdr:cNvPr>
        <xdr:cNvSpPr>
          <a:spLocks noChangeAspect="1" noChangeArrowheads="1"/>
        </xdr:cNvSpPr>
      </xdr:nvSpPr>
      <xdr:spPr bwMode="auto">
        <a:xfrm>
          <a:off x="58140600" y="55382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318</xdr:row>
      <xdr:rowOff>0</xdr:rowOff>
    </xdr:from>
    <xdr:ext cx="152400" cy="152400"/>
    <xdr:sp macro="" textlink="">
      <xdr:nvSpPr>
        <xdr:cNvPr id="33" name="AutoShape 3" descr="NCBI Bookshelf">
          <a:extLst>
            <a:ext uri="{FF2B5EF4-FFF2-40B4-BE49-F238E27FC236}">
              <a16:creationId xmlns:a16="http://schemas.microsoft.com/office/drawing/2014/main" id="{DFF1C28E-F457-4E54-9424-CBA94A4DA5CC}"/>
            </a:ext>
          </a:extLst>
        </xdr:cNvPr>
        <xdr:cNvSpPr>
          <a:spLocks noChangeAspect="1" noChangeArrowheads="1"/>
        </xdr:cNvSpPr>
      </xdr:nvSpPr>
      <xdr:spPr bwMode="auto">
        <a:xfrm>
          <a:off x="58140600" y="55382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323</xdr:row>
      <xdr:rowOff>0</xdr:rowOff>
    </xdr:from>
    <xdr:ext cx="152400" cy="152400"/>
    <xdr:sp macro="" textlink="">
      <xdr:nvSpPr>
        <xdr:cNvPr id="34" name="AutoShape 1" descr="PubMed Central (PMC)">
          <a:extLst>
            <a:ext uri="{FF2B5EF4-FFF2-40B4-BE49-F238E27FC236}">
              <a16:creationId xmlns:a16="http://schemas.microsoft.com/office/drawing/2014/main" id="{1CECE38D-F0F7-4420-BB26-BA729CB90919}"/>
            </a:ext>
          </a:extLst>
        </xdr:cNvPr>
        <xdr:cNvSpPr>
          <a:spLocks noChangeAspect="1" noChangeArrowheads="1"/>
        </xdr:cNvSpPr>
      </xdr:nvSpPr>
      <xdr:spPr bwMode="auto">
        <a:xfrm>
          <a:off x="4114800" y="56258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323</xdr:row>
      <xdr:rowOff>0</xdr:rowOff>
    </xdr:from>
    <xdr:ext cx="152400" cy="152400"/>
    <xdr:sp macro="" textlink="">
      <xdr:nvSpPr>
        <xdr:cNvPr id="35" name="AutoShape 3" descr="NCBI Bookshelf">
          <a:extLst>
            <a:ext uri="{FF2B5EF4-FFF2-40B4-BE49-F238E27FC236}">
              <a16:creationId xmlns:a16="http://schemas.microsoft.com/office/drawing/2014/main" id="{CA2C44C4-F17B-45C7-9E3F-EA80671983E1}"/>
            </a:ext>
          </a:extLst>
        </xdr:cNvPr>
        <xdr:cNvSpPr>
          <a:spLocks noChangeAspect="1" noChangeArrowheads="1"/>
        </xdr:cNvSpPr>
      </xdr:nvSpPr>
      <xdr:spPr bwMode="auto">
        <a:xfrm>
          <a:off x="4114800" y="56258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323</xdr:row>
      <xdr:rowOff>0</xdr:rowOff>
    </xdr:from>
    <xdr:ext cx="152400" cy="152400"/>
    <xdr:sp macro="" textlink="">
      <xdr:nvSpPr>
        <xdr:cNvPr id="36" name="AutoShape 1" descr="PubMed Central (PMC)">
          <a:extLst>
            <a:ext uri="{FF2B5EF4-FFF2-40B4-BE49-F238E27FC236}">
              <a16:creationId xmlns:a16="http://schemas.microsoft.com/office/drawing/2014/main" id="{AD9E8F72-5E53-4783-9EEB-6705BCD1151B}"/>
            </a:ext>
          </a:extLst>
        </xdr:cNvPr>
        <xdr:cNvSpPr>
          <a:spLocks noChangeAspect="1" noChangeArrowheads="1"/>
        </xdr:cNvSpPr>
      </xdr:nvSpPr>
      <xdr:spPr bwMode="auto">
        <a:xfrm>
          <a:off x="58140600" y="56258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323</xdr:row>
      <xdr:rowOff>0</xdr:rowOff>
    </xdr:from>
    <xdr:ext cx="152400" cy="152400"/>
    <xdr:sp macro="" textlink="">
      <xdr:nvSpPr>
        <xdr:cNvPr id="37" name="AutoShape 3" descr="NCBI Bookshelf">
          <a:extLst>
            <a:ext uri="{FF2B5EF4-FFF2-40B4-BE49-F238E27FC236}">
              <a16:creationId xmlns:a16="http://schemas.microsoft.com/office/drawing/2014/main" id="{980B283D-65EE-4C27-92FA-9DC64CFDAFC4}"/>
            </a:ext>
          </a:extLst>
        </xdr:cNvPr>
        <xdr:cNvSpPr>
          <a:spLocks noChangeAspect="1" noChangeArrowheads="1"/>
        </xdr:cNvSpPr>
      </xdr:nvSpPr>
      <xdr:spPr bwMode="auto">
        <a:xfrm>
          <a:off x="58140600" y="56258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323</xdr:row>
      <xdr:rowOff>0</xdr:rowOff>
    </xdr:from>
    <xdr:ext cx="152400" cy="152400"/>
    <xdr:sp macro="" textlink="">
      <xdr:nvSpPr>
        <xdr:cNvPr id="38" name="AutoShape 1" descr="PubMed Central (PMC)">
          <a:extLst>
            <a:ext uri="{FF2B5EF4-FFF2-40B4-BE49-F238E27FC236}">
              <a16:creationId xmlns:a16="http://schemas.microsoft.com/office/drawing/2014/main" id="{8E4C9E01-AB9F-405D-9733-FB8776BD53CE}"/>
            </a:ext>
          </a:extLst>
        </xdr:cNvPr>
        <xdr:cNvSpPr>
          <a:spLocks noChangeAspect="1" noChangeArrowheads="1"/>
        </xdr:cNvSpPr>
      </xdr:nvSpPr>
      <xdr:spPr bwMode="auto">
        <a:xfrm>
          <a:off x="7901940" y="56258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323</xdr:row>
      <xdr:rowOff>0</xdr:rowOff>
    </xdr:from>
    <xdr:ext cx="152400" cy="152400"/>
    <xdr:sp macro="" textlink="">
      <xdr:nvSpPr>
        <xdr:cNvPr id="39" name="AutoShape 3" descr="NCBI Bookshelf">
          <a:extLst>
            <a:ext uri="{FF2B5EF4-FFF2-40B4-BE49-F238E27FC236}">
              <a16:creationId xmlns:a16="http://schemas.microsoft.com/office/drawing/2014/main" id="{B8695C85-0D70-469B-B35D-215DB528B015}"/>
            </a:ext>
          </a:extLst>
        </xdr:cNvPr>
        <xdr:cNvSpPr>
          <a:spLocks noChangeAspect="1" noChangeArrowheads="1"/>
        </xdr:cNvSpPr>
      </xdr:nvSpPr>
      <xdr:spPr bwMode="auto">
        <a:xfrm>
          <a:off x="7901940" y="56258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318</xdr:row>
      <xdr:rowOff>0</xdr:rowOff>
    </xdr:from>
    <xdr:ext cx="152400" cy="152400"/>
    <xdr:sp macro="" textlink="">
      <xdr:nvSpPr>
        <xdr:cNvPr id="40" name="AutoShape 1" descr="PubMed Central (PMC)">
          <a:extLst>
            <a:ext uri="{FF2B5EF4-FFF2-40B4-BE49-F238E27FC236}">
              <a16:creationId xmlns:a16="http://schemas.microsoft.com/office/drawing/2014/main" id="{4E293F6D-9E32-437C-AEF2-1A420CDF372C}"/>
            </a:ext>
          </a:extLst>
        </xdr:cNvPr>
        <xdr:cNvSpPr>
          <a:spLocks noChangeAspect="1" noChangeArrowheads="1"/>
        </xdr:cNvSpPr>
      </xdr:nvSpPr>
      <xdr:spPr bwMode="auto">
        <a:xfrm>
          <a:off x="58140600" y="55382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318</xdr:row>
      <xdr:rowOff>0</xdr:rowOff>
    </xdr:from>
    <xdr:ext cx="152400" cy="152400"/>
    <xdr:sp macro="" textlink="">
      <xdr:nvSpPr>
        <xdr:cNvPr id="41" name="AutoShape 3" descr="NCBI Bookshelf">
          <a:extLst>
            <a:ext uri="{FF2B5EF4-FFF2-40B4-BE49-F238E27FC236}">
              <a16:creationId xmlns:a16="http://schemas.microsoft.com/office/drawing/2014/main" id="{79E494AF-60BD-45F0-95B9-EE569E221213}"/>
            </a:ext>
          </a:extLst>
        </xdr:cNvPr>
        <xdr:cNvSpPr>
          <a:spLocks noChangeAspect="1" noChangeArrowheads="1"/>
        </xdr:cNvSpPr>
      </xdr:nvSpPr>
      <xdr:spPr bwMode="auto">
        <a:xfrm>
          <a:off x="58140600" y="55382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323</xdr:row>
      <xdr:rowOff>0</xdr:rowOff>
    </xdr:from>
    <xdr:ext cx="152400" cy="152400"/>
    <xdr:sp macro="" textlink="">
      <xdr:nvSpPr>
        <xdr:cNvPr id="42" name="AutoShape 1" descr="PubMed Central (PMC)">
          <a:extLst>
            <a:ext uri="{FF2B5EF4-FFF2-40B4-BE49-F238E27FC236}">
              <a16:creationId xmlns:a16="http://schemas.microsoft.com/office/drawing/2014/main" id="{E66EB341-7881-4E4B-9823-2682BE5BADA9}"/>
            </a:ext>
          </a:extLst>
        </xdr:cNvPr>
        <xdr:cNvSpPr>
          <a:spLocks noChangeAspect="1" noChangeArrowheads="1"/>
        </xdr:cNvSpPr>
      </xdr:nvSpPr>
      <xdr:spPr bwMode="auto">
        <a:xfrm>
          <a:off x="7901940" y="56258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323</xdr:row>
      <xdr:rowOff>0</xdr:rowOff>
    </xdr:from>
    <xdr:ext cx="152400" cy="152400"/>
    <xdr:sp macro="" textlink="">
      <xdr:nvSpPr>
        <xdr:cNvPr id="43" name="AutoShape 3" descr="NCBI Bookshelf">
          <a:extLst>
            <a:ext uri="{FF2B5EF4-FFF2-40B4-BE49-F238E27FC236}">
              <a16:creationId xmlns:a16="http://schemas.microsoft.com/office/drawing/2014/main" id="{90C5E5E9-81DD-4A36-981B-60DAA77147E0}"/>
            </a:ext>
          </a:extLst>
        </xdr:cNvPr>
        <xdr:cNvSpPr>
          <a:spLocks noChangeAspect="1" noChangeArrowheads="1"/>
        </xdr:cNvSpPr>
      </xdr:nvSpPr>
      <xdr:spPr bwMode="auto">
        <a:xfrm>
          <a:off x="7901940" y="56258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318</xdr:row>
      <xdr:rowOff>0</xdr:rowOff>
    </xdr:from>
    <xdr:ext cx="152400" cy="152400"/>
    <xdr:sp macro="" textlink="">
      <xdr:nvSpPr>
        <xdr:cNvPr id="44" name="AutoShape 1" descr="PubMed Central (PMC)">
          <a:extLst>
            <a:ext uri="{FF2B5EF4-FFF2-40B4-BE49-F238E27FC236}">
              <a16:creationId xmlns:a16="http://schemas.microsoft.com/office/drawing/2014/main" id="{2FEB891F-4B80-456C-953C-0113E7DF2F8C}"/>
            </a:ext>
          </a:extLst>
        </xdr:cNvPr>
        <xdr:cNvSpPr>
          <a:spLocks noChangeAspect="1" noChangeArrowheads="1"/>
        </xdr:cNvSpPr>
      </xdr:nvSpPr>
      <xdr:spPr bwMode="auto">
        <a:xfrm>
          <a:off x="7901940" y="55382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318</xdr:row>
      <xdr:rowOff>0</xdr:rowOff>
    </xdr:from>
    <xdr:ext cx="152400" cy="152400"/>
    <xdr:sp macro="" textlink="">
      <xdr:nvSpPr>
        <xdr:cNvPr id="45" name="AutoShape 3" descr="NCBI Bookshelf">
          <a:extLst>
            <a:ext uri="{FF2B5EF4-FFF2-40B4-BE49-F238E27FC236}">
              <a16:creationId xmlns:a16="http://schemas.microsoft.com/office/drawing/2014/main" id="{9D54875B-5853-4967-B05C-508D62A55953}"/>
            </a:ext>
          </a:extLst>
        </xdr:cNvPr>
        <xdr:cNvSpPr>
          <a:spLocks noChangeAspect="1" noChangeArrowheads="1"/>
        </xdr:cNvSpPr>
      </xdr:nvSpPr>
      <xdr:spPr bwMode="auto">
        <a:xfrm>
          <a:off x="7901940" y="55382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317</xdr:row>
      <xdr:rowOff>0</xdr:rowOff>
    </xdr:from>
    <xdr:ext cx="152400" cy="152400"/>
    <xdr:sp macro="" textlink="">
      <xdr:nvSpPr>
        <xdr:cNvPr id="46" name="AutoShape 1" descr="PubMed Central (PMC)">
          <a:extLst>
            <a:ext uri="{FF2B5EF4-FFF2-40B4-BE49-F238E27FC236}">
              <a16:creationId xmlns:a16="http://schemas.microsoft.com/office/drawing/2014/main" id="{1277AA1C-B4EB-4354-9AE8-84D7AE0316A5}"/>
            </a:ext>
          </a:extLst>
        </xdr:cNvPr>
        <xdr:cNvSpPr>
          <a:spLocks noChangeAspect="1" noChangeArrowheads="1"/>
        </xdr:cNvSpPr>
      </xdr:nvSpPr>
      <xdr:spPr bwMode="auto">
        <a:xfrm>
          <a:off x="4114800" y="5520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317</xdr:row>
      <xdr:rowOff>0</xdr:rowOff>
    </xdr:from>
    <xdr:ext cx="152400" cy="152400"/>
    <xdr:sp macro="" textlink="">
      <xdr:nvSpPr>
        <xdr:cNvPr id="47" name="AutoShape 3" descr="NCBI Bookshelf">
          <a:extLst>
            <a:ext uri="{FF2B5EF4-FFF2-40B4-BE49-F238E27FC236}">
              <a16:creationId xmlns:a16="http://schemas.microsoft.com/office/drawing/2014/main" id="{ADAE877E-3CFC-48E9-967A-D558AB1BCDEF}"/>
            </a:ext>
          </a:extLst>
        </xdr:cNvPr>
        <xdr:cNvSpPr>
          <a:spLocks noChangeAspect="1" noChangeArrowheads="1"/>
        </xdr:cNvSpPr>
      </xdr:nvSpPr>
      <xdr:spPr bwMode="auto">
        <a:xfrm>
          <a:off x="4114800" y="5520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317</xdr:row>
      <xdr:rowOff>0</xdr:rowOff>
    </xdr:from>
    <xdr:ext cx="152400" cy="152400"/>
    <xdr:sp macro="" textlink="">
      <xdr:nvSpPr>
        <xdr:cNvPr id="48" name="AutoShape 1" descr="PubMed Central (PMC)">
          <a:extLst>
            <a:ext uri="{FF2B5EF4-FFF2-40B4-BE49-F238E27FC236}">
              <a16:creationId xmlns:a16="http://schemas.microsoft.com/office/drawing/2014/main" id="{7BD89359-8B92-4D9F-AE40-002D60256336}"/>
            </a:ext>
          </a:extLst>
        </xdr:cNvPr>
        <xdr:cNvSpPr>
          <a:spLocks noChangeAspect="1" noChangeArrowheads="1"/>
        </xdr:cNvSpPr>
      </xdr:nvSpPr>
      <xdr:spPr bwMode="auto">
        <a:xfrm>
          <a:off x="58140600" y="5520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317</xdr:row>
      <xdr:rowOff>0</xdr:rowOff>
    </xdr:from>
    <xdr:ext cx="152400" cy="152400"/>
    <xdr:sp macro="" textlink="">
      <xdr:nvSpPr>
        <xdr:cNvPr id="49" name="AutoShape 3" descr="NCBI Bookshelf">
          <a:extLst>
            <a:ext uri="{FF2B5EF4-FFF2-40B4-BE49-F238E27FC236}">
              <a16:creationId xmlns:a16="http://schemas.microsoft.com/office/drawing/2014/main" id="{219C2CEF-2BF9-4361-95AD-8B05906A03E6}"/>
            </a:ext>
          </a:extLst>
        </xdr:cNvPr>
        <xdr:cNvSpPr>
          <a:spLocks noChangeAspect="1" noChangeArrowheads="1"/>
        </xdr:cNvSpPr>
      </xdr:nvSpPr>
      <xdr:spPr bwMode="auto">
        <a:xfrm>
          <a:off x="58140600" y="5520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317</xdr:row>
      <xdr:rowOff>0</xdr:rowOff>
    </xdr:from>
    <xdr:ext cx="152400" cy="152400"/>
    <xdr:sp macro="" textlink="">
      <xdr:nvSpPr>
        <xdr:cNvPr id="50" name="AutoShape 1" descr="PubMed Central (PMC)">
          <a:extLst>
            <a:ext uri="{FF2B5EF4-FFF2-40B4-BE49-F238E27FC236}">
              <a16:creationId xmlns:a16="http://schemas.microsoft.com/office/drawing/2014/main" id="{E65F5ADD-E179-4B79-A64F-BA641EAC8BE2}"/>
            </a:ext>
          </a:extLst>
        </xdr:cNvPr>
        <xdr:cNvSpPr>
          <a:spLocks noChangeAspect="1" noChangeArrowheads="1"/>
        </xdr:cNvSpPr>
      </xdr:nvSpPr>
      <xdr:spPr bwMode="auto">
        <a:xfrm>
          <a:off x="7901940" y="5520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317</xdr:row>
      <xdr:rowOff>0</xdr:rowOff>
    </xdr:from>
    <xdr:ext cx="152400" cy="152400"/>
    <xdr:sp macro="" textlink="">
      <xdr:nvSpPr>
        <xdr:cNvPr id="51" name="AutoShape 3" descr="NCBI Bookshelf">
          <a:extLst>
            <a:ext uri="{FF2B5EF4-FFF2-40B4-BE49-F238E27FC236}">
              <a16:creationId xmlns:a16="http://schemas.microsoft.com/office/drawing/2014/main" id="{0FAE2928-696E-45A0-91F2-1835F4B57912}"/>
            </a:ext>
          </a:extLst>
        </xdr:cNvPr>
        <xdr:cNvSpPr>
          <a:spLocks noChangeAspect="1" noChangeArrowheads="1"/>
        </xdr:cNvSpPr>
      </xdr:nvSpPr>
      <xdr:spPr bwMode="auto">
        <a:xfrm>
          <a:off x="7901940" y="5520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317</xdr:row>
      <xdr:rowOff>0</xdr:rowOff>
    </xdr:from>
    <xdr:ext cx="152400" cy="152400"/>
    <xdr:sp macro="" textlink="">
      <xdr:nvSpPr>
        <xdr:cNvPr id="52" name="AutoShape 1" descr="PubMed Central (PMC)">
          <a:extLst>
            <a:ext uri="{FF2B5EF4-FFF2-40B4-BE49-F238E27FC236}">
              <a16:creationId xmlns:a16="http://schemas.microsoft.com/office/drawing/2014/main" id="{A4694A3C-EEAE-4A91-AFC3-3FC9BBFE8FD7}"/>
            </a:ext>
          </a:extLst>
        </xdr:cNvPr>
        <xdr:cNvSpPr>
          <a:spLocks noChangeAspect="1" noChangeArrowheads="1"/>
        </xdr:cNvSpPr>
      </xdr:nvSpPr>
      <xdr:spPr bwMode="auto">
        <a:xfrm>
          <a:off x="7901940" y="5520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317</xdr:row>
      <xdr:rowOff>0</xdr:rowOff>
    </xdr:from>
    <xdr:ext cx="152400" cy="152400"/>
    <xdr:sp macro="" textlink="">
      <xdr:nvSpPr>
        <xdr:cNvPr id="53" name="AutoShape 3" descr="NCBI Bookshelf">
          <a:extLst>
            <a:ext uri="{FF2B5EF4-FFF2-40B4-BE49-F238E27FC236}">
              <a16:creationId xmlns:a16="http://schemas.microsoft.com/office/drawing/2014/main" id="{85C75572-5EA4-44FB-89A3-06E72DD3B690}"/>
            </a:ext>
          </a:extLst>
        </xdr:cNvPr>
        <xdr:cNvSpPr>
          <a:spLocks noChangeAspect="1" noChangeArrowheads="1"/>
        </xdr:cNvSpPr>
      </xdr:nvSpPr>
      <xdr:spPr bwMode="auto">
        <a:xfrm>
          <a:off x="7901940" y="5520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320</xdr:row>
      <xdr:rowOff>0</xdr:rowOff>
    </xdr:from>
    <xdr:ext cx="152400" cy="152400"/>
    <xdr:sp macro="" textlink="">
      <xdr:nvSpPr>
        <xdr:cNvPr id="54" name="AutoShape 1" descr="PubMed Central (PMC)">
          <a:extLst>
            <a:ext uri="{FF2B5EF4-FFF2-40B4-BE49-F238E27FC236}">
              <a16:creationId xmlns:a16="http://schemas.microsoft.com/office/drawing/2014/main" id="{2BFEAB7F-0646-49FA-8EA6-62E10CC69228}"/>
            </a:ext>
          </a:extLst>
        </xdr:cNvPr>
        <xdr:cNvSpPr>
          <a:spLocks noChangeAspect="1" noChangeArrowheads="1"/>
        </xdr:cNvSpPr>
      </xdr:nvSpPr>
      <xdr:spPr bwMode="auto">
        <a:xfrm>
          <a:off x="4114800" y="55732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320</xdr:row>
      <xdr:rowOff>0</xdr:rowOff>
    </xdr:from>
    <xdr:ext cx="152400" cy="152400"/>
    <xdr:sp macro="" textlink="">
      <xdr:nvSpPr>
        <xdr:cNvPr id="55" name="AutoShape 3" descr="NCBI Bookshelf">
          <a:extLst>
            <a:ext uri="{FF2B5EF4-FFF2-40B4-BE49-F238E27FC236}">
              <a16:creationId xmlns:a16="http://schemas.microsoft.com/office/drawing/2014/main" id="{F027A7B9-0906-4F9B-8BAC-6EE70E4F72E1}"/>
            </a:ext>
          </a:extLst>
        </xdr:cNvPr>
        <xdr:cNvSpPr>
          <a:spLocks noChangeAspect="1" noChangeArrowheads="1"/>
        </xdr:cNvSpPr>
      </xdr:nvSpPr>
      <xdr:spPr bwMode="auto">
        <a:xfrm>
          <a:off x="4114800" y="55732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320</xdr:row>
      <xdr:rowOff>0</xdr:rowOff>
    </xdr:from>
    <xdr:ext cx="152400" cy="152400"/>
    <xdr:sp macro="" textlink="">
      <xdr:nvSpPr>
        <xdr:cNvPr id="56" name="AutoShape 1" descr="PubMed Central (PMC)">
          <a:extLst>
            <a:ext uri="{FF2B5EF4-FFF2-40B4-BE49-F238E27FC236}">
              <a16:creationId xmlns:a16="http://schemas.microsoft.com/office/drawing/2014/main" id="{9906D41F-350C-4CAA-8566-A7D27C4464C4}"/>
            </a:ext>
          </a:extLst>
        </xdr:cNvPr>
        <xdr:cNvSpPr>
          <a:spLocks noChangeAspect="1" noChangeArrowheads="1"/>
        </xdr:cNvSpPr>
      </xdr:nvSpPr>
      <xdr:spPr bwMode="auto">
        <a:xfrm>
          <a:off x="58140600" y="55732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320</xdr:row>
      <xdr:rowOff>0</xdr:rowOff>
    </xdr:from>
    <xdr:ext cx="152400" cy="152400"/>
    <xdr:sp macro="" textlink="">
      <xdr:nvSpPr>
        <xdr:cNvPr id="57" name="AutoShape 3" descr="NCBI Bookshelf">
          <a:extLst>
            <a:ext uri="{FF2B5EF4-FFF2-40B4-BE49-F238E27FC236}">
              <a16:creationId xmlns:a16="http://schemas.microsoft.com/office/drawing/2014/main" id="{8BABED7A-4EA1-45AE-9008-191265F7E2ED}"/>
            </a:ext>
          </a:extLst>
        </xdr:cNvPr>
        <xdr:cNvSpPr>
          <a:spLocks noChangeAspect="1" noChangeArrowheads="1"/>
        </xdr:cNvSpPr>
      </xdr:nvSpPr>
      <xdr:spPr bwMode="auto">
        <a:xfrm>
          <a:off x="58140600" y="55732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320</xdr:row>
      <xdr:rowOff>0</xdr:rowOff>
    </xdr:from>
    <xdr:ext cx="152400" cy="152400"/>
    <xdr:sp macro="" textlink="">
      <xdr:nvSpPr>
        <xdr:cNvPr id="58" name="AutoShape 1" descr="PubMed Central (PMC)">
          <a:extLst>
            <a:ext uri="{FF2B5EF4-FFF2-40B4-BE49-F238E27FC236}">
              <a16:creationId xmlns:a16="http://schemas.microsoft.com/office/drawing/2014/main" id="{02C6C4FF-3AB7-4EF1-8A0D-903EF8F98002}"/>
            </a:ext>
          </a:extLst>
        </xdr:cNvPr>
        <xdr:cNvSpPr>
          <a:spLocks noChangeAspect="1" noChangeArrowheads="1"/>
        </xdr:cNvSpPr>
      </xdr:nvSpPr>
      <xdr:spPr bwMode="auto">
        <a:xfrm>
          <a:off x="58140600" y="55732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320</xdr:row>
      <xdr:rowOff>0</xdr:rowOff>
    </xdr:from>
    <xdr:ext cx="152400" cy="152400"/>
    <xdr:sp macro="" textlink="">
      <xdr:nvSpPr>
        <xdr:cNvPr id="59" name="AutoShape 3" descr="NCBI Bookshelf">
          <a:extLst>
            <a:ext uri="{FF2B5EF4-FFF2-40B4-BE49-F238E27FC236}">
              <a16:creationId xmlns:a16="http://schemas.microsoft.com/office/drawing/2014/main" id="{3C27D7EB-5594-47BC-9209-3340ECF8425F}"/>
            </a:ext>
          </a:extLst>
        </xdr:cNvPr>
        <xdr:cNvSpPr>
          <a:spLocks noChangeAspect="1" noChangeArrowheads="1"/>
        </xdr:cNvSpPr>
      </xdr:nvSpPr>
      <xdr:spPr bwMode="auto">
        <a:xfrm>
          <a:off x="58140600" y="55732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320</xdr:row>
      <xdr:rowOff>0</xdr:rowOff>
    </xdr:from>
    <xdr:ext cx="152400" cy="152400"/>
    <xdr:sp macro="" textlink="">
      <xdr:nvSpPr>
        <xdr:cNvPr id="60" name="AutoShape 1" descr="PubMed Central (PMC)">
          <a:extLst>
            <a:ext uri="{FF2B5EF4-FFF2-40B4-BE49-F238E27FC236}">
              <a16:creationId xmlns:a16="http://schemas.microsoft.com/office/drawing/2014/main" id="{C899B59E-33FE-4804-A379-225AB4093230}"/>
            </a:ext>
          </a:extLst>
        </xdr:cNvPr>
        <xdr:cNvSpPr>
          <a:spLocks noChangeAspect="1" noChangeArrowheads="1"/>
        </xdr:cNvSpPr>
      </xdr:nvSpPr>
      <xdr:spPr bwMode="auto">
        <a:xfrm>
          <a:off x="7901940" y="55732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320</xdr:row>
      <xdr:rowOff>0</xdr:rowOff>
    </xdr:from>
    <xdr:ext cx="152400" cy="152400"/>
    <xdr:sp macro="" textlink="">
      <xdr:nvSpPr>
        <xdr:cNvPr id="61" name="AutoShape 3" descr="NCBI Bookshelf">
          <a:extLst>
            <a:ext uri="{FF2B5EF4-FFF2-40B4-BE49-F238E27FC236}">
              <a16:creationId xmlns:a16="http://schemas.microsoft.com/office/drawing/2014/main" id="{AD541031-7A6B-4B2E-9E9A-30421E26FA98}"/>
            </a:ext>
          </a:extLst>
        </xdr:cNvPr>
        <xdr:cNvSpPr>
          <a:spLocks noChangeAspect="1" noChangeArrowheads="1"/>
        </xdr:cNvSpPr>
      </xdr:nvSpPr>
      <xdr:spPr bwMode="auto">
        <a:xfrm>
          <a:off x="7901940" y="55732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387</xdr:row>
      <xdr:rowOff>0</xdr:rowOff>
    </xdr:from>
    <xdr:ext cx="152400" cy="157202"/>
    <xdr:sp macro="" textlink="">
      <xdr:nvSpPr>
        <xdr:cNvPr id="62" name="AutoShape 1" descr="PubMed Central (PMC)">
          <a:extLst>
            <a:ext uri="{FF2B5EF4-FFF2-40B4-BE49-F238E27FC236}">
              <a16:creationId xmlns:a16="http://schemas.microsoft.com/office/drawing/2014/main" id="{7D26AB69-754D-4179-BE3F-61E0DD9CF7A6}"/>
            </a:ext>
          </a:extLst>
        </xdr:cNvPr>
        <xdr:cNvSpPr>
          <a:spLocks noChangeAspect="1" noChangeArrowheads="1"/>
        </xdr:cNvSpPr>
      </xdr:nvSpPr>
      <xdr:spPr bwMode="auto">
        <a:xfrm>
          <a:off x="4114800" y="674751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387</xdr:row>
      <xdr:rowOff>0</xdr:rowOff>
    </xdr:from>
    <xdr:ext cx="152400" cy="157202"/>
    <xdr:sp macro="" textlink="">
      <xdr:nvSpPr>
        <xdr:cNvPr id="63" name="AutoShape 3" descr="NCBI Bookshelf">
          <a:extLst>
            <a:ext uri="{FF2B5EF4-FFF2-40B4-BE49-F238E27FC236}">
              <a16:creationId xmlns:a16="http://schemas.microsoft.com/office/drawing/2014/main" id="{5EFBD038-029B-4250-95E0-D8D5279B7A84}"/>
            </a:ext>
          </a:extLst>
        </xdr:cNvPr>
        <xdr:cNvSpPr>
          <a:spLocks noChangeAspect="1" noChangeArrowheads="1"/>
        </xdr:cNvSpPr>
      </xdr:nvSpPr>
      <xdr:spPr bwMode="auto">
        <a:xfrm>
          <a:off x="4114800" y="674751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703</xdr:row>
      <xdr:rowOff>0</xdr:rowOff>
    </xdr:from>
    <xdr:ext cx="152400" cy="157202"/>
    <xdr:sp macro="" textlink="">
      <xdr:nvSpPr>
        <xdr:cNvPr id="64" name="AutoShape 1" descr="PubMed Central (PMC)">
          <a:extLst>
            <a:ext uri="{FF2B5EF4-FFF2-40B4-BE49-F238E27FC236}">
              <a16:creationId xmlns:a16="http://schemas.microsoft.com/office/drawing/2014/main" id="{BE593EC3-2B70-4AF6-B8C5-DB23025F423D}"/>
            </a:ext>
          </a:extLst>
        </xdr:cNvPr>
        <xdr:cNvSpPr>
          <a:spLocks noChangeAspect="1" noChangeArrowheads="1"/>
        </xdr:cNvSpPr>
      </xdr:nvSpPr>
      <xdr:spPr bwMode="auto">
        <a:xfrm>
          <a:off x="58140600" y="12285726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703</xdr:row>
      <xdr:rowOff>0</xdr:rowOff>
    </xdr:from>
    <xdr:ext cx="152400" cy="157202"/>
    <xdr:sp macro="" textlink="">
      <xdr:nvSpPr>
        <xdr:cNvPr id="65" name="AutoShape 3" descr="NCBI Bookshelf">
          <a:extLst>
            <a:ext uri="{FF2B5EF4-FFF2-40B4-BE49-F238E27FC236}">
              <a16:creationId xmlns:a16="http://schemas.microsoft.com/office/drawing/2014/main" id="{97A61538-2B93-41E5-B388-E591E83A24CA}"/>
            </a:ext>
          </a:extLst>
        </xdr:cNvPr>
        <xdr:cNvSpPr>
          <a:spLocks noChangeAspect="1" noChangeArrowheads="1"/>
        </xdr:cNvSpPr>
      </xdr:nvSpPr>
      <xdr:spPr bwMode="auto">
        <a:xfrm>
          <a:off x="58140600" y="12285726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72</xdr:row>
      <xdr:rowOff>0</xdr:rowOff>
    </xdr:from>
    <xdr:ext cx="152400" cy="152400"/>
    <xdr:sp macro="" textlink="">
      <xdr:nvSpPr>
        <xdr:cNvPr id="66" name="AutoShape 1" descr="PubMed Central (PMC)">
          <a:extLst>
            <a:ext uri="{FF2B5EF4-FFF2-40B4-BE49-F238E27FC236}">
              <a16:creationId xmlns:a16="http://schemas.microsoft.com/office/drawing/2014/main" id="{B001E122-F95A-4AAF-9095-D74D4C45F2DC}"/>
            </a:ext>
          </a:extLst>
        </xdr:cNvPr>
        <xdr:cNvSpPr>
          <a:spLocks noChangeAspect="1" noChangeArrowheads="1"/>
        </xdr:cNvSpPr>
      </xdr:nvSpPr>
      <xdr:spPr bwMode="auto">
        <a:xfrm>
          <a:off x="4114800" y="1226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72</xdr:row>
      <xdr:rowOff>0</xdr:rowOff>
    </xdr:from>
    <xdr:ext cx="152400" cy="152400"/>
    <xdr:sp macro="" textlink="">
      <xdr:nvSpPr>
        <xdr:cNvPr id="67" name="AutoShape 3" descr="NCBI Bookshelf">
          <a:extLst>
            <a:ext uri="{FF2B5EF4-FFF2-40B4-BE49-F238E27FC236}">
              <a16:creationId xmlns:a16="http://schemas.microsoft.com/office/drawing/2014/main" id="{4FFA632B-166C-42E7-9A17-A2882572AC7D}"/>
            </a:ext>
          </a:extLst>
        </xdr:cNvPr>
        <xdr:cNvSpPr>
          <a:spLocks noChangeAspect="1" noChangeArrowheads="1"/>
        </xdr:cNvSpPr>
      </xdr:nvSpPr>
      <xdr:spPr bwMode="auto">
        <a:xfrm>
          <a:off x="4114800" y="1226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72</xdr:row>
      <xdr:rowOff>0</xdr:rowOff>
    </xdr:from>
    <xdr:ext cx="152400" cy="152400"/>
    <xdr:sp macro="" textlink="">
      <xdr:nvSpPr>
        <xdr:cNvPr id="68" name="AutoShape 1" descr="PubMed Central (PMC)">
          <a:extLst>
            <a:ext uri="{FF2B5EF4-FFF2-40B4-BE49-F238E27FC236}">
              <a16:creationId xmlns:a16="http://schemas.microsoft.com/office/drawing/2014/main" id="{99A834C0-5319-4727-AB06-60B0DFB1219C}"/>
            </a:ext>
          </a:extLst>
        </xdr:cNvPr>
        <xdr:cNvSpPr>
          <a:spLocks noChangeAspect="1" noChangeArrowheads="1"/>
        </xdr:cNvSpPr>
      </xdr:nvSpPr>
      <xdr:spPr bwMode="auto">
        <a:xfrm>
          <a:off x="4114800" y="1226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72</xdr:row>
      <xdr:rowOff>0</xdr:rowOff>
    </xdr:from>
    <xdr:ext cx="152400" cy="152400"/>
    <xdr:sp macro="" textlink="">
      <xdr:nvSpPr>
        <xdr:cNvPr id="69" name="AutoShape 3" descr="NCBI Bookshelf">
          <a:extLst>
            <a:ext uri="{FF2B5EF4-FFF2-40B4-BE49-F238E27FC236}">
              <a16:creationId xmlns:a16="http://schemas.microsoft.com/office/drawing/2014/main" id="{A55A0934-AC62-4F10-8934-32836305ED56}"/>
            </a:ext>
          </a:extLst>
        </xdr:cNvPr>
        <xdr:cNvSpPr>
          <a:spLocks noChangeAspect="1" noChangeArrowheads="1"/>
        </xdr:cNvSpPr>
      </xdr:nvSpPr>
      <xdr:spPr bwMode="auto">
        <a:xfrm>
          <a:off x="4114800" y="1226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72</xdr:row>
      <xdr:rowOff>0</xdr:rowOff>
    </xdr:from>
    <xdr:ext cx="152400" cy="152400"/>
    <xdr:sp macro="" textlink="">
      <xdr:nvSpPr>
        <xdr:cNvPr id="70" name="AutoShape 1" descr="PubMed Central (PMC)">
          <a:extLst>
            <a:ext uri="{FF2B5EF4-FFF2-40B4-BE49-F238E27FC236}">
              <a16:creationId xmlns:a16="http://schemas.microsoft.com/office/drawing/2014/main" id="{96233734-5A93-4FD4-BF28-275D498E5BF6}"/>
            </a:ext>
          </a:extLst>
        </xdr:cNvPr>
        <xdr:cNvSpPr>
          <a:spLocks noChangeAspect="1" noChangeArrowheads="1"/>
        </xdr:cNvSpPr>
      </xdr:nvSpPr>
      <xdr:spPr bwMode="auto">
        <a:xfrm>
          <a:off x="4114800" y="1226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72</xdr:row>
      <xdr:rowOff>0</xdr:rowOff>
    </xdr:from>
    <xdr:ext cx="152400" cy="152400"/>
    <xdr:sp macro="" textlink="">
      <xdr:nvSpPr>
        <xdr:cNvPr id="71" name="AutoShape 3" descr="NCBI Bookshelf">
          <a:extLst>
            <a:ext uri="{FF2B5EF4-FFF2-40B4-BE49-F238E27FC236}">
              <a16:creationId xmlns:a16="http://schemas.microsoft.com/office/drawing/2014/main" id="{333CB03A-5ED5-4B64-8568-B49E8284042B}"/>
            </a:ext>
          </a:extLst>
        </xdr:cNvPr>
        <xdr:cNvSpPr>
          <a:spLocks noChangeAspect="1" noChangeArrowheads="1"/>
        </xdr:cNvSpPr>
      </xdr:nvSpPr>
      <xdr:spPr bwMode="auto">
        <a:xfrm>
          <a:off x="4114800" y="1226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71</xdr:row>
      <xdr:rowOff>0</xdr:rowOff>
    </xdr:from>
    <xdr:ext cx="152400" cy="152400"/>
    <xdr:sp macro="" textlink="">
      <xdr:nvSpPr>
        <xdr:cNvPr id="72" name="AutoShape 1" descr="PubMed Central (PMC)">
          <a:extLst>
            <a:ext uri="{FF2B5EF4-FFF2-40B4-BE49-F238E27FC236}">
              <a16:creationId xmlns:a16="http://schemas.microsoft.com/office/drawing/2014/main" id="{03B2A5A4-51D5-4427-9EDA-65D9A678483F}"/>
            </a:ext>
          </a:extLst>
        </xdr:cNvPr>
        <xdr:cNvSpPr>
          <a:spLocks noChangeAspect="1" noChangeArrowheads="1"/>
        </xdr:cNvSpPr>
      </xdr:nvSpPr>
      <xdr:spPr bwMode="auto">
        <a:xfrm>
          <a:off x="7901940" y="12092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71</xdr:row>
      <xdr:rowOff>0</xdr:rowOff>
    </xdr:from>
    <xdr:ext cx="152400" cy="152400"/>
    <xdr:sp macro="" textlink="">
      <xdr:nvSpPr>
        <xdr:cNvPr id="73" name="AutoShape 3" descr="NCBI Bookshelf">
          <a:extLst>
            <a:ext uri="{FF2B5EF4-FFF2-40B4-BE49-F238E27FC236}">
              <a16:creationId xmlns:a16="http://schemas.microsoft.com/office/drawing/2014/main" id="{43F752B3-F3D0-4B17-9063-1C2EE7375AC1}"/>
            </a:ext>
          </a:extLst>
        </xdr:cNvPr>
        <xdr:cNvSpPr>
          <a:spLocks noChangeAspect="1" noChangeArrowheads="1"/>
        </xdr:cNvSpPr>
      </xdr:nvSpPr>
      <xdr:spPr bwMode="auto">
        <a:xfrm>
          <a:off x="7901940" y="12092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71</xdr:row>
      <xdr:rowOff>0</xdr:rowOff>
    </xdr:from>
    <xdr:ext cx="152400" cy="152400"/>
    <xdr:sp macro="" textlink="">
      <xdr:nvSpPr>
        <xdr:cNvPr id="74" name="AutoShape 1" descr="PubMed Central (PMC)">
          <a:extLst>
            <a:ext uri="{FF2B5EF4-FFF2-40B4-BE49-F238E27FC236}">
              <a16:creationId xmlns:a16="http://schemas.microsoft.com/office/drawing/2014/main" id="{7829393C-615D-4B4D-B9B9-6B2B573ABAFA}"/>
            </a:ext>
          </a:extLst>
        </xdr:cNvPr>
        <xdr:cNvSpPr>
          <a:spLocks noChangeAspect="1" noChangeArrowheads="1"/>
        </xdr:cNvSpPr>
      </xdr:nvSpPr>
      <xdr:spPr bwMode="auto">
        <a:xfrm>
          <a:off x="7901940" y="12092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71</xdr:row>
      <xdr:rowOff>0</xdr:rowOff>
    </xdr:from>
    <xdr:ext cx="152400" cy="152400"/>
    <xdr:sp macro="" textlink="">
      <xdr:nvSpPr>
        <xdr:cNvPr id="75" name="AutoShape 3" descr="NCBI Bookshelf">
          <a:extLst>
            <a:ext uri="{FF2B5EF4-FFF2-40B4-BE49-F238E27FC236}">
              <a16:creationId xmlns:a16="http://schemas.microsoft.com/office/drawing/2014/main" id="{DD3D7B35-95E1-4E5E-B449-77A6E457E9ED}"/>
            </a:ext>
          </a:extLst>
        </xdr:cNvPr>
        <xdr:cNvSpPr>
          <a:spLocks noChangeAspect="1" noChangeArrowheads="1"/>
        </xdr:cNvSpPr>
      </xdr:nvSpPr>
      <xdr:spPr bwMode="auto">
        <a:xfrm>
          <a:off x="7901940" y="12092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71</xdr:row>
      <xdr:rowOff>0</xdr:rowOff>
    </xdr:from>
    <xdr:ext cx="152400" cy="152400"/>
    <xdr:sp macro="" textlink="">
      <xdr:nvSpPr>
        <xdr:cNvPr id="76" name="AutoShape 1" descr="PubMed Central (PMC)">
          <a:extLst>
            <a:ext uri="{FF2B5EF4-FFF2-40B4-BE49-F238E27FC236}">
              <a16:creationId xmlns:a16="http://schemas.microsoft.com/office/drawing/2014/main" id="{60B90670-2953-4FAE-B302-D7AAD9073EC3}"/>
            </a:ext>
          </a:extLst>
        </xdr:cNvPr>
        <xdr:cNvSpPr>
          <a:spLocks noChangeAspect="1" noChangeArrowheads="1"/>
        </xdr:cNvSpPr>
      </xdr:nvSpPr>
      <xdr:spPr bwMode="auto">
        <a:xfrm>
          <a:off x="7901940" y="12092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71</xdr:row>
      <xdr:rowOff>0</xdr:rowOff>
    </xdr:from>
    <xdr:ext cx="152400" cy="152400"/>
    <xdr:sp macro="" textlink="">
      <xdr:nvSpPr>
        <xdr:cNvPr id="77" name="AutoShape 3" descr="NCBI Bookshelf">
          <a:extLst>
            <a:ext uri="{FF2B5EF4-FFF2-40B4-BE49-F238E27FC236}">
              <a16:creationId xmlns:a16="http://schemas.microsoft.com/office/drawing/2014/main" id="{ADD87640-142B-42CD-A2A3-F9F0B247032B}"/>
            </a:ext>
          </a:extLst>
        </xdr:cNvPr>
        <xdr:cNvSpPr>
          <a:spLocks noChangeAspect="1" noChangeArrowheads="1"/>
        </xdr:cNvSpPr>
      </xdr:nvSpPr>
      <xdr:spPr bwMode="auto">
        <a:xfrm>
          <a:off x="7901940" y="12092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326</xdr:row>
      <xdr:rowOff>0</xdr:rowOff>
    </xdr:from>
    <xdr:ext cx="152400" cy="152400"/>
    <xdr:sp macro="" textlink="">
      <xdr:nvSpPr>
        <xdr:cNvPr id="78" name="AutoShape 1" descr="PubMed Central (PMC)">
          <a:extLst>
            <a:ext uri="{FF2B5EF4-FFF2-40B4-BE49-F238E27FC236}">
              <a16:creationId xmlns:a16="http://schemas.microsoft.com/office/drawing/2014/main" id="{2D0360BD-509C-4A55-B4D7-739137C4C9E6}"/>
            </a:ext>
          </a:extLst>
        </xdr:cNvPr>
        <xdr:cNvSpPr>
          <a:spLocks noChangeAspect="1" noChangeArrowheads="1"/>
        </xdr:cNvSpPr>
      </xdr:nvSpPr>
      <xdr:spPr bwMode="auto">
        <a:xfrm>
          <a:off x="3429000" y="567842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326</xdr:row>
      <xdr:rowOff>0</xdr:rowOff>
    </xdr:from>
    <xdr:ext cx="152400" cy="152400"/>
    <xdr:sp macro="" textlink="">
      <xdr:nvSpPr>
        <xdr:cNvPr id="79" name="AutoShape 3" descr="NCBI Bookshelf">
          <a:extLst>
            <a:ext uri="{FF2B5EF4-FFF2-40B4-BE49-F238E27FC236}">
              <a16:creationId xmlns:a16="http://schemas.microsoft.com/office/drawing/2014/main" id="{7CB8EEEB-5F80-4C42-BBBC-3C04B2A38E76}"/>
            </a:ext>
          </a:extLst>
        </xdr:cNvPr>
        <xdr:cNvSpPr>
          <a:spLocks noChangeAspect="1" noChangeArrowheads="1"/>
        </xdr:cNvSpPr>
      </xdr:nvSpPr>
      <xdr:spPr bwMode="auto">
        <a:xfrm>
          <a:off x="3429000" y="567842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320</xdr:row>
      <xdr:rowOff>0</xdr:rowOff>
    </xdr:from>
    <xdr:ext cx="152400" cy="152400"/>
    <xdr:sp macro="" textlink="">
      <xdr:nvSpPr>
        <xdr:cNvPr id="80" name="AutoShape 1" descr="PubMed Central (PMC)">
          <a:extLst>
            <a:ext uri="{FF2B5EF4-FFF2-40B4-BE49-F238E27FC236}">
              <a16:creationId xmlns:a16="http://schemas.microsoft.com/office/drawing/2014/main" id="{07E4AFBB-D125-4AFB-BFC7-0CE14A776C45}"/>
            </a:ext>
          </a:extLst>
        </xdr:cNvPr>
        <xdr:cNvSpPr>
          <a:spLocks noChangeAspect="1" noChangeArrowheads="1"/>
        </xdr:cNvSpPr>
      </xdr:nvSpPr>
      <xdr:spPr bwMode="auto">
        <a:xfrm>
          <a:off x="3429000" y="55732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320</xdr:row>
      <xdr:rowOff>0</xdr:rowOff>
    </xdr:from>
    <xdr:ext cx="152400" cy="152400"/>
    <xdr:sp macro="" textlink="">
      <xdr:nvSpPr>
        <xdr:cNvPr id="81" name="AutoShape 3" descr="NCBI Bookshelf">
          <a:extLst>
            <a:ext uri="{FF2B5EF4-FFF2-40B4-BE49-F238E27FC236}">
              <a16:creationId xmlns:a16="http://schemas.microsoft.com/office/drawing/2014/main" id="{5372F05F-896D-46B7-B010-131703F0DD4D}"/>
            </a:ext>
          </a:extLst>
        </xdr:cNvPr>
        <xdr:cNvSpPr>
          <a:spLocks noChangeAspect="1" noChangeArrowheads="1"/>
        </xdr:cNvSpPr>
      </xdr:nvSpPr>
      <xdr:spPr bwMode="auto">
        <a:xfrm>
          <a:off x="3429000" y="55732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317</xdr:row>
      <xdr:rowOff>0</xdr:rowOff>
    </xdr:from>
    <xdr:ext cx="152400" cy="152400"/>
    <xdr:sp macro="" textlink="">
      <xdr:nvSpPr>
        <xdr:cNvPr id="82" name="AutoShape 1" descr="PubMed Central (PMC)">
          <a:extLst>
            <a:ext uri="{FF2B5EF4-FFF2-40B4-BE49-F238E27FC236}">
              <a16:creationId xmlns:a16="http://schemas.microsoft.com/office/drawing/2014/main" id="{A9F30781-6E0E-4152-B221-12C51E4E9364}"/>
            </a:ext>
          </a:extLst>
        </xdr:cNvPr>
        <xdr:cNvSpPr>
          <a:spLocks noChangeAspect="1" noChangeArrowheads="1"/>
        </xdr:cNvSpPr>
      </xdr:nvSpPr>
      <xdr:spPr bwMode="auto">
        <a:xfrm>
          <a:off x="3429000" y="5520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317</xdr:row>
      <xdr:rowOff>0</xdr:rowOff>
    </xdr:from>
    <xdr:ext cx="152400" cy="152400"/>
    <xdr:sp macro="" textlink="">
      <xdr:nvSpPr>
        <xdr:cNvPr id="83" name="AutoShape 3" descr="NCBI Bookshelf">
          <a:extLst>
            <a:ext uri="{FF2B5EF4-FFF2-40B4-BE49-F238E27FC236}">
              <a16:creationId xmlns:a16="http://schemas.microsoft.com/office/drawing/2014/main" id="{8A7642E9-32FC-4652-B4BF-DFA63654A342}"/>
            </a:ext>
          </a:extLst>
        </xdr:cNvPr>
        <xdr:cNvSpPr>
          <a:spLocks noChangeAspect="1" noChangeArrowheads="1"/>
        </xdr:cNvSpPr>
      </xdr:nvSpPr>
      <xdr:spPr bwMode="auto">
        <a:xfrm>
          <a:off x="3429000" y="5520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323</xdr:row>
      <xdr:rowOff>0</xdr:rowOff>
    </xdr:from>
    <xdr:ext cx="152400" cy="152400"/>
    <xdr:sp macro="" textlink="">
      <xdr:nvSpPr>
        <xdr:cNvPr id="84" name="AutoShape 1" descr="PubMed Central (PMC)">
          <a:extLst>
            <a:ext uri="{FF2B5EF4-FFF2-40B4-BE49-F238E27FC236}">
              <a16:creationId xmlns:a16="http://schemas.microsoft.com/office/drawing/2014/main" id="{37103AB6-F3B6-479D-ABA3-0BC0AC3FF322}"/>
            </a:ext>
          </a:extLst>
        </xdr:cNvPr>
        <xdr:cNvSpPr>
          <a:spLocks noChangeAspect="1" noChangeArrowheads="1"/>
        </xdr:cNvSpPr>
      </xdr:nvSpPr>
      <xdr:spPr bwMode="auto">
        <a:xfrm>
          <a:off x="3429000" y="56258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323</xdr:row>
      <xdr:rowOff>0</xdr:rowOff>
    </xdr:from>
    <xdr:ext cx="152400" cy="152400"/>
    <xdr:sp macro="" textlink="">
      <xdr:nvSpPr>
        <xdr:cNvPr id="85" name="AutoShape 3" descr="NCBI Bookshelf">
          <a:extLst>
            <a:ext uri="{FF2B5EF4-FFF2-40B4-BE49-F238E27FC236}">
              <a16:creationId xmlns:a16="http://schemas.microsoft.com/office/drawing/2014/main" id="{9DFB07A6-4FF5-47B0-9860-43D984950229}"/>
            </a:ext>
          </a:extLst>
        </xdr:cNvPr>
        <xdr:cNvSpPr>
          <a:spLocks noChangeAspect="1" noChangeArrowheads="1"/>
        </xdr:cNvSpPr>
      </xdr:nvSpPr>
      <xdr:spPr bwMode="auto">
        <a:xfrm>
          <a:off x="3429000" y="56258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318</xdr:row>
      <xdr:rowOff>0</xdr:rowOff>
    </xdr:from>
    <xdr:ext cx="152400" cy="152400"/>
    <xdr:sp macro="" textlink="">
      <xdr:nvSpPr>
        <xdr:cNvPr id="86" name="AutoShape 1" descr="PubMed Central (PMC)">
          <a:extLst>
            <a:ext uri="{FF2B5EF4-FFF2-40B4-BE49-F238E27FC236}">
              <a16:creationId xmlns:a16="http://schemas.microsoft.com/office/drawing/2014/main" id="{24C800B3-01B4-40FC-B863-0FD388F0E5A8}"/>
            </a:ext>
          </a:extLst>
        </xdr:cNvPr>
        <xdr:cNvSpPr>
          <a:spLocks noChangeAspect="1" noChangeArrowheads="1"/>
        </xdr:cNvSpPr>
      </xdr:nvSpPr>
      <xdr:spPr bwMode="auto">
        <a:xfrm>
          <a:off x="3429000" y="55382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318</xdr:row>
      <xdr:rowOff>0</xdr:rowOff>
    </xdr:from>
    <xdr:ext cx="152400" cy="152400"/>
    <xdr:sp macro="" textlink="">
      <xdr:nvSpPr>
        <xdr:cNvPr id="87" name="AutoShape 3" descr="NCBI Bookshelf">
          <a:extLst>
            <a:ext uri="{FF2B5EF4-FFF2-40B4-BE49-F238E27FC236}">
              <a16:creationId xmlns:a16="http://schemas.microsoft.com/office/drawing/2014/main" id="{2A1EBB36-2969-47D5-933E-B331192435C5}"/>
            </a:ext>
          </a:extLst>
        </xdr:cNvPr>
        <xdr:cNvSpPr>
          <a:spLocks noChangeAspect="1" noChangeArrowheads="1"/>
        </xdr:cNvSpPr>
      </xdr:nvSpPr>
      <xdr:spPr bwMode="auto">
        <a:xfrm>
          <a:off x="3429000" y="55382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326</xdr:row>
      <xdr:rowOff>0</xdr:rowOff>
    </xdr:from>
    <xdr:ext cx="152400" cy="152400"/>
    <xdr:sp macro="" textlink="">
      <xdr:nvSpPr>
        <xdr:cNvPr id="88" name="AutoShape 1" descr="PubMed Central (PMC)">
          <a:extLst>
            <a:ext uri="{FF2B5EF4-FFF2-40B4-BE49-F238E27FC236}">
              <a16:creationId xmlns:a16="http://schemas.microsoft.com/office/drawing/2014/main" id="{2FA8505C-300C-479B-A372-C2263C9708FB}"/>
            </a:ext>
          </a:extLst>
        </xdr:cNvPr>
        <xdr:cNvSpPr>
          <a:spLocks noChangeAspect="1" noChangeArrowheads="1"/>
        </xdr:cNvSpPr>
      </xdr:nvSpPr>
      <xdr:spPr bwMode="auto">
        <a:xfrm>
          <a:off x="3429000" y="567842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326</xdr:row>
      <xdr:rowOff>0</xdr:rowOff>
    </xdr:from>
    <xdr:ext cx="152400" cy="152400"/>
    <xdr:sp macro="" textlink="">
      <xdr:nvSpPr>
        <xdr:cNvPr id="89" name="AutoShape 3" descr="NCBI Bookshelf">
          <a:extLst>
            <a:ext uri="{FF2B5EF4-FFF2-40B4-BE49-F238E27FC236}">
              <a16:creationId xmlns:a16="http://schemas.microsoft.com/office/drawing/2014/main" id="{D82809CC-91B5-409B-9151-5385FF9286B9}"/>
            </a:ext>
          </a:extLst>
        </xdr:cNvPr>
        <xdr:cNvSpPr>
          <a:spLocks noChangeAspect="1" noChangeArrowheads="1"/>
        </xdr:cNvSpPr>
      </xdr:nvSpPr>
      <xdr:spPr bwMode="auto">
        <a:xfrm>
          <a:off x="3429000" y="567842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52</xdr:row>
      <xdr:rowOff>0</xdr:rowOff>
    </xdr:from>
    <xdr:ext cx="152400" cy="152400"/>
    <xdr:sp macro="" textlink="">
      <xdr:nvSpPr>
        <xdr:cNvPr id="90" name="AutoShape 1" descr="PubMed Central (PMC)">
          <a:extLst>
            <a:ext uri="{FF2B5EF4-FFF2-40B4-BE49-F238E27FC236}">
              <a16:creationId xmlns:a16="http://schemas.microsoft.com/office/drawing/2014/main" id="{BD3CDCAA-E7B2-45CD-97B9-5B1DA7D25138}"/>
            </a:ext>
          </a:extLst>
        </xdr:cNvPr>
        <xdr:cNvSpPr>
          <a:spLocks noChangeAspect="1" noChangeArrowheads="1"/>
        </xdr:cNvSpPr>
      </xdr:nvSpPr>
      <xdr:spPr bwMode="auto">
        <a:xfrm>
          <a:off x="3429000" y="8763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52</xdr:row>
      <xdr:rowOff>0</xdr:rowOff>
    </xdr:from>
    <xdr:ext cx="152400" cy="152400"/>
    <xdr:sp macro="" textlink="">
      <xdr:nvSpPr>
        <xdr:cNvPr id="91" name="AutoShape 3" descr="NCBI Bookshelf">
          <a:extLst>
            <a:ext uri="{FF2B5EF4-FFF2-40B4-BE49-F238E27FC236}">
              <a16:creationId xmlns:a16="http://schemas.microsoft.com/office/drawing/2014/main" id="{0360AEC3-410E-4AAB-B397-DA056D414F06}"/>
            </a:ext>
          </a:extLst>
        </xdr:cNvPr>
        <xdr:cNvSpPr>
          <a:spLocks noChangeAspect="1" noChangeArrowheads="1"/>
        </xdr:cNvSpPr>
      </xdr:nvSpPr>
      <xdr:spPr bwMode="auto">
        <a:xfrm>
          <a:off x="3429000" y="8763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339</xdr:row>
      <xdr:rowOff>0</xdr:rowOff>
    </xdr:from>
    <xdr:ext cx="152400" cy="152400"/>
    <xdr:sp macro="" textlink="">
      <xdr:nvSpPr>
        <xdr:cNvPr id="92" name="AutoShape 1" descr="PubMed Central (PMC)">
          <a:extLst>
            <a:ext uri="{FF2B5EF4-FFF2-40B4-BE49-F238E27FC236}">
              <a16:creationId xmlns:a16="http://schemas.microsoft.com/office/drawing/2014/main" id="{6BC0A87D-1F09-4F5A-9016-D4D0CC561DC2}"/>
            </a:ext>
          </a:extLst>
        </xdr:cNvPr>
        <xdr:cNvSpPr>
          <a:spLocks noChangeAspect="1" noChangeArrowheads="1"/>
        </xdr:cNvSpPr>
      </xdr:nvSpPr>
      <xdr:spPr bwMode="auto">
        <a:xfrm>
          <a:off x="3429000" y="59062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339</xdr:row>
      <xdr:rowOff>0</xdr:rowOff>
    </xdr:from>
    <xdr:ext cx="152400" cy="152400"/>
    <xdr:sp macro="" textlink="">
      <xdr:nvSpPr>
        <xdr:cNvPr id="93" name="AutoShape 3" descr="NCBI Bookshelf">
          <a:extLst>
            <a:ext uri="{FF2B5EF4-FFF2-40B4-BE49-F238E27FC236}">
              <a16:creationId xmlns:a16="http://schemas.microsoft.com/office/drawing/2014/main" id="{9DE13B26-865D-49AB-90A3-2556FB31DECB}"/>
            </a:ext>
          </a:extLst>
        </xdr:cNvPr>
        <xdr:cNvSpPr>
          <a:spLocks noChangeAspect="1" noChangeArrowheads="1"/>
        </xdr:cNvSpPr>
      </xdr:nvSpPr>
      <xdr:spPr bwMode="auto">
        <a:xfrm>
          <a:off x="3429000" y="59062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72</xdr:row>
      <xdr:rowOff>0</xdr:rowOff>
    </xdr:from>
    <xdr:ext cx="152400" cy="152400"/>
    <xdr:sp macro="" textlink="">
      <xdr:nvSpPr>
        <xdr:cNvPr id="94" name="AutoShape 1" descr="PubMed Central (PMC)">
          <a:extLst>
            <a:ext uri="{FF2B5EF4-FFF2-40B4-BE49-F238E27FC236}">
              <a16:creationId xmlns:a16="http://schemas.microsoft.com/office/drawing/2014/main" id="{C5538787-EDD0-482A-9061-656CA9C922EF}"/>
            </a:ext>
          </a:extLst>
        </xdr:cNvPr>
        <xdr:cNvSpPr>
          <a:spLocks noChangeAspect="1" noChangeArrowheads="1"/>
        </xdr:cNvSpPr>
      </xdr:nvSpPr>
      <xdr:spPr bwMode="auto">
        <a:xfrm>
          <a:off x="3429000" y="1226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72</xdr:row>
      <xdr:rowOff>0</xdr:rowOff>
    </xdr:from>
    <xdr:ext cx="152400" cy="152400"/>
    <xdr:sp macro="" textlink="">
      <xdr:nvSpPr>
        <xdr:cNvPr id="95" name="AutoShape 3" descr="NCBI Bookshelf">
          <a:extLst>
            <a:ext uri="{FF2B5EF4-FFF2-40B4-BE49-F238E27FC236}">
              <a16:creationId xmlns:a16="http://schemas.microsoft.com/office/drawing/2014/main" id="{72D9C29C-832A-41D1-AA7E-C379EAD08C84}"/>
            </a:ext>
          </a:extLst>
        </xdr:cNvPr>
        <xdr:cNvSpPr>
          <a:spLocks noChangeAspect="1" noChangeArrowheads="1"/>
        </xdr:cNvSpPr>
      </xdr:nvSpPr>
      <xdr:spPr bwMode="auto">
        <a:xfrm>
          <a:off x="3429000" y="1226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72</xdr:row>
      <xdr:rowOff>0</xdr:rowOff>
    </xdr:from>
    <xdr:ext cx="152400" cy="152400"/>
    <xdr:sp macro="" textlink="">
      <xdr:nvSpPr>
        <xdr:cNvPr id="96" name="AutoShape 1" descr="PubMed Central (PMC)">
          <a:extLst>
            <a:ext uri="{FF2B5EF4-FFF2-40B4-BE49-F238E27FC236}">
              <a16:creationId xmlns:a16="http://schemas.microsoft.com/office/drawing/2014/main" id="{09125A91-C693-44AD-A98C-7FFFF2EECEE3}"/>
            </a:ext>
          </a:extLst>
        </xdr:cNvPr>
        <xdr:cNvSpPr>
          <a:spLocks noChangeAspect="1" noChangeArrowheads="1"/>
        </xdr:cNvSpPr>
      </xdr:nvSpPr>
      <xdr:spPr bwMode="auto">
        <a:xfrm>
          <a:off x="3429000" y="1226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72</xdr:row>
      <xdr:rowOff>0</xdr:rowOff>
    </xdr:from>
    <xdr:ext cx="152400" cy="152400"/>
    <xdr:sp macro="" textlink="">
      <xdr:nvSpPr>
        <xdr:cNvPr id="97" name="AutoShape 3" descr="NCBI Bookshelf">
          <a:extLst>
            <a:ext uri="{FF2B5EF4-FFF2-40B4-BE49-F238E27FC236}">
              <a16:creationId xmlns:a16="http://schemas.microsoft.com/office/drawing/2014/main" id="{74A13E7F-CE85-494D-8999-1916696D3F1B}"/>
            </a:ext>
          </a:extLst>
        </xdr:cNvPr>
        <xdr:cNvSpPr>
          <a:spLocks noChangeAspect="1" noChangeArrowheads="1"/>
        </xdr:cNvSpPr>
      </xdr:nvSpPr>
      <xdr:spPr bwMode="auto">
        <a:xfrm>
          <a:off x="3429000" y="1226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72</xdr:row>
      <xdr:rowOff>0</xdr:rowOff>
    </xdr:from>
    <xdr:ext cx="152400" cy="152400"/>
    <xdr:sp macro="" textlink="">
      <xdr:nvSpPr>
        <xdr:cNvPr id="98" name="AutoShape 1" descr="PubMed Central (PMC)">
          <a:extLst>
            <a:ext uri="{FF2B5EF4-FFF2-40B4-BE49-F238E27FC236}">
              <a16:creationId xmlns:a16="http://schemas.microsoft.com/office/drawing/2014/main" id="{3795E8E3-99F1-4C22-85AF-A6E7DBE3BA61}"/>
            </a:ext>
          </a:extLst>
        </xdr:cNvPr>
        <xdr:cNvSpPr>
          <a:spLocks noChangeAspect="1" noChangeArrowheads="1"/>
        </xdr:cNvSpPr>
      </xdr:nvSpPr>
      <xdr:spPr bwMode="auto">
        <a:xfrm>
          <a:off x="3429000" y="1226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72</xdr:row>
      <xdr:rowOff>0</xdr:rowOff>
    </xdr:from>
    <xdr:ext cx="152400" cy="152400"/>
    <xdr:sp macro="" textlink="">
      <xdr:nvSpPr>
        <xdr:cNvPr id="99" name="AutoShape 3" descr="NCBI Bookshelf">
          <a:extLst>
            <a:ext uri="{FF2B5EF4-FFF2-40B4-BE49-F238E27FC236}">
              <a16:creationId xmlns:a16="http://schemas.microsoft.com/office/drawing/2014/main" id="{5CDA4554-08C5-4646-BC7E-A90E595E9EDF}"/>
            </a:ext>
          </a:extLst>
        </xdr:cNvPr>
        <xdr:cNvSpPr>
          <a:spLocks noChangeAspect="1" noChangeArrowheads="1"/>
        </xdr:cNvSpPr>
      </xdr:nvSpPr>
      <xdr:spPr bwMode="auto">
        <a:xfrm>
          <a:off x="3429000" y="12268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71</xdr:row>
      <xdr:rowOff>0</xdr:rowOff>
    </xdr:from>
    <xdr:ext cx="152400" cy="152400"/>
    <xdr:sp macro="" textlink="">
      <xdr:nvSpPr>
        <xdr:cNvPr id="100" name="AutoShape 1" descr="PubMed Central (PMC)">
          <a:extLst>
            <a:ext uri="{FF2B5EF4-FFF2-40B4-BE49-F238E27FC236}">
              <a16:creationId xmlns:a16="http://schemas.microsoft.com/office/drawing/2014/main" id="{42147CE5-CE7D-4498-A9C0-98CC02DEA031}"/>
            </a:ext>
          </a:extLst>
        </xdr:cNvPr>
        <xdr:cNvSpPr>
          <a:spLocks noChangeAspect="1" noChangeArrowheads="1"/>
        </xdr:cNvSpPr>
      </xdr:nvSpPr>
      <xdr:spPr bwMode="auto">
        <a:xfrm>
          <a:off x="3429000" y="12092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71</xdr:row>
      <xdr:rowOff>0</xdr:rowOff>
    </xdr:from>
    <xdr:ext cx="152400" cy="152400"/>
    <xdr:sp macro="" textlink="">
      <xdr:nvSpPr>
        <xdr:cNvPr id="101" name="AutoShape 3" descr="NCBI Bookshelf">
          <a:extLst>
            <a:ext uri="{FF2B5EF4-FFF2-40B4-BE49-F238E27FC236}">
              <a16:creationId xmlns:a16="http://schemas.microsoft.com/office/drawing/2014/main" id="{B7CC5116-AE95-4152-BF31-578196EA57DE}"/>
            </a:ext>
          </a:extLst>
        </xdr:cNvPr>
        <xdr:cNvSpPr>
          <a:spLocks noChangeAspect="1" noChangeArrowheads="1"/>
        </xdr:cNvSpPr>
      </xdr:nvSpPr>
      <xdr:spPr bwMode="auto">
        <a:xfrm>
          <a:off x="3429000" y="12092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71</xdr:row>
      <xdr:rowOff>0</xdr:rowOff>
    </xdr:from>
    <xdr:ext cx="152400" cy="152400"/>
    <xdr:sp macro="" textlink="">
      <xdr:nvSpPr>
        <xdr:cNvPr id="102" name="AutoShape 1" descr="PubMed Central (PMC)">
          <a:extLst>
            <a:ext uri="{FF2B5EF4-FFF2-40B4-BE49-F238E27FC236}">
              <a16:creationId xmlns:a16="http://schemas.microsoft.com/office/drawing/2014/main" id="{F150F8D5-DBEF-4834-895A-8BDFC45A6209}"/>
            </a:ext>
          </a:extLst>
        </xdr:cNvPr>
        <xdr:cNvSpPr>
          <a:spLocks noChangeAspect="1" noChangeArrowheads="1"/>
        </xdr:cNvSpPr>
      </xdr:nvSpPr>
      <xdr:spPr bwMode="auto">
        <a:xfrm>
          <a:off x="3429000" y="12092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71</xdr:row>
      <xdr:rowOff>0</xdr:rowOff>
    </xdr:from>
    <xdr:ext cx="152400" cy="152400"/>
    <xdr:sp macro="" textlink="">
      <xdr:nvSpPr>
        <xdr:cNvPr id="103" name="AutoShape 3" descr="NCBI Bookshelf">
          <a:extLst>
            <a:ext uri="{FF2B5EF4-FFF2-40B4-BE49-F238E27FC236}">
              <a16:creationId xmlns:a16="http://schemas.microsoft.com/office/drawing/2014/main" id="{AFEE766D-07DE-44D1-9601-5E5FB038FF54}"/>
            </a:ext>
          </a:extLst>
        </xdr:cNvPr>
        <xdr:cNvSpPr>
          <a:spLocks noChangeAspect="1" noChangeArrowheads="1"/>
        </xdr:cNvSpPr>
      </xdr:nvSpPr>
      <xdr:spPr bwMode="auto">
        <a:xfrm>
          <a:off x="3429000" y="12092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71</xdr:row>
      <xdr:rowOff>0</xdr:rowOff>
    </xdr:from>
    <xdr:ext cx="152400" cy="152400"/>
    <xdr:sp macro="" textlink="">
      <xdr:nvSpPr>
        <xdr:cNvPr id="104" name="AutoShape 1" descr="PubMed Central (PMC)">
          <a:extLst>
            <a:ext uri="{FF2B5EF4-FFF2-40B4-BE49-F238E27FC236}">
              <a16:creationId xmlns:a16="http://schemas.microsoft.com/office/drawing/2014/main" id="{96EECF51-6D4F-494F-9AD1-152DAE1CDBA3}"/>
            </a:ext>
          </a:extLst>
        </xdr:cNvPr>
        <xdr:cNvSpPr>
          <a:spLocks noChangeAspect="1" noChangeArrowheads="1"/>
        </xdr:cNvSpPr>
      </xdr:nvSpPr>
      <xdr:spPr bwMode="auto">
        <a:xfrm>
          <a:off x="3429000" y="12092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71</xdr:row>
      <xdr:rowOff>0</xdr:rowOff>
    </xdr:from>
    <xdr:ext cx="152400" cy="152400"/>
    <xdr:sp macro="" textlink="">
      <xdr:nvSpPr>
        <xdr:cNvPr id="105" name="AutoShape 3" descr="NCBI Bookshelf">
          <a:extLst>
            <a:ext uri="{FF2B5EF4-FFF2-40B4-BE49-F238E27FC236}">
              <a16:creationId xmlns:a16="http://schemas.microsoft.com/office/drawing/2014/main" id="{1BF253CF-A6EF-491D-9CCF-F41959A40A5D}"/>
            </a:ext>
          </a:extLst>
        </xdr:cNvPr>
        <xdr:cNvSpPr>
          <a:spLocks noChangeAspect="1" noChangeArrowheads="1"/>
        </xdr:cNvSpPr>
      </xdr:nvSpPr>
      <xdr:spPr bwMode="auto">
        <a:xfrm>
          <a:off x="3429000" y="12092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68</xdr:row>
      <xdr:rowOff>0</xdr:rowOff>
    </xdr:from>
    <xdr:ext cx="152400" cy="152400"/>
    <xdr:sp macro="" textlink="">
      <xdr:nvSpPr>
        <xdr:cNvPr id="106" name="AutoShape 1" descr="PubMed Central (PMC)">
          <a:extLst>
            <a:ext uri="{FF2B5EF4-FFF2-40B4-BE49-F238E27FC236}">
              <a16:creationId xmlns:a16="http://schemas.microsoft.com/office/drawing/2014/main" id="{8793210D-2D2B-44DA-A7C1-6ECA5E479CA0}"/>
            </a:ext>
          </a:extLst>
        </xdr:cNvPr>
        <xdr:cNvSpPr>
          <a:spLocks noChangeAspect="1" noChangeArrowheads="1"/>
        </xdr:cNvSpPr>
      </xdr:nvSpPr>
      <xdr:spPr bwMode="auto">
        <a:xfrm>
          <a:off x="3429000" y="11567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68</xdr:row>
      <xdr:rowOff>0</xdr:rowOff>
    </xdr:from>
    <xdr:ext cx="152400" cy="152400"/>
    <xdr:sp macro="" textlink="">
      <xdr:nvSpPr>
        <xdr:cNvPr id="107" name="AutoShape 3" descr="NCBI Bookshelf">
          <a:extLst>
            <a:ext uri="{FF2B5EF4-FFF2-40B4-BE49-F238E27FC236}">
              <a16:creationId xmlns:a16="http://schemas.microsoft.com/office/drawing/2014/main" id="{2566AD68-6414-4123-9872-E4577CCDCEDD}"/>
            </a:ext>
          </a:extLst>
        </xdr:cNvPr>
        <xdr:cNvSpPr>
          <a:spLocks noChangeAspect="1" noChangeArrowheads="1"/>
        </xdr:cNvSpPr>
      </xdr:nvSpPr>
      <xdr:spPr bwMode="auto">
        <a:xfrm>
          <a:off x="3429000" y="11567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387</xdr:row>
      <xdr:rowOff>0</xdr:rowOff>
    </xdr:from>
    <xdr:ext cx="152400" cy="157202"/>
    <xdr:sp macro="" textlink="">
      <xdr:nvSpPr>
        <xdr:cNvPr id="108" name="AutoShape 1" descr="PubMed Central (PMC)">
          <a:extLst>
            <a:ext uri="{FF2B5EF4-FFF2-40B4-BE49-F238E27FC236}">
              <a16:creationId xmlns:a16="http://schemas.microsoft.com/office/drawing/2014/main" id="{C3B8A178-965E-42F7-9018-42460987564F}"/>
            </a:ext>
          </a:extLst>
        </xdr:cNvPr>
        <xdr:cNvSpPr>
          <a:spLocks noChangeAspect="1" noChangeArrowheads="1"/>
        </xdr:cNvSpPr>
      </xdr:nvSpPr>
      <xdr:spPr bwMode="auto">
        <a:xfrm>
          <a:off x="3429000" y="674751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387</xdr:row>
      <xdr:rowOff>0</xdr:rowOff>
    </xdr:from>
    <xdr:ext cx="152400" cy="157202"/>
    <xdr:sp macro="" textlink="">
      <xdr:nvSpPr>
        <xdr:cNvPr id="109" name="AutoShape 3" descr="NCBI Bookshelf">
          <a:extLst>
            <a:ext uri="{FF2B5EF4-FFF2-40B4-BE49-F238E27FC236}">
              <a16:creationId xmlns:a16="http://schemas.microsoft.com/office/drawing/2014/main" id="{E468343D-3D67-47D5-A63D-AC2FD4CDEC3D}"/>
            </a:ext>
          </a:extLst>
        </xdr:cNvPr>
        <xdr:cNvSpPr>
          <a:spLocks noChangeAspect="1" noChangeArrowheads="1"/>
        </xdr:cNvSpPr>
      </xdr:nvSpPr>
      <xdr:spPr bwMode="auto">
        <a:xfrm>
          <a:off x="3429000" y="674751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389</xdr:row>
      <xdr:rowOff>0</xdr:rowOff>
    </xdr:from>
    <xdr:ext cx="152400" cy="157202"/>
    <xdr:sp macro="" textlink="">
      <xdr:nvSpPr>
        <xdr:cNvPr id="110" name="AutoShape 1" descr="PubMed Central (PMC)">
          <a:extLst>
            <a:ext uri="{FF2B5EF4-FFF2-40B4-BE49-F238E27FC236}">
              <a16:creationId xmlns:a16="http://schemas.microsoft.com/office/drawing/2014/main" id="{A04E710A-9D18-4668-8BEF-D12A4B9A4763}"/>
            </a:ext>
          </a:extLst>
        </xdr:cNvPr>
        <xdr:cNvSpPr>
          <a:spLocks noChangeAspect="1" noChangeArrowheads="1"/>
        </xdr:cNvSpPr>
      </xdr:nvSpPr>
      <xdr:spPr bwMode="auto">
        <a:xfrm>
          <a:off x="3429000" y="6782562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389</xdr:row>
      <xdr:rowOff>0</xdr:rowOff>
    </xdr:from>
    <xdr:ext cx="152400" cy="157202"/>
    <xdr:sp macro="" textlink="">
      <xdr:nvSpPr>
        <xdr:cNvPr id="111" name="AutoShape 3" descr="NCBI Bookshelf">
          <a:extLst>
            <a:ext uri="{FF2B5EF4-FFF2-40B4-BE49-F238E27FC236}">
              <a16:creationId xmlns:a16="http://schemas.microsoft.com/office/drawing/2014/main" id="{30185697-6440-4EFF-B08F-F7B1D16B39C4}"/>
            </a:ext>
          </a:extLst>
        </xdr:cNvPr>
        <xdr:cNvSpPr>
          <a:spLocks noChangeAspect="1" noChangeArrowheads="1"/>
        </xdr:cNvSpPr>
      </xdr:nvSpPr>
      <xdr:spPr bwMode="auto">
        <a:xfrm>
          <a:off x="3429000" y="6782562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703</xdr:row>
      <xdr:rowOff>0</xdr:rowOff>
    </xdr:from>
    <xdr:ext cx="152400" cy="157202"/>
    <xdr:sp macro="" textlink="">
      <xdr:nvSpPr>
        <xdr:cNvPr id="112" name="AutoShape 1" descr="PubMed Central (PMC)">
          <a:extLst>
            <a:ext uri="{FF2B5EF4-FFF2-40B4-BE49-F238E27FC236}">
              <a16:creationId xmlns:a16="http://schemas.microsoft.com/office/drawing/2014/main" id="{E5421B79-73FD-4893-AFD9-8BBC4CD110C8}"/>
            </a:ext>
          </a:extLst>
        </xdr:cNvPr>
        <xdr:cNvSpPr>
          <a:spLocks noChangeAspect="1" noChangeArrowheads="1"/>
        </xdr:cNvSpPr>
      </xdr:nvSpPr>
      <xdr:spPr bwMode="auto">
        <a:xfrm>
          <a:off x="3429000" y="12285726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703</xdr:row>
      <xdr:rowOff>0</xdr:rowOff>
    </xdr:from>
    <xdr:ext cx="152400" cy="157202"/>
    <xdr:sp macro="" textlink="">
      <xdr:nvSpPr>
        <xdr:cNvPr id="113" name="AutoShape 3" descr="NCBI Bookshelf">
          <a:extLst>
            <a:ext uri="{FF2B5EF4-FFF2-40B4-BE49-F238E27FC236}">
              <a16:creationId xmlns:a16="http://schemas.microsoft.com/office/drawing/2014/main" id="{7F58FDB2-9AA1-474D-9C55-AF008E9FCD22}"/>
            </a:ext>
          </a:extLst>
        </xdr:cNvPr>
        <xdr:cNvSpPr>
          <a:spLocks noChangeAspect="1" noChangeArrowheads="1"/>
        </xdr:cNvSpPr>
      </xdr:nvSpPr>
      <xdr:spPr bwMode="auto">
        <a:xfrm>
          <a:off x="3429000" y="12285726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xdr:row>
      <xdr:rowOff>0</xdr:rowOff>
    </xdr:from>
    <xdr:ext cx="152400" cy="152400"/>
    <xdr:sp macro="" textlink="">
      <xdr:nvSpPr>
        <xdr:cNvPr id="114" name="AutoShape 1" descr="PubMed Central (PMC)">
          <a:extLst>
            <a:ext uri="{FF2B5EF4-FFF2-40B4-BE49-F238E27FC236}">
              <a16:creationId xmlns:a16="http://schemas.microsoft.com/office/drawing/2014/main" id="{456DFE7D-CB7E-436F-B687-2E5D290558DA}"/>
            </a:ext>
          </a:extLst>
        </xdr:cNvPr>
        <xdr:cNvSpPr>
          <a:spLocks noChangeAspect="1" noChangeArrowheads="1"/>
        </xdr:cNvSpPr>
      </xdr:nvSpPr>
      <xdr:spPr bwMode="auto">
        <a:xfrm>
          <a:off x="41148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xdr:row>
      <xdr:rowOff>0</xdr:rowOff>
    </xdr:from>
    <xdr:ext cx="152400" cy="152400"/>
    <xdr:sp macro="" textlink="">
      <xdr:nvSpPr>
        <xdr:cNvPr id="115" name="AutoShape 3" descr="NCBI Bookshelf">
          <a:extLst>
            <a:ext uri="{FF2B5EF4-FFF2-40B4-BE49-F238E27FC236}">
              <a16:creationId xmlns:a16="http://schemas.microsoft.com/office/drawing/2014/main" id="{BC04C625-2B50-4FF4-ABD3-EAE403C19388}"/>
            </a:ext>
          </a:extLst>
        </xdr:cNvPr>
        <xdr:cNvSpPr>
          <a:spLocks noChangeAspect="1" noChangeArrowheads="1"/>
        </xdr:cNvSpPr>
      </xdr:nvSpPr>
      <xdr:spPr bwMode="auto">
        <a:xfrm>
          <a:off x="41148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198</xdr:row>
      <xdr:rowOff>0</xdr:rowOff>
    </xdr:from>
    <xdr:ext cx="152400" cy="157202"/>
    <xdr:sp macro="" textlink="">
      <xdr:nvSpPr>
        <xdr:cNvPr id="116" name="AutoShape 1" descr="PubMed Central (PMC)">
          <a:extLst>
            <a:ext uri="{FF2B5EF4-FFF2-40B4-BE49-F238E27FC236}">
              <a16:creationId xmlns:a16="http://schemas.microsoft.com/office/drawing/2014/main" id="{AEB2AFCF-F1DC-433F-86DC-EEEE7752DF5A}"/>
            </a:ext>
          </a:extLst>
        </xdr:cNvPr>
        <xdr:cNvSpPr>
          <a:spLocks noChangeAspect="1" noChangeArrowheads="1"/>
        </xdr:cNvSpPr>
      </xdr:nvSpPr>
      <xdr:spPr bwMode="auto">
        <a:xfrm>
          <a:off x="4114800" y="3435096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198</xdr:row>
      <xdr:rowOff>0</xdr:rowOff>
    </xdr:from>
    <xdr:ext cx="152400" cy="157202"/>
    <xdr:sp macro="" textlink="">
      <xdr:nvSpPr>
        <xdr:cNvPr id="117" name="AutoShape 3" descr="NCBI Bookshelf">
          <a:extLst>
            <a:ext uri="{FF2B5EF4-FFF2-40B4-BE49-F238E27FC236}">
              <a16:creationId xmlns:a16="http://schemas.microsoft.com/office/drawing/2014/main" id="{76EC1422-88C5-4A13-9EAB-64C896207B42}"/>
            </a:ext>
          </a:extLst>
        </xdr:cNvPr>
        <xdr:cNvSpPr>
          <a:spLocks noChangeAspect="1" noChangeArrowheads="1"/>
        </xdr:cNvSpPr>
      </xdr:nvSpPr>
      <xdr:spPr bwMode="auto">
        <a:xfrm>
          <a:off x="4114800" y="3435096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95</xdr:row>
      <xdr:rowOff>0</xdr:rowOff>
    </xdr:from>
    <xdr:ext cx="152400" cy="152400"/>
    <xdr:sp macro="" textlink="">
      <xdr:nvSpPr>
        <xdr:cNvPr id="118" name="AutoShape 1" descr="PubMed Central (PMC)">
          <a:extLst>
            <a:ext uri="{FF2B5EF4-FFF2-40B4-BE49-F238E27FC236}">
              <a16:creationId xmlns:a16="http://schemas.microsoft.com/office/drawing/2014/main" id="{F3B85249-0308-4B74-8F27-D46461D5221C}"/>
            </a:ext>
          </a:extLst>
        </xdr:cNvPr>
        <xdr:cNvSpPr>
          <a:spLocks noChangeAspect="1" noChangeArrowheads="1"/>
        </xdr:cNvSpPr>
      </xdr:nvSpPr>
      <xdr:spPr bwMode="auto">
        <a:xfrm>
          <a:off x="4114800" y="16299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95</xdr:row>
      <xdr:rowOff>0</xdr:rowOff>
    </xdr:from>
    <xdr:ext cx="152400" cy="152400"/>
    <xdr:sp macro="" textlink="">
      <xdr:nvSpPr>
        <xdr:cNvPr id="119" name="AutoShape 3" descr="NCBI Bookshelf">
          <a:extLst>
            <a:ext uri="{FF2B5EF4-FFF2-40B4-BE49-F238E27FC236}">
              <a16:creationId xmlns:a16="http://schemas.microsoft.com/office/drawing/2014/main" id="{06F0BE88-9248-4A68-99B7-465C5BDA2C87}"/>
            </a:ext>
          </a:extLst>
        </xdr:cNvPr>
        <xdr:cNvSpPr>
          <a:spLocks noChangeAspect="1" noChangeArrowheads="1"/>
        </xdr:cNvSpPr>
      </xdr:nvSpPr>
      <xdr:spPr bwMode="auto">
        <a:xfrm>
          <a:off x="4114800" y="16299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299</xdr:row>
      <xdr:rowOff>0</xdr:rowOff>
    </xdr:from>
    <xdr:ext cx="152400" cy="152400"/>
    <xdr:sp macro="" textlink="">
      <xdr:nvSpPr>
        <xdr:cNvPr id="120" name="AutoShape 1" descr="PubMed Central (PMC)">
          <a:extLst>
            <a:ext uri="{FF2B5EF4-FFF2-40B4-BE49-F238E27FC236}">
              <a16:creationId xmlns:a16="http://schemas.microsoft.com/office/drawing/2014/main" id="{5DC4321B-B0A9-4F18-B104-15AD1AA139CC}"/>
            </a:ext>
          </a:extLst>
        </xdr:cNvPr>
        <xdr:cNvSpPr>
          <a:spLocks noChangeAspect="1" noChangeArrowheads="1"/>
        </xdr:cNvSpPr>
      </xdr:nvSpPr>
      <xdr:spPr bwMode="auto">
        <a:xfrm>
          <a:off x="4114800" y="52052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299</xdr:row>
      <xdr:rowOff>0</xdr:rowOff>
    </xdr:from>
    <xdr:ext cx="152400" cy="152400"/>
    <xdr:sp macro="" textlink="">
      <xdr:nvSpPr>
        <xdr:cNvPr id="121" name="AutoShape 3" descr="NCBI Bookshelf">
          <a:extLst>
            <a:ext uri="{FF2B5EF4-FFF2-40B4-BE49-F238E27FC236}">
              <a16:creationId xmlns:a16="http://schemas.microsoft.com/office/drawing/2014/main" id="{DB425EC0-04F4-4CA9-986C-DDB30F9DB043}"/>
            </a:ext>
          </a:extLst>
        </xdr:cNvPr>
        <xdr:cNvSpPr>
          <a:spLocks noChangeAspect="1" noChangeArrowheads="1"/>
        </xdr:cNvSpPr>
      </xdr:nvSpPr>
      <xdr:spPr bwMode="auto">
        <a:xfrm>
          <a:off x="4114800" y="52052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614</xdr:row>
      <xdr:rowOff>0</xdr:rowOff>
    </xdr:from>
    <xdr:ext cx="152400" cy="152400"/>
    <xdr:sp macro="" textlink="">
      <xdr:nvSpPr>
        <xdr:cNvPr id="122" name="AutoShape 1" descr="PubMed Central (PMC)">
          <a:extLst>
            <a:ext uri="{FF2B5EF4-FFF2-40B4-BE49-F238E27FC236}">
              <a16:creationId xmlns:a16="http://schemas.microsoft.com/office/drawing/2014/main" id="{67F9ABD2-57D4-45BB-8F40-D0F956A9EA24}"/>
            </a:ext>
          </a:extLst>
        </xdr:cNvPr>
        <xdr:cNvSpPr>
          <a:spLocks noChangeAspect="1" noChangeArrowheads="1"/>
        </xdr:cNvSpPr>
      </xdr:nvSpPr>
      <xdr:spPr bwMode="auto">
        <a:xfrm>
          <a:off x="4114800" y="107259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614</xdr:row>
      <xdr:rowOff>0</xdr:rowOff>
    </xdr:from>
    <xdr:ext cx="152400" cy="152400"/>
    <xdr:sp macro="" textlink="">
      <xdr:nvSpPr>
        <xdr:cNvPr id="123" name="AutoShape 3" descr="NCBI Bookshelf">
          <a:extLst>
            <a:ext uri="{FF2B5EF4-FFF2-40B4-BE49-F238E27FC236}">
              <a16:creationId xmlns:a16="http://schemas.microsoft.com/office/drawing/2014/main" id="{5EF9D0E0-5312-494E-B1F8-C22BB2C43B4A}"/>
            </a:ext>
          </a:extLst>
        </xdr:cNvPr>
        <xdr:cNvSpPr>
          <a:spLocks noChangeAspect="1" noChangeArrowheads="1"/>
        </xdr:cNvSpPr>
      </xdr:nvSpPr>
      <xdr:spPr bwMode="auto">
        <a:xfrm>
          <a:off x="4114800" y="107259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252</xdr:row>
      <xdr:rowOff>0</xdr:rowOff>
    </xdr:from>
    <xdr:ext cx="152400" cy="157202"/>
    <xdr:sp macro="" textlink="">
      <xdr:nvSpPr>
        <xdr:cNvPr id="124" name="AutoShape 1" descr="PubMed Central (PMC)">
          <a:extLst>
            <a:ext uri="{FF2B5EF4-FFF2-40B4-BE49-F238E27FC236}">
              <a16:creationId xmlns:a16="http://schemas.microsoft.com/office/drawing/2014/main" id="{2305793F-8A1B-4EAA-848C-656CBB8DE51B}"/>
            </a:ext>
          </a:extLst>
        </xdr:cNvPr>
        <xdr:cNvSpPr>
          <a:spLocks noChangeAspect="1" noChangeArrowheads="1"/>
        </xdr:cNvSpPr>
      </xdr:nvSpPr>
      <xdr:spPr bwMode="auto">
        <a:xfrm>
          <a:off x="4114800" y="438150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252</xdr:row>
      <xdr:rowOff>0</xdr:rowOff>
    </xdr:from>
    <xdr:ext cx="152400" cy="157202"/>
    <xdr:sp macro="" textlink="">
      <xdr:nvSpPr>
        <xdr:cNvPr id="125" name="AutoShape 3" descr="NCBI Bookshelf">
          <a:extLst>
            <a:ext uri="{FF2B5EF4-FFF2-40B4-BE49-F238E27FC236}">
              <a16:creationId xmlns:a16="http://schemas.microsoft.com/office/drawing/2014/main" id="{00721EBF-7467-4BF0-8E6B-65FCB6DB63DA}"/>
            </a:ext>
          </a:extLst>
        </xdr:cNvPr>
        <xdr:cNvSpPr>
          <a:spLocks noChangeAspect="1" noChangeArrowheads="1"/>
        </xdr:cNvSpPr>
      </xdr:nvSpPr>
      <xdr:spPr bwMode="auto">
        <a:xfrm>
          <a:off x="4114800" y="438150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198</xdr:row>
      <xdr:rowOff>0</xdr:rowOff>
    </xdr:from>
    <xdr:ext cx="152400" cy="157202"/>
    <xdr:sp macro="" textlink="">
      <xdr:nvSpPr>
        <xdr:cNvPr id="126" name="AutoShape 1" descr="PubMed Central (PMC)">
          <a:extLst>
            <a:ext uri="{FF2B5EF4-FFF2-40B4-BE49-F238E27FC236}">
              <a16:creationId xmlns:a16="http://schemas.microsoft.com/office/drawing/2014/main" id="{B2A8B93F-347F-46D2-9907-AC2B23112A83}"/>
            </a:ext>
          </a:extLst>
        </xdr:cNvPr>
        <xdr:cNvSpPr>
          <a:spLocks noChangeAspect="1" noChangeArrowheads="1"/>
        </xdr:cNvSpPr>
      </xdr:nvSpPr>
      <xdr:spPr bwMode="auto">
        <a:xfrm>
          <a:off x="3429000" y="3435096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198</xdr:row>
      <xdr:rowOff>0</xdr:rowOff>
    </xdr:from>
    <xdr:ext cx="152400" cy="157202"/>
    <xdr:sp macro="" textlink="">
      <xdr:nvSpPr>
        <xdr:cNvPr id="127" name="AutoShape 3" descr="NCBI Bookshelf">
          <a:extLst>
            <a:ext uri="{FF2B5EF4-FFF2-40B4-BE49-F238E27FC236}">
              <a16:creationId xmlns:a16="http://schemas.microsoft.com/office/drawing/2014/main" id="{9FAC7E94-9536-4A48-8CEE-6F100C525E21}"/>
            </a:ext>
          </a:extLst>
        </xdr:cNvPr>
        <xdr:cNvSpPr>
          <a:spLocks noChangeAspect="1" noChangeArrowheads="1"/>
        </xdr:cNvSpPr>
      </xdr:nvSpPr>
      <xdr:spPr bwMode="auto">
        <a:xfrm>
          <a:off x="3429000" y="3435096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319</xdr:row>
      <xdr:rowOff>0</xdr:rowOff>
    </xdr:from>
    <xdr:ext cx="152400" cy="152400"/>
    <xdr:sp macro="" textlink="">
      <xdr:nvSpPr>
        <xdr:cNvPr id="128" name="AutoShape 1" descr="PubMed Central (PMC)">
          <a:extLst>
            <a:ext uri="{FF2B5EF4-FFF2-40B4-BE49-F238E27FC236}">
              <a16:creationId xmlns:a16="http://schemas.microsoft.com/office/drawing/2014/main" id="{6FA5124E-5A2A-467A-ADE5-3BABDA6D0A07}"/>
            </a:ext>
          </a:extLst>
        </xdr:cNvPr>
        <xdr:cNvSpPr>
          <a:spLocks noChangeAspect="1" noChangeArrowheads="1"/>
        </xdr:cNvSpPr>
      </xdr:nvSpPr>
      <xdr:spPr bwMode="auto">
        <a:xfrm>
          <a:off x="3429000" y="55557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319</xdr:row>
      <xdr:rowOff>0</xdr:rowOff>
    </xdr:from>
    <xdr:ext cx="152400" cy="152400"/>
    <xdr:sp macro="" textlink="">
      <xdr:nvSpPr>
        <xdr:cNvPr id="129" name="AutoShape 3" descr="NCBI Bookshelf">
          <a:extLst>
            <a:ext uri="{FF2B5EF4-FFF2-40B4-BE49-F238E27FC236}">
              <a16:creationId xmlns:a16="http://schemas.microsoft.com/office/drawing/2014/main" id="{70FB6CBF-2A56-4795-A30E-9BFBE2F3A09E}"/>
            </a:ext>
          </a:extLst>
        </xdr:cNvPr>
        <xdr:cNvSpPr>
          <a:spLocks noChangeAspect="1" noChangeArrowheads="1"/>
        </xdr:cNvSpPr>
      </xdr:nvSpPr>
      <xdr:spPr bwMode="auto">
        <a:xfrm>
          <a:off x="3429000" y="55557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321</xdr:row>
      <xdr:rowOff>0</xdr:rowOff>
    </xdr:from>
    <xdr:ext cx="152400" cy="152400"/>
    <xdr:sp macro="" textlink="">
      <xdr:nvSpPr>
        <xdr:cNvPr id="130" name="AutoShape 1" descr="PubMed Central (PMC)">
          <a:extLst>
            <a:ext uri="{FF2B5EF4-FFF2-40B4-BE49-F238E27FC236}">
              <a16:creationId xmlns:a16="http://schemas.microsoft.com/office/drawing/2014/main" id="{509E0832-FB23-408B-9F46-1A49B8E5B407}"/>
            </a:ext>
          </a:extLst>
        </xdr:cNvPr>
        <xdr:cNvSpPr>
          <a:spLocks noChangeAspect="1" noChangeArrowheads="1"/>
        </xdr:cNvSpPr>
      </xdr:nvSpPr>
      <xdr:spPr bwMode="auto">
        <a:xfrm>
          <a:off x="3429000" y="5590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321</xdr:row>
      <xdr:rowOff>0</xdr:rowOff>
    </xdr:from>
    <xdr:ext cx="152400" cy="152400"/>
    <xdr:sp macro="" textlink="">
      <xdr:nvSpPr>
        <xdr:cNvPr id="131" name="AutoShape 3" descr="NCBI Bookshelf">
          <a:extLst>
            <a:ext uri="{FF2B5EF4-FFF2-40B4-BE49-F238E27FC236}">
              <a16:creationId xmlns:a16="http://schemas.microsoft.com/office/drawing/2014/main" id="{CEC24525-1632-40DE-9702-E20531873F7D}"/>
            </a:ext>
          </a:extLst>
        </xdr:cNvPr>
        <xdr:cNvSpPr>
          <a:spLocks noChangeAspect="1" noChangeArrowheads="1"/>
        </xdr:cNvSpPr>
      </xdr:nvSpPr>
      <xdr:spPr bwMode="auto">
        <a:xfrm>
          <a:off x="3429000" y="5590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325</xdr:row>
      <xdr:rowOff>0</xdr:rowOff>
    </xdr:from>
    <xdr:ext cx="152400" cy="152400"/>
    <xdr:sp macro="" textlink="">
      <xdr:nvSpPr>
        <xdr:cNvPr id="132" name="AutoShape 1" descr="PubMed Central (PMC)">
          <a:extLst>
            <a:ext uri="{FF2B5EF4-FFF2-40B4-BE49-F238E27FC236}">
              <a16:creationId xmlns:a16="http://schemas.microsoft.com/office/drawing/2014/main" id="{284CBE42-EE1A-4404-919F-B3787DB6273F}"/>
            </a:ext>
          </a:extLst>
        </xdr:cNvPr>
        <xdr:cNvSpPr>
          <a:spLocks noChangeAspect="1" noChangeArrowheads="1"/>
        </xdr:cNvSpPr>
      </xdr:nvSpPr>
      <xdr:spPr bwMode="auto">
        <a:xfrm>
          <a:off x="3429000" y="566089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325</xdr:row>
      <xdr:rowOff>0</xdr:rowOff>
    </xdr:from>
    <xdr:ext cx="152400" cy="152400"/>
    <xdr:sp macro="" textlink="">
      <xdr:nvSpPr>
        <xdr:cNvPr id="133" name="AutoShape 3" descr="NCBI Bookshelf">
          <a:extLst>
            <a:ext uri="{FF2B5EF4-FFF2-40B4-BE49-F238E27FC236}">
              <a16:creationId xmlns:a16="http://schemas.microsoft.com/office/drawing/2014/main" id="{A4B8FEAC-8AC2-4385-96AF-83877FFA66EF}"/>
            </a:ext>
          </a:extLst>
        </xdr:cNvPr>
        <xdr:cNvSpPr>
          <a:spLocks noChangeAspect="1" noChangeArrowheads="1"/>
        </xdr:cNvSpPr>
      </xdr:nvSpPr>
      <xdr:spPr bwMode="auto">
        <a:xfrm>
          <a:off x="3429000" y="566089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327</xdr:row>
      <xdr:rowOff>0</xdr:rowOff>
    </xdr:from>
    <xdr:ext cx="152400" cy="152400"/>
    <xdr:sp macro="" textlink="">
      <xdr:nvSpPr>
        <xdr:cNvPr id="134" name="AutoShape 1" descr="PubMed Central (PMC)">
          <a:extLst>
            <a:ext uri="{FF2B5EF4-FFF2-40B4-BE49-F238E27FC236}">
              <a16:creationId xmlns:a16="http://schemas.microsoft.com/office/drawing/2014/main" id="{348B8E6C-8BCE-4737-9184-6B22D2411D08}"/>
            </a:ext>
          </a:extLst>
        </xdr:cNvPr>
        <xdr:cNvSpPr>
          <a:spLocks noChangeAspect="1" noChangeArrowheads="1"/>
        </xdr:cNvSpPr>
      </xdr:nvSpPr>
      <xdr:spPr bwMode="auto">
        <a:xfrm>
          <a:off x="3429000" y="56959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327</xdr:row>
      <xdr:rowOff>0</xdr:rowOff>
    </xdr:from>
    <xdr:ext cx="152400" cy="152400"/>
    <xdr:sp macro="" textlink="">
      <xdr:nvSpPr>
        <xdr:cNvPr id="135" name="AutoShape 3" descr="NCBI Bookshelf">
          <a:extLst>
            <a:ext uri="{FF2B5EF4-FFF2-40B4-BE49-F238E27FC236}">
              <a16:creationId xmlns:a16="http://schemas.microsoft.com/office/drawing/2014/main" id="{0EBA49D6-C4C5-49CC-B351-678743F7D6D1}"/>
            </a:ext>
          </a:extLst>
        </xdr:cNvPr>
        <xdr:cNvSpPr>
          <a:spLocks noChangeAspect="1" noChangeArrowheads="1"/>
        </xdr:cNvSpPr>
      </xdr:nvSpPr>
      <xdr:spPr bwMode="auto">
        <a:xfrm>
          <a:off x="3429000" y="569595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328</xdr:row>
      <xdr:rowOff>0</xdr:rowOff>
    </xdr:from>
    <xdr:ext cx="152400" cy="152400"/>
    <xdr:sp macro="" textlink="">
      <xdr:nvSpPr>
        <xdr:cNvPr id="136" name="AutoShape 1" descr="PubMed Central (PMC)">
          <a:extLst>
            <a:ext uri="{FF2B5EF4-FFF2-40B4-BE49-F238E27FC236}">
              <a16:creationId xmlns:a16="http://schemas.microsoft.com/office/drawing/2014/main" id="{286D83DC-509F-4D96-9876-8327A9FD81A2}"/>
            </a:ext>
          </a:extLst>
        </xdr:cNvPr>
        <xdr:cNvSpPr>
          <a:spLocks noChangeAspect="1" noChangeArrowheads="1"/>
        </xdr:cNvSpPr>
      </xdr:nvSpPr>
      <xdr:spPr bwMode="auto">
        <a:xfrm>
          <a:off x="3429000" y="57134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328</xdr:row>
      <xdr:rowOff>0</xdr:rowOff>
    </xdr:from>
    <xdr:ext cx="152400" cy="152400"/>
    <xdr:sp macro="" textlink="">
      <xdr:nvSpPr>
        <xdr:cNvPr id="137" name="AutoShape 3" descr="NCBI Bookshelf">
          <a:extLst>
            <a:ext uri="{FF2B5EF4-FFF2-40B4-BE49-F238E27FC236}">
              <a16:creationId xmlns:a16="http://schemas.microsoft.com/office/drawing/2014/main" id="{DCEEAE24-8E09-4C0C-AAE5-97F15B43AB6E}"/>
            </a:ext>
          </a:extLst>
        </xdr:cNvPr>
        <xdr:cNvSpPr>
          <a:spLocks noChangeAspect="1" noChangeArrowheads="1"/>
        </xdr:cNvSpPr>
      </xdr:nvSpPr>
      <xdr:spPr bwMode="auto">
        <a:xfrm>
          <a:off x="3429000" y="57134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329</xdr:row>
      <xdr:rowOff>0</xdr:rowOff>
    </xdr:from>
    <xdr:ext cx="152400" cy="152400"/>
    <xdr:sp macro="" textlink="">
      <xdr:nvSpPr>
        <xdr:cNvPr id="138" name="AutoShape 1" descr="PubMed Central (PMC)">
          <a:extLst>
            <a:ext uri="{FF2B5EF4-FFF2-40B4-BE49-F238E27FC236}">
              <a16:creationId xmlns:a16="http://schemas.microsoft.com/office/drawing/2014/main" id="{84D42249-10AF-4E2D-812F-C7249AA00C72}"/>
            </a:ext>
          </a:extLst>
        </xdr:cNvPr>
        <xdr:cNvSpPr>
          <a:spLocks noChangeAspect="1" noChangeArrowheads="1"/>
        </xdr:cNvSpPr>
      </xdr:nvSpPr>
      <xdr:spPr bwMode="auto">
        <a:xfrm>
          <a:off x="3429000" y="57310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329</xdr:row>
      <xdr:rowOff>0</xdr:rowOff>
    </xdr:from>
    <xdr:ext cx="152400" cy="152400"/>
    <xdr:sp macro="" textlink="">
      <xdr:nvSpPr>
        <xdr:cNvPr id="139" name="AutoShape 3" descr="NCBI Bookshelf">
          <a:extLst>
            <a:ext uri="{FF2B5EF4-FFF2-40B4-BE49-F238E27FC236}">
              <a16:creationId xmlns:a16="http://schemas.microsoft.com/office/drawing/2014/main" id="{87ECE38E-9540-4084-92B8-BAEBA4EF89B0}"/>
            </a:ext>
          </a:extLst>
        </xdr:cNvPr>
        <xdr:cNvSpPr>
          <a:spLocks noChangeAspect="1" noChangeArrowheads="1"/>
        </xdr:cNvSpPr>
      </xdr:nvSpPr>
      <xdr:spPr bwMode="auto">
        <a:xfrm>
          <a:off x="3429000" y="57310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330</xdr:row>
      <xdr:rowOff>0</xdr:rowOff>
    </xdr:from>
    <xdr:ext cx="152400" cy="152400"/>
    <xdr:sp macro="" textlink="">
      <xdr:nvSpPr>
        <xdr:cNvPr id="140" name="AutoShape 1" descr="PubMed Central (PMC)">
          <a:extLst>
            <a:ext uri="{FF2B5EF4-FFF2-40B4-BE49-F238E27FC236}">
              <a16:creationId xmlns:a16="http://schemas.microsoft.com/office/drawing/2014/main" id="{DB9DF926-D83A-47CE-9666-2B10FAD0B2B1}"/>
            </a:ext>
          </a:extLst>
        </xdr:cNvPr>
        <xdr:cNvSpPr>
          <a:spLocks noChangeAspect="1" noChangeArrowheads="1"/>
        </xdr:cNvSpPr>
      </xdr:nvSpPr>
      <xdr:spPr bwMode="auto">
        <a:xfrm>
          <a:off x="3429000" y="57485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330</xdr:row>
      <xdr:rowOff>0</xdr:rowOff>
    </xdr:from>
    <xdr:ext cx="152400" cy="152400"/>
    <xdr:sp macro="" textlink="">
      <xdr:nvSpPr>
        <xdr:cNvPr id="141" name="AutoShape 3" descr="NCBI Bookshelf">
          <a:extLst>
            <a:ext uri="{FF2B5EF4-FFF2-40B4-BE49-F238E27FC236}">
              <a16:creationId xmlns:a16="http://schemas.microsoft.com/office/drawing/2014/main" id="{F5E1DE58-04D9-4506-9323-9D9F0F01B095}"/>
            </a:ext>
          </a:extLst>
        </xdr:cNvPr>
        <xdr:cNvSpPr>
          <a:spLocks noChangeAspect="1" noChangeArrowheads="1"/>
        </xdr:cNvSpPr>
      </xdr:nvSpPr>
      <xdr:spPr bwMode="auto">
        <a:xfrm>
          <a:off x="3429000" y="57485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331</xdr:row>
      <xdr:rowOff>0</xdr:rowOff>
    </xdr:from>
    <xdr:ext cx="152400" cy="152400"/>
    <xdr:sp macro="" textlink="">
      <xdr:nvSpPr>
        <xdr:cNvPr id="142" name="AutoShape 1" descr="PubMed Central (PMC)">
          <a:extLst>
            <a:ext uri="{FF2B5EF4-FFF2-40B4-BE49-F238E27FC236}">
              <a16:creationId xmlns:a16="http://schemas.microsoft.com/office/drawing/2014/main" id="{C8B2DA2F-A8FD-4A05-8F86-5C4F8E4FFE96}"/>
            </a:ext>
          </a:extLst>
        </xdr:cNvPr>
        <xdr:cNvSpPr>
          <a:spLocks noChangeAspect="1" noChangeArrowheads="1"/>
        </xdr:cNvSpPr>
      </xdr:nvSpPr>
      <xdr:spPr bwMode="auto">
        <a:xfrm>
          <a:off x="3429000" y="576605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331</xdr:row>
      <xdr:rowOff>0</xdr:rowOff>
    </xdr:from>
    <xdr:ext cx="152400" cy="152400"/>
    <xdr:sp macro="" textlink="">
      <xdr:nvSpPr>
        <xdr:cNvPr id="143" name="AutoShape 3" descr="NCBI Bookshelf">
          <a:extLst>
            <a:ext uri="{FF2B5EF4-FFF2-40B4-BE49-F238E27FC236}">
              <a16:creationId xmlns:a16="http://schemas.microsoft.com/office/drawing/2014/main" id="{12F5A582-3C6F-4841-A8AC-B7F29FD6F2CB}"/>
            </a:ext>
          </a:extLst>
        </xdr:cNvPr>
        <xdr:cNvSpPr>
          <a:spLocks noChangeAspect="1" noChangeArrowheads="1"/>
        </xdr:cNvSpPr>
      </xdr:nvSpPr>
      <xdr:spPr bwMode="auto">
        <a:xfrm>
          <a:off x="3429000" y="576605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332</xdr:row>
      <xdr:rowOff>0</xdr:rowOff>
    </xdr:from>
    <xdr:ext cx="152400" cy="152400"/>
    <xdr:sp macro="" textlink="">
      <xdr:nvSpPr>
        <xdr:cNvPr id="144" name="AutoShape 1" descr="PubMed Central (PMC)">
          <a:extLst>
            <a:ext uri="{FF2B5EF4-FFF2-40B4-BE49-F238E27FC236}">
              <a16:creationId xmlns:a16="http://schemas.microsoft.com/office/drawing/2014/main" id="{A4985E11-FE95-4182-BAFF-14580F4FC06C}"/>
            </a:ext>
          </a:extLst>
        </xdr:cNvPr>
        <xdr:cNvSpPr>
          <a:spLocks noChangeAspect="1" noChangeArrowheads="1"/>
        </xdr:cNvSpPr>
      </xdr:nvSpPr>
      <xdr:spPr bwMode="auto">
        <a:xfrm>
          <a:off x="3429000" y="57835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332</xdr:row>
      <xdr:rowOff>0</xdr:rowOff>
    </xdr:from>
    <xdr:ext cx="152400" cy="152400"/>
    <xdr:sp macro="" textlink="">
      <xdr:nvSpPr>
        <xdr:cNvPr id="145" name="AutoShape 3" descr="NCBI Bookshelf">
          <a:extLst>
            <a:ext uri="{FF2B5EF4-FFF2-40B4-BE49-F238E27FC236}">
              <a16:creationId xmlns:a16="http://schemas.microsoft.com/office/drawing/2014/main" id="{8C951F21-CD7B-44C3-B382-1E4A2288F037}"/>
            </a:ext>
          </a:extLst>
        </xdr:cNvPr>
        <xdr:cNvSpPr>
          <a:spLocks noChangeAspect="1" noChangeArrowheads="1"/>
        </xdr:cNvSpPr>
      </xdr:nvSpPr>
      <xdr:spPr bwMode="auto">
        <a:xfrm>
          <a:off x="3429000" y="57835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333</xdr:row>
      <xdr:rowOff>0</xdr:rowOff>
    </xdr:from>
    <xdr:ext cx="152400" cy="152400"/>
    <xdr:sp macro="" textlink="">
      <xdr:nvSpPr>
        <xdr:cNvPr id="146" name="AutoShape 1" descr="PubMed Central (PMC)">
          <a:extLst>
            <a:ext uri="{FF2B5EF4-FFF2-40B4-BE49-F238E27FC236}">
              <a16:creationId xmlns:a16="http://schemas.microsoft.com/office/drawing/2014/main" id="{72E03F49-46FD-43E8-813A-08E5A6648E92}"/>
            </a:ext>
          </a:extLst>
        </xdr:cNvPr>
        <xdr:cNvSpPr>
          <a:spLocks noChangeAspect="1" noChangeArrowheads="1"/>
        </xdr:cNvSpPr>
      </xdr:nvSpPr>
      <xdr:spPr bwMode="auto">
        <a:xfrm>
          <a:off x="3429000" y="58011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333</xdr:row>
      <xdr:rowOff>0</xdr:rowOff>
    </xdr:from>
    <xdr:ext cx="152400" cy="152400"/>
    <xdr:sp macro="" textlink="">
      <xdr:nvSpPr>
        <xdr:cNvPr id="147" name="AutoShape 3" descr="NCBI Bookshelf">
          <a:extLst>
            <a:ext uri="{FF2B5EF4-FFF2-40B4-BE49-F238E27FC236}">
              <a16:creationId xmlns:a16="http://schemas.microsoft.com/office/drawing/2014/main" id="{8FDEB955-D438-4304-AB6C-F61924D8CCC6}"/>
            </a:ext>
          </a:extLst>
        </xdr:cNvPr>
        <xdr:cNvSpPr>
          <a:spLocks noChangeAspect="1" noChangeArrowheads="1"/>
        </xdr:cNvSpPr>
      </xdr:nvSpPr>
      <xdr:spPr bwMode="auto">
        <a:xfrm>
          <a:off x="3429000" y="58011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334</xdr:row>
      <xdr:rowOff>0</xdr:rowOff>
    </xdr:from>
    <xdr:ext cx="152400" cy="152400"/>
    <xdr:sp macro="" textlink="">
      <xdr:nvSpPr>
        <xdr:cNvPr id="148" name="AutoShape 1" descr="PubMed Central (PMC)">
          <a:extLst>
            <a:ext uri="{FF2B5EF4-FFF2-40B4-BE49-F238E27FC236}">
              <a16:creationId xmlns:a16="http://schemas.microsoft.com/office/drawing/2014/main" id="{7E8403F8-C78A-4BD9-8B41-4BE9C739D944}"/>
            </a:ext>
          </a:extLst>
        </xdr:cNvPr>
        <xdr:cNvSpPr>
          <a:spLocks noChangeAspect="1" noChangeArrowheads="1"/>
        </xdr:cNvSpPr>
      </xdr:nvSpPr>
      <xdr:spPr bwMode="auto">
        <a:xfrm>
          <a:off x="3429000" y="58186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334</xdr:row>
      <xdr:rowOff>0</xdr:rowOff>
    </xdr:from>
    <xdr:ext cx="152400" cy="152400"/>
    <xdr:sp macro="" textlink="">
      <xdr:nvSpPr>
        <xdr:cNvPr id="149" name="AutoShape 3" descr="NCBI Bookshelf">
          <a:extLst>
            <a:ext uri="{FF2B5EF4-FFF2-40B4-BE49-F238E27FC236}">
              <a16:creationId xmlns:a16="http://schemas.microsoft.com/office/drawing/2014/main" id="{D0AA08FD-78B9-4288-86F0-DA6F97026420}"/>
            </a:ext>
          </a:extLst>
        </xdr:cNvPr>
        <xdr:cNvSpPr>
          <a:spLocks noChangeAspect="1" noChangeArrowheads="1"/>
        </xdr:cNvSpPr>
      </xdr:nvSpPr>
      <xdr:spPr bwMode="auto">
        <a:xfrm>
          <a:off x="3429000" y="58186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335</xdr:row>
      <xdr:rowOff>0</xdr:rowOff>
    </xdr:from>
    <xdr:ext cx="152400" cy="152400"/>
    <xdr:sp macro="" textlink="">
      <xdr:nvSpPr>
        <xdr:cNvPr id="150" name="AutoShape 1" descr="PubMed Central (PMC)">
          <a:extLst>
            <a:ext uri="{FF2B5EF4-FFF2-40B4-BE49-F238E27FC236}">
              <a16:creationId xmlns:a16="http://schemas.microsoft.com/office/drawing/2014/main" id="{C04EDAFF-A117-4F42-B5FC-248F4BDBA0F7}"/>
            </a:ext>
          </a:extLst>
        </xdr:cNvPr>
        <xdr:cNvSpPr>
          <a:spLocks noChangeAspect="1" noChangeArrowheads="1"/>
        </xdr:cNvSpPr>
      </xdr:nvSpPr>
      <xdr:spPr bwMode="auto">
        <a:xfrm>
          <a:off x="3429000" y="58361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335</xdr:row>
      <xdr:rowOff>0</xdr:rowOff>
    </xdr:from>
    <xdr:ext cx="152400" cy="152400"/>
    <xdr:sp macro="" textlink="">
      <xdr:nvSpPr>
        <xdr:cNvPr id="151" name="AutoShape 3" descr="NCBI Bookshelf">
          <a:extLst>
            <a:ext uri="{FF2B5EF4-FFF2-40B4-BE49-F238E27FC236}">
              <a16:creationId xmlns:a16="http://schemas.microsoft.com/office/drawing/2014/main" id="{7228473D-1980-4E79-8F7B-21905FED4445}"/>
            </a:ext>
          </a:extLst>
        </xdr:cNvPr>
        <xdr:cNvSpPr>
          <a:spLocks noChangeAspect="1" noChangeArrowheads="1"/>
        </xdr:cNvSpPr>
      </xdr:nvSpPr>
      <xdr:spPr bwMode="auto">
        <a:xfrm>
          <a:off x="3429000" y="58361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336</xdr:row>
      <xdr:rowOff>0</xdr:rowOff>
    </xdr:from>
    <xdr:ext cx="152400" cy="152400"/>
    <xdr:sp macro="" textlink="">
      <xdr:nvSpPr>
        <xdr:cNvPr id="152" name="AutoShape 1" descr="PubMed Central (PMC)">
          <a:extLst>
            <a:ext uri="{FF2B5EF4-FFF2-40B4-BE49-F238E27FC236}">
              <a16:creationId xmlns:a16="http://schemas.microsoft.com/office/drawing/2014/main" id="{0166A32E-9D4C-471E-B6A3-9F40A5F104C7}"/>
            </a:ext>
          </a:extLst>
        </xdr:cNvPr>
        <xdr:cNvSpPr>
          <a:spLocks noChangeAspect="1" noChangeArrowheads="1"/>
        </xdr:cNvSpPr>
      </xdr:nvSpPr>
      <xdr:spPr bwMode="auto">
        <a:xfrm>
          <a:off x="3429000" y="58536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336</xdr:row>
      <xdr:rowOff>0</xdr:rowOff>
    </xdr:from>
    <xdr:ext cx="152400" cy="152400"/>
    <xdr:sp macro="" textlink="">
      <xdr:nvSpPr>
        <xdr:cNvPr id="153" name="AutoShape 3" descr="NCBI Bookshelf">
          <a:extLst>
            <a:ext uri="{FF2B5EF4-FFF2-40B4-BE49-F238E27FC236}">
              <a16:creationId xmlns:a16="http://schemas.microsoft.com/office/drawing/2014/main" id="{B2D141BC-C6B0-4A45-9916-CE11C1704008}"/>
            </a:ext>
          </a:extLst>
        </xdr:cNvPr>
        <xdr:cNvSpPr>
          <a:spLocks noChangeAspect="1" noChangeArrowheads="1"/>
        </xdr:cNvSpPr>
      </xdr:nvSpPr>
      <xdr:spPr bwMode="auto">
        <a:xfrm>
          <a:off x="3429000" y="58536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337</xdr:row>
      <xdr:rowOff>0</xdr:rowOff>
    </xdr:from>
    <xdr:ext cx="152400" cy="152400"/>
    <xdr:sp macro="" textlink="">
      <xdr:nvSpPr>
        <xdr:cNvPr id="154" name="AutoShape 1" descr="PubMed Central (PMC)">
          <a:extLst>
            <a:ext uri="{FF2B5EF4-FFF2-40B4-BE49-F238E27FC236}">
              <a16:creationId xmlns:a16="http://schemas.microsoft.com/office/drawing/2014/main" id="{0D65C363-7603-425D-8DEA-545C39FC623F}"/>
            </a:ext>
          </a:extLst>
        </xdr:cNvPr>
        <xdr:cNvSpPr>
          <a:spLocks noChangeAspect="1" noChangeArrowheads="1"/>
        </xdr:cNvSpPr>
      </xdr:nvSpPr>
      <xdr:spPr bwMode="auto">
        <a:xfrm>
          <a:off x="3429000" y="58712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337</xdr:row>
      <xdr:rowOff>0</xdr:rowOff>
    </xdr:from>
    <xdr:ext cx="152400" cy="152400"/>
    <xdr:sp macro="" textlink="">
      <xdr:nvSpPr>
        <xdr:cNvPr id="155" name="AutoShape 3" descr="NCBI Bookshelf">
          <a:extLst>
            <a:ext uri="{FF2B5EF4-FFF2-40B4-BE49-F238E27FC236}">
              <a16:creationId xmlns:a16="http://schemas.microsoft.com/office/drawing/2014/main" id="{41D3EB9C-A48D-4D70-8A8F-4FE5C7BAD897}"/>
            </a:ext>
          </a:extLst>
        </xdr:cNvPr>
        <xdr:cNvSpPr>
          <a:spLocks noChangeAspect="1" noChangeArrowheads="1"/>
        </xdr:cNvSpPr>
      </xdr:nvSpPr>
      <xdr:spPr bwMode="auto">
        <a:xfrm>
          <a:off x="3429000" y="58712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69</xdr:row>
      <xdr:rowOff>0</xdr:rowOff>
    </xdr:from>
    <xdr:ext cx="152400" cy="152400"/>
    <xdr:sp macro="" textlink="">
      <xdr:nvSpPr>
        <xdr:cNvPr id="156" name="AutoShape 1" descr="PubMed Central (PMC)">
          <a:extLst>
            <a:ext uri="{FF2B5EF4-FFF2-40B4-BE49-F238E27FC236}">
              <a16:creationId xmlns:a16="http://schemas.microsoft.com/office/drawing/2014/main" id="{0B483967-668B-4779-90FA-34FDAC1A8B16}"/>
            </a:ext>
          </a:extLst>
        </xdr:cNvPr>
        <xdr:cNvSpPr>
          <a:spLocks noChangeAspect="1" noChangeArrowheads="1"/>
        </xdr:cNvSpPr>
      </xdr:nvSpPr>
      <xdr:spPr bwMode="auto">
        <a:xfrm>
          <a:off x="3429000" y="11742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69</xdr:row>
      <xdr:rowOff>0</xdr:rowOff>
    </xdr:from>
    <xdr:ext cx="152400" cy="152400"/>
    <xdr:sp macro="" textlink="">
      <xdr:nvSpPr>
        <xdr:cNvPr id="157" name="AutoShape 3" descr="NCBI Bookshelf">
          <a:extLst>
            <a:ext uri="{FF2B5EF4-FFF2-40B4-BE49-F238E27FC236}">
              <a16:creationId xmlns:a16="http://schemas.microsoft.com/office/drawing/2014/main" id="{7E51E99B-B333-4BC8-9170-39751CFEDC30}"/>
            </a:ext>
          </a:extLst>
        </xdr:cNvPr>
        <xdr:cNvSpPr>
          <a:spLocks noChangeAspect="1" noChangeArrowheads="1"/>
        </xdr:cNvSpPr>
      </xdr:nvSpPr>
      <xdr:spPr bwMode="auto">
        <a:xfrm>
          <a:off x="3429000" y="11742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198</xdr:row>
      <xdr:rowOff>0</xdr:rowOff>
    </xdr:from>
    <xdr:ext cx="152400" cy="157202"/>
    <xdr:sp macro="" textlink="">
      <xdr:nvSpPr>
        <xdr:cNvPr id="158" name="AutoShape 1" descr="PubMed Central (PMC)">
          <a:extLst>
            <a:ext uri="{FF2B5EF4-FFF2-40B4-BE49-F238E27FC236}">
              <a16:creationId xmlns:a16="http://schemas.microsoft.com/office/drawing/2014/main" id="{108B3070-1CD9-4844-89C6-A771B78B554E}"/>
            </a:ext>
          </a:extLst>
        </xdr:cNvPr>
        <xdr:cNvSpPr>
          <a:spLocks noChangeAspect="1" noChangeArrowheads="1"/>
        </xdr:cNvSpPr>
      </xdr:nvSpPr>
      <xdr:spPr bwMode="auto">
        <a:xfrm>
          <a:off x="3429000" y="3435096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198</xdr:row>
      <xdr:rowOff>0</xdr:rowOff>
    </xdr:from>
    <xdr:ext cx="152400" cy="157202"/>
    <xdr:sp macro="" textlink="">
      <xdr:nvSpPr>
        <xdr:cNvPr id="159" name="AutoShape 3" descr="NCBI Bookshelf">
          <a:extLst>
            <a:ext uri="{FF2B5EF4-FFF2-40B4-BE49-F238E27FC236}">
              <a16:creationId xmlns:a16="http://schemas.microsoft.com/office/drawing/2014/main" id="{C8B41FCA-A375-460D-8E4F-14C01E9C876E}"/>
            </a:ext>
          </a:extLst>
        </xdr:cNvPr>
        <xdr:cNvSpPr>
          <a:spLocks noChangeAspect="1" noChangeArrowheads="1"/>
        </xdr:cNvSpPr>
      </xdr:nvSpPr>
      <xdr:spPr bwMode="auto">
        <a:xfrm>
          <a:off x="3429000" y="3435096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199</xdr:row>
      <xdr:rowOff>0</xdr:rowOff>
    </xdr:from>
    <xdr:ext cx="152400" cy="157202"/>
    <xdr:sp macro="" textlink="">
      <xdr:nvSpPr>
        <xdr:cNvPr id="160" name="AutoShape 1" descr="PubMed Central (PMC)">
          <a:extLst>
            <a:ext uri="{FF2B5EF4-FFF2-40B4-BE49-F238E27FC236}">
              <a16:creationId xmlns:a16="http://schemas.microsoft.com/office/drawing/2014/main" id="{98A86252-2405-45FE-9103-C057417FDD85}"/>
            </a:ext>
          </a:extLst>
        </xdr:cNvPr>
        <xdr:cNvSpPr>
          <a:spLocks noChangeAspect="1" noChangeArrowheads="1"/>
        </xdr:cNvSpPr>
      </xdr:nvSpPr>
      <xdr:spPr bwMode="auto">
        <a:xfrm>
          <a:off x="3429000" y="3452622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199</xdr:row>
      <xdr:rowOff>0</xdr:rowOff>
    </xdr:from>
    <xdr:ext cx="152400" cy="157202"/>
    <xdr:sp macro="" textlink="">
      <xdr:nvSpPr>
        <xdr:cNvPr id="161" name="AutoShape 3" descr="NCBI Bookshelf">
          <a:extLst>
            <a:ext uri="{FF2B5EF4-FFF2-40B4-BE49-F238E27FC236}">
              <a16:creationId xmlns:a16="http://schemas.microsoft.com/office/drawing/2014/main" id="{C0DC90FE-47D7-44D5-A580-F967E900DA08}"/>
            </a:ext>
          </a:extLst>
        </xdr:cNvPr>
        <xdr:cNvSpPr>
          <a:spLocks noChangeAspect="1" noChangeArrowheads="1"/>
        </xdr:cNvSpPr>
      </xdr:nvSpPr>
      <xdr:spPr bwMode="auto">
        <a:xfrm>
          <a:off x="3429000" y="3452622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93</xdr:row>
      <xdr:rowOff>0</xdr:rowOff>
    </xdr:from>
    <xdr:ext cx="152400" cy="152400"/>
    <xdr:sp macro="" textlink="">
      <xdr:nvSpPr>
        <xdr:cNvPr id="162" name="AutoShape 1" descr="PubMed Central (PMC)">
          <a:extLst>
            <a:ext uri="{FF2B5EF4-FFF2-40B4-BE49-F238E27FC236}">
              <a16:creationId xmlns:a16="http://schemas.microsoft.com/office/drawing/2014/main" id="{843F9ABB-2F69-49F4-88CB-77EC82BEB24A}"/>
            </a:ext>
          </a:extLst>
        </xdr:cNvPr>
        <xdr:cNvSpPr>
          <a:spLocks noChangeAspect="1" noChangeArrowheads="1"/>
        </xdr:cNvSpPr>
      </xdr:nvSpPr>
      <xdr:spPr bwMode="auto">
        <a:xfrm>
          <a:off x="4114800" y="15948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93</xdr:row>
      <xdr:rowOff>0</xdr:rowOff>
    </xdr:from>
    <xdr:ext cx="152400" cy="152400"/>
    <xdr:sp macro="" textlink="">
      <xdr:nvSpPr>
        <xdr:cNvPr id="163" name="AutoShape 3" descr="NCBI Bookshelf">
          <a:extLst>
            <a:ext uri="{FF2B5EF4-FFF2-40B4-BE49-F238E27FC236}">
              <a16:creationId xmlns:a16="http://schemas.microsoft.com/office/drawing/2014/main" id="{9F7DA70F-B62D-4529-857D-BD09F8F02C10}"/>
            </a:ext>
          </a:extLst>
        </xdr:cNvPr>
        <xdr:cNvSpPr>
          <a:spLocks noChangeAspect="1" noChangeArrowheads="1"/>
        </xdr:cNvSpPr>
      </xdr:nvSpPr>
      <xdr:spPr bwMode="auto">
        <a:xfrm>
          <a:off x="4114800" y="15948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94</xdr:row>
      <xdr:rowOff>0</xdr:rowOff>
    </xdr:from>
    <xdr:ext cx="152400" cy="152400"/>
    <xdr:sp macro="" textlink="">
      <xdr:nvSpPr>
        <xdr:cNvPr id="164" name="AutoShape 1" descr="PubMed Central (PMC)">
          <a:extLst>
            <a:ext uri="{FF2B5EF4-FFF2-40B4-BE49-F238E27FC236}">
              <a16:creationId xmlns:a16="http://schemas.microsoft.com/office/drawing/2014/main" id="{FA0F254E-3837-4D28-AF85-354912B5BCA9}"/>
            </a:ext>
          </a:extLst>
        </xdr:cNvPr>
        <xdr:cNvSpPr>
          <a:spLocks noChangeAspect="1" noChangeArrowheads="1"/>
        </xdr:cNvSpPr>
      </xdr:nvSpPr>
      <xdr:spPr bwMode="auto">
        <a:xfrm>
          <a:off x="4114800" y="16123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94</xdr:row>
      <xdr:rowOff>0</xdr:rowOff>
    </xdr:from>
    <xdr:ext cx="152400" cy="152400"/>
    <xdr:sp macro="" textlink="">
      <xdr:nvSpPr>
        <xdr:cNvPr id="165" name="AutoShape 3" descr="NCBI Bookshelf">
          <a:extLst>
            <a:ext uri="{FF2B5EF4-FFF2-40B4-BE49-F238E27FC236}">
              <a16:creationId xmlns:a16="http://schemas.microsoft.com/office/drawing/2014/main" id="{F375D6E7-B852-46EF-A769-1E7833F0A26D}"/>
            </a:ext>
          </a:extLst>
        </xdr:cNvPr>
        <xdr:cNvSpPr>
          <a:spLocks noChangeAspect="1" noChangeArrowheads="1"/>
        </xdr:cNvSpPr>
      </xdr:nvSpPr>
      <xdr:spPr bwMode="auto">
        <a:xfrm>
          <a:off x="4114800" y="16123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92</xdr:row>
      <xdr:rowOff>0</xdr:rowOff>
    </xdr:from>
    <xdr:ext cx="152400" cy="152400"/>
    <xdr:sp macro="" textlink="">
      <xdr:nvSpPr>
        <xdr:cNvPr id="166" name="AutoShape 1" descr="PubMed Central (PMC)">
          <a:extLst>
            <a:ext uri="{FF2B5EF4-FFF2-40B4-BE49-F238E27FC236}">
              <a16:creationId xmlns:a16="http://schemas.microsoft.com/office/drawing/2014/main" id="{03DED2CA-ECEF-4DAD-8CB9-BAAE8BD0044A}"/>
            </a:ext>
          </a:extLst>
        </xdr:cNvPr>
        <xdr:cNvSpPr>
          <a:spLocks noChangeAspect="1" noChangeArrowheads="1"/>
        </xdr:cNvSpPr>
      </xdr:nvSpPr>
      <xdr:spPr bwMode="auto">
        <a:xfrm>
          <a:off x="4114800" y="15773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92</xdr:row>
      <xdr:rowOff>0</xdr:rowOff>
    </xdr:from>
    <xdr:ext cx="152400" cy="152400"/>
    <xdr:sp macro="" textlink="">
      <xdr:nvSpPr>
        <xdr:cNvPr id="167" name="AutoShape 3" descr="NCBI Bookshelf">
          <a:extLst>
            <a:ext uri="{FF2B5EF4-FFF2-40B4-BE49-F238E27FC236}">
              <a16:creationId xmlns:a16="http://schemas.microsoft.com/office/drawing/2014/main" id="{657EE217-5EEB-4E64-82AC-F56C690C4C51}"/>
            </a:ext>
          </a:extLst>
        </xdr:cNvPr>
        <xdr:cNvSpPr>
          <a:spLocks noChangeAspect="1" noChangeArrowheads="1"/>
        </xdr:cNvSpPr>
      </xdr:nvSpPr>
      <xdr:spPr bwMode="auto">
        <a:xfrm>
          <a:off x="4114800" y="15773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96</xdr:row>
      <xdr:rowOff>0</xdr:rowOff>
    </xdr:from>
    <xdr:ext cx="152400" cy="152400"/>
    <xdr:sp macro="" textlink="">
      <xdr:nvSpPr>
        <xdr:cNvPr id="168" name="AutoShape 1" descr="PubMed Central (PMC)">
          <a:extLst>
            <a:ext uri="{FF2B5EF4-FFF2-40B4-BE49-F238E27FC236}">
              <a16:creationId xmlns:a16="http://schemas.microsoft.com/office/drawing/2014/main" id="{0A2C79BB-AF2F-4CFE-A2E3-7F2D76721909}"/>
            </a:ext>
          </a:extLst>
        </xdr:cNvPr>
        <xdr:cNvSpPr>
          <a:spLocks noChangeAspect="1" noChangeArrowheads="1"/>
        </xdr:cNvSpPr>
      </xdr:nvSpPr>
      <xdr:spPr bwMode="auto">
        <a:xfrm>
          <a:off x="4114800" y="16474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96</xdr:row>
      <xdr:rowOff>0</xdr:rowOff>
    </xdr:from>
    <xdr:ext cx="152400" cy="152400"/>
    <xdr:sp macro="" textlink="">
      <xdr:nvSpPr>
        <xdr:cNvPr id="169" name="AutoShape 3" descr="NCBI Bookshelf">
          <a:extLst>
            <a:ext uri="{FF2B5EF4-FFF2-40B4-BE49-F238E27FC236}">
              <a16:creationId xmlns:a16="http://schemas.microsoft.com/office/drawing/2014/main" id="{42A88681-9CB8-4703-8626-51F34E4A7D0F}"/>
            </a:ext>
          </a:extLst>
        </xdr:cNvPr>
        <xdr:cNvSpPr>
          <a:spLocks noChangeAspect="1" noChangeArrowheads="1"/>
        </xdr:cNvSpPr>
      </xdr:nvSpPr>
      <xdr:spPr bwMode="auto">
        <a:xfrm>
          <a:off x="4114800" y="16474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93</xdr:row>
      <xdr:rowOff>0</xdr:rowOff>
    </xdr:from>
    <xdr:ext cx="152400" cy="152400"/>
    <xdr:sp macro="" textlink="">
      <xdr:nvSpPr>
        <xdr:cNvPr id="170" name="AutoShape 1" descr="PubMed Central (PMC)">
          <a:extLst>
            <a:ext uri="{FF2B5EF4-FFF2-40B4-BE49-F238E27FC236}">
              <a16:creationId xmlns:a16="http://schemas.microsoft.com/office/drawing/2014/main" id="{F1D382B9-8B15-4D00-A5C3-5352BA5F9410}"/>
            </a:ext>
          </a:extLst>
        </xdr:cNvPr>
        <xdr:cNvSpPr>
          <a:spLocks noChangeAspect="1" noChangeArrowheads="1"/>
        </xdr:cNvSpPr>
      </xdr:nvSpPr>
      <xdr:spPr bwMode="auto">
        <a:xfrm>
          <a:off x="7901940" y="15948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93</xdr:row>
      <xdr:rowOff>0</xdr:rowOff>
    </xdr:from>
    <xdr:ext cx="152400" cy="152400"/>
    <xdr:sp macro="" textlink="">
      <xdr:nvSpPr>
        <xdr:cNvPr id="171" name="AutoShape 3" descr="NCBI Bookshelf">
          <a:extLst>
            <a:ext uri="{FF2B5EF4-FFF2-40B4-BE49-F238E27FC236}">
              <a16:creationId xmlns:a16="http://schemas.microsoft.com/office/drawing/2014/main" id="{BB616D74-1E84-4E1C-A926-2949200F6A5F}"/>
            </a:ext>
          </a:extLst>
        </xdr:cNvPr>
        <xdr:cNvSpPr>
          <a:spLocks noChangeAspect="1" noChangeArrowheads="1"/>
        </xdr:cNvSpPr>
      </xdr:nvSpPr>
      <xdr:spPr bwMode="auto">
        <a:xfrm>
          <a:off x="7901940" y="15948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94</xdr:row>
      <xdr:rowOff>0</xdr:rowOff>
    </xdr:from>
    <xdr:ext cx="152400" cy="152400"/>
    <xdr:sp macro="" textlink="">
      <xdr:nvSpPr>
        <xdr:cNvPr id="172" name="AutoShape 1" descr="PubMed Central (PMC)">
          <a:extLst>
            <a:ext uri="{FF2B5EF4-FFF2-40B4-BE49-F238E27FC236}">
              <a16:creationId xmlns:a16="http://schemas.microsoft.com/office/drawing/2014/main" id="{6AA60C01-3CCD-4AAD-AD58-DA6AF74D832D}"/>
            </a:ext>
          </a:extLst>
        </xdr:cNvPr>
        <xdr:cNvSpPr>
          <a:spLocks noChangeAspect="1" noChangeArrowheads="1"/>
        </xdr:cNvSpPr>
      </xdr:nvSpPr>
      <xdr:spPr bwMode="auto">
        <a:xfrm>
          <a:off x="7901940" y="16123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94</xdr:row>
      <xdr:rowOff>0</xdr:rowOff>
    </xdr:from>
    <xdr:ext cx="152400" cy="152400"/>
    <xdr:sp macro="" textlink="">
      <xdr:nvSpPr>
        <xdr:cNvPr id="173" name="AutoShape 3" descr="NCBI Bookshelf">
          <a:extLst>
            <a:ext uri="{FF2B5EF4-FFF2-40B4-BE49-F238E27FC236}">
              <a16:creationId xmlns:a16="http://schemas.microsoft.com/office/drawing/2014/main" id="{B9082AEC-DC0F-47ED-8632-83F62CFA61AD}"/>
            </a:ext>
          </a:extLst>
        </xdr:cNvPr>
        <xdr:cNvSpPr>
          <a:spLocks noChangeAspect="1" noChangeArrowheads="1"/>
        </xdr:cNvSpPr>
      </xdr:nvSpPr>
      <xdr:spPr bwMode="auto">
        <a:xfrm>
          <a:off x="7901940" y="16123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95</xdr:row>
      <xdr:rowOff>0</xdr:rowOff>
    </xdr:from>
    <xdr:ext cx="152400" cy="152400"/>
    <xdr:sp macro="" textlink="">
      <xdr:nvSpPr>
        <xdr:cNvPr id="174" name="AutoShape 1" descr="PubMed Central (PMC)">
          <a:extLst>
            <a:ext uri="{FF2B5EF4-FFF2-40B4-BE49-F238E27FC236}">
              <a16:creationId xmlns:a16="http://schemas.microsoft.com/office/drawing/2014/main" id="{E521FEB5-649C-4C44-AEBA-E3E914361A39}"/>
            </a:ext>
          </a:extLst>
        </xdr:cNvPr>
        <xdr:cNvSpPr>
          <a:spLocks noChangeAspect="1" noChangeArrowheads="1"/>
        </xdr:cNvSpPr>
      </xdr:nvSpPr>
      <xdr:spPr bwMode="auto">
        <a:xfrm>
          <a:off x="7901940" y="16299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95</xdr:row>
      <xdr:rowOff>0</xdr:rowOff>
    </xdr:from>
    <xdr:ext cx="152400" cy="152400"/>
    <xdr:sp macro="" textlink="">
      <xdr:nvSpPr>
        <xdr:cNvPr id="175" name="AutoShape 3" descr="NCBI Bookshelf">
          <a:extLst>
            <a:ext uri="{FF2B5EF4-FFF2-40B4-BE49-F238E27FC236}">
              <a16:creationId xmlns:a16="http://schemas.microsoft.com/office/drawing/2014/main" id="{EFC2393B-7613-457D-BB3A-BA6A3240FF24}"/>
            </a:ext>
          </a:extLst>
        </xdr:cNvPr>
        <xdr:cNvSpPr>
          <a:spLocks noChangeAspect="1" noChangeArrowheads="1"/>
        </xdr:cNvSpPr>
      </xdr:nvSpPr>
      <xdr:spPr bwMode="auto">
        <a:xfrm>
          <a:off x="7901940" y="16299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96</xdr:row>
      <xdr:rowOff>0</xdr:rowOff>
    </xdr:from>
    <xdr:ext cx="152400" cy="152400"/>
    <xdr:sp macro="" textlink="">
      <xdr:nvSpPr>
        <xdr:cNvPr id="176" name="AutoShape 1" descr="PubMed Central (PMC)">
          <a:extLst>
            <a:ext uri="{FF2B5EF4-FFF2-40B4-BE49-F238E27FC236}">
              <a16:creationId xmlns:a16="http://schemas.microsoft.com/office/drawing/2014/main" id="{58490672-5B94-48C7-BDA7-369E98F1C08D}"/>
            </a:ext>
          </a:extLst>
        </xdr:cNvPr>
        <xdr:cNvSpPr>
          <a:spLocks noChangeAspect="1" noChangeArrowheads="1"/>
        </xdr:cNvSpPr>
      </xdr:nvSpPr>
      <xdr:spPr bwMode="auto">
        <a:xfrm>
          <a:off x="7901940" y="16474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96</xdr:row>
      <xdr:rowOff>0</xdr:rowOff>
    </xdr:from>
    <xdr:ext cx="152400" cy="152400"/>
    <xdr:sp macro="" textlink="">
      <xdr:nvSpPr>
        <xdr:cNvPr id="177" name="AutoShape 3" descr="NCBI Bookshelf">
          <a:extLst>
            <a:ext uri="{FF2B5EF4-FFF2-40B4-BE49-F238E27FC236}">
              <a16:creationId xmlns:a16="http://schemas.microsoft.com/office/drawing/2014/main" id="{3808F9BF-B259-4FF5-94FB-6269FE4116F7}"/>
            </a:ext>
          </a:extLst>
        </xdr:cNvPr>
        <xdr:cNvSpPr>
          <a:spLocks noChangeAspect="1" noChangeArrowheads="1"/>
        </xdr:cNvSpPr>
      </xdr:nvSpPr>
      <xdr:spPr bwMode="auto">
        <a:xfrm>
          <a:off x="7901940" y="16474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69</xdr:row>
      <xdr:rowOff>0</xdr:rowOff>
    </xdr:from>
    <xdr:ext cx="152400" cy="152400"/>
    <xdr:sp macro="" textlink="">
      <xdr:nvSpPr>
        <xdr:cNvPr id="178" name="AutoShape 1" descr="PubMed Central (PMC)">
          <a:extLst>
            <a:ext uri="{FF2B5EF4-FFF2-40B4-BE49-F238E27FC236}">
              <a16:creationId xmlns:a16="http://schemas.microsoft.com/office/drawing/2014/main" id="{370FDC3D-2085-4E67-8162-BB0448D1199B}"/>
            </a:ext>
          </a:extLst>
        </xdr:cNvPr>
        <xdr:cNvSpPr>
          <a:spLocks noChangeAspect="1" noChangeArrowheads="1"/>
        </xdr:cNvSpPr>
      </xdr:nvSpPr>
      <xdr:spPr bwMode="auto">
        <a:xfrm>
          <a:off x="7901940" y="11742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69</xdr:row>
      <xdr:rowOff>0</xdr:rowOff>
    </xdr:from>
    <xdr:ext cx="152400" cy="152400"/>
    <xdr:sp macro="" textlink="">
      <xdr:nvSpPr>
        <xdr:cNvPr id="179" name="AutoShape 3" descr="NCBI Bookshelf">
          <a:extLst>
            <a:ext uri="{FF2B5EF4-FFF2-40B4-BE49-F238E27FC236}">
              <a16:creationId xmlns:a16="http://schemas.microsoft.com/office/drawing/2014/main" id="{F88A3FDF-4793-4A98-B80A-3280198A1601}"/>
            </a:ext>
          </a:extLst>
        </xdr:cNvPr>
        <xdr:cNvSpPr>
          <a:spLocks noChangeAspect="1" noChangeArrowheads="1"/>
        </xdr:cNvSpPr>
      </xdr:nvSpPr>
      <xdr:spPr bwMode="auto">
        <a:xfrm>
          <a:off x="7901940" y="11742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322</xdr:row>
      <xdr:rowOff>0</xdr:rowOff>
    </xdr:from>
    <xdr:ext cx="152400" cy="152400"/>
    <xdr:sp macro="" textlink="">
      <xdr:nvSpPr>
        <xdr:cNvPr id="180" name="AutoShape 1" descr="PubMed Central (PMC)">
          <a:extLst>
            <a:ext uri="{FF2B5EF4-FFF2-40B4-BE49-F238E27FC236}">
              <a16:creationId xmlns:a16="http://schemas.microsoft.com/office/drawing/2014/main" id="{C1887C96-B1E7-4FE2-B318-3C77AED8D379}"/>
            </a:ext>
          </a:extLst>
        </xdr:cNvPr>
        <xdr:cNvSpPr>
          <a:spLocks noChangeAspect="1" noChangeArrowheads="1"/>
        </xdr:cNvSpPr>
      </xdr:nvSpPr>
      <xdr:spPr bwMode="auto">
        <a:xfrm>
          <a:off x="3429000" y="56083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322</xdr:row>
      <xdr:rowOff>0</xdr:rowOff>
    </xdr:from>
    <xdr:ext cx="152400" cy="152400"/>
    <xdr:sp macro="" textlink="">
      <xdr:nvSpPr>
        <xdr:cNvPr id="181" name="AutoShape 3" descr="NCBI Bookshelf">
          <a:extLst>
            <a:ext uri="{FF2B5EF4-FFF2-40B4-BE49-F238E27FC236}">
              <a16:creationId xmlns:a16="http://schemas.microsoft.com/office/drawing/2014/main" id="{0DCAE31E-1272-4D62-81CB-125DD53005A5}"/>
            </a:ext>
          </a:extLst>
        </xdr:cNvPr>
        <xdr:cNvSpPr>
          <a:spLocks noChangeAspect="1" noChangeArrowheads="1"/>
        </xdr:cNvSpPr>
      </xdr:nvSpPr>
      <xdr:spPr bwMode="auto">
        <a:xfrm>
          <a:off x="3429000" y="560832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324</xdr:row>
      <xdr:rowOff>0</xdr:rowOff>
    </xdr:from>
    <xdr:ext cx="152400" cy="152400"/>
    <xdr:sp macro="" textlink="">
      <xdr:nvSpPr>
        <xdr:cNvPr id="182" name="AutoShape 1" descr="PubMed Central (PMC)">
          <a:extLst>
            <a:ext uri="{FF2B5EF4-FFF2-40B4-BE49-F238E27FC236}">
              <a16:creationId xmlns:a16="http://schemas.microsoft.com/office/drawing/2014/main" id="{6CBD4FCE-0855-44DD-8A61-5F22F0B98ADE}"/>
            </a:ext>
          </a:extLst>
        </xdr:cNvPr>
        <xdr:cNvSpPr>
          <a:spLocks noChangeAspect="1" noChangeArrowheads="1"/>
        </xdr:cNvSpPr>
      </xdr:nvSpPr>
      <xdr:spPr bwMode="auto">
        <a:xfrm>
          <a:off x="3429000" y="56433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324</xdr:row>
      <xdr:rowOff>0</xdr:rowOff>
    </xdr:from>
    <xdr:ext cx="152400" cy="152400"/>
    <xdr:sp macro="" textlink="">
      <xdr:nvSpPr>
        <xdr:cNvPr id="183" name="AutoShape 3" descr="NCBI Bookshelf">
          <a:extLst>
            <a:ext uri="{FF2B5EF4-FFF2-40B4-BE49-F238E27FC236}">
              <a16:creationId xmlns:a16="http://schemas.microsoft.com/office/drawing/2014/main" id="{837BF2C7-AB30-4022-B583-2D1310E18B18}"/>
            </a:ext>
          </a:extLst>
        </xdr:cNvPr>
        <xdr:cNvSpPr>
          <a:spLocks noChangeAspect="1" noChangeArrowheads="1"/>
        </xdr:cNvSpPr>
      </xdr:nvSpPr>
      <xdr:spPr bwMode="auto">
        <a:xfrm>
          <a:off x="3429000" y="56433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68</xdr:row>
      <xdr:rowOff>0</xdr:rowOff>
    </xdr:from>
    <xdr:ext cx="152400" cy="155601"/>
    <xdr:sp macro="" textlink="">
      <xdr:nvSpPr>
        <xdr:cNvPr id="184" name="AutoShape 1" descr="PubMed Central (PMC)">
          <a:extLst>
            <a:ext uri="{FF2B5EF4-FFF2-40B4-BE49-F238E27FC236}">
              <a16:creationId xmlns:a16="http://schemas.microsoft.com/office/drawing/2014/main" id="{B510BAC8-CCB9-492D-8180-CAD51906B144}"/>
            </a:ext>
          </a:extLst>
        </xdr:cNvPr>
        <xdr:cNvSpPr>
          <a:spLocks noChangeAspect="1" noChangeArrowheads="1"/>
        </xdr:cNvSpPr>
      </xdr:nvSpPr>
      <xdr:spPr bwMode="auto">
        <a:xfrm>
          <a:off x="3429000" y="11567160"/>
          <a:ext cx="152400" cy="1556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68</xdr:row>
      <xdr:rowOff>0</xdr:rowOff>
    </xdr:from>
    <xdr:ext cx="152400" cy="155601"/>
    <xdr:sp macro="" textlink="">
      <xdr:nvSpPr>
        <xdr:cNvPr id="185" name="AutoShape 3" descr="NCBI Bookshelf">
          <a:extLst>
            <a:ext uri="{FF2B5EF4-FFF2-40B4-BE49-F238E27FC236}">
              <a16:creationId xmlns:a16="http://schemas.microsoft.com/office/drawing/2014/main" id="{09281342-D795-4F46-83EB-D0E21527172F}"/>
            </a:ext>
          </a:extLst>
        </xdr:cNvPr>
        <xdr:cNvSpPr>
          <a:spLocks noChangeAspect="1" noChangeArrowheads="1"/>
        </xdr:cNvSpPr>
      </xdr:nvSpPr>
      <xdr:spPr bwMode="auto">
        <a:xfrm>
          <a:off x="3429000" y="11567160"/>
          <a:ext cx="152400" cy="1556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69</xdr:row>
      <xdr:rowOff>0</xdr:rowOff>
    </xdr:from>
    <xdr:ext cx="152400" cy="155601"/>
    <xdr:sp macro="" textlink="">
      <xdr:nvSpPr>
        <xdr:cNvPr id="186" name="AutoShape 1" descr="PubMed Central (PMC)">
          <a:extLst>
            <a:ext uri="{FF2B5EF4-FFF2-40B4-BE49-F238E27FC236}">
              <a16:creationId xmlns:a16="http://schemas.microsoft.com/office/drawing/2014/main" id="{D2881D08-DB47-4A57-AEAE-9105F321EE71}"/>
            </a:ext>
          </a:extLst>
        </xdr:cNvPr>
        <xdr:cNvSpPr>
          <a:spLocks noChangeAspect="1" noChangeArrowheads="1"/>
        </xdr:cNvSpPr>
      </xdr:nvSpPr>
      <xdr:spPr bwMode="auto">
        <a:xfrm>
          <a:off x="3429000" y="11742420"/>
          <a:ext cx="152400" cy="1556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69</xdr:row>
      <xdr:rowOff>0</xdr:rowOff>
    </xdr:from>
    <xdr:ext cx="152400" cy="155601"/>
    <xdr:sp macro="" textlink="">
      <xdr:nvSpPr>
        <xdr:cNvPr id="187" name="AutoShape 3" descr="NCBI Bookshelf">
          <a:extLst>
            <a:ext uri="{FF2B5EF4-FFF2-40B4-BE49-F238E27FC236}">
              <a16:creationId xmlns:a16="http://schemas.microsoft.com/office/drawing/2014/main" id="{37914DBC-F8FE-4634-84A6-B74CEAB3B610}"/>
            </a:ext>
          </a:extLst>
        </xdr:cNvPr>
        <xdr:cNvSpPr>
          <a:spLocks noChangeAspect="1" noChangeArrowheads="1"/>
        </xdr:cNvSpPr>
      </xdr:nvSpPr>
      <xdr:spPr bwMode="auto">
        <a:xfrm>
          <a:off x="3429000" y="11742420"/>
          <a:ext cx="152400" cy="1556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388</xdr:row>
      <xdr:rowOff>0</xdr:rowOff>
    </xdr:from>
    <xdr:ext cx="152400" cy="157202"/>
    <xdr:sp macro="" textlink="">
      <xdr:nvSpPr>
        <xdr:cNvPr id="188" name="AutoShape 1" descr="PubMed Central (PMC)">
          <a:extLst>
            <a:ext uri="{FF2B5EF4-FFF2-40B4-BE49-F238E27FC236}">
              <a16:creationId xmlns:a16="http://schemas.microsoft.com/office/drawing/2014/main" id="{FB2E488D-AB27-4C96-9D9F-ADB11CC93525}"/>
            </a:ext>
          </a:extLst>
        </xdr:cNvPr>
        <xdr:cNvSpPr>
          <a:spLocks noChangeAspect="1" noChangeArrowheads="1"/>
        </xdr:cNvSpPr>
      </xdr:nvSpPr>
      <xdr:spPr bwMode="auto">
        <a:xfrm>
          <a:off x="3429000" y="6765036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388</xdr:row>
      <xdr:rowOff>0</xdr:rowOff>
    </xdr:from>
    <xdr:ext cx="152400" cy="157202"/>
    <xdr:sp macro="" textlink="">
      <xdr:nvSpPr>
        <xdr:cNvPr id="189" name="AutoShape 3" descr="NCBI Bookshelf">
          <a:extLst>
            <a:ext uri="{FF2B5EF4-FFF2-40B4-BE49-F238E27FC236}">
              <a16:creationId xmlns:a16="http://schemas.microsoft.com/office/drawing/2014/main" id="{8CCFACAA-89AA-4E90-8BBC-C1B37990F7F6}"/>
            </a:ext>
          </a:extLst>
        </xdr:cNvPr>
        <xdr:cNvSpPr>
          <a:spLocks noChangeAspect="1" noChangeArrowheads="1"/>
        </xdr:cNvSpPr>
      </xdr:nvSpPr>
      <xdr:spPr bwMode="auto">
        <a:xfrm>
          <a:off x="3429000" y="6765036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292</xdr:row>
      <xdr:rowOff>0</xdr:rowOff>
    </xdr:from>
    <xdr:ext cx="152400" cy="157202"/>
    <xdr:sp macro="" textlink="">
      <xdr:nvSpPr>
        <xdr:cNvPr id="190" name="AutoShape 1" descr="PubMed Central (PMC)">
          <a:extLst>
            <a:ext uri="{FF2B5EF4-FFF2-40B4-BE49-F238E27FC236}">
              <a16:creationId xmlns:a16="http://schemas.microsoft.com/office/drawing/2014/main" id="{1694420C-A847-4424-A5F9-DDF738B5DA72}"/>
            </a:ext>
          </a:extLst>
        </xdr:cNvPr>
        <xdr:cNvSpPr>
          <a:spLocks noChangeAspect="1" noChangeArrowheads="1"/>
        </xdr:cNvSpPr>
      </xdr:nvSpPr>
      <xdr:spPr bwMode="auto">
        <a:xfrm>
          <a:off x="3429000" y="508254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292</xdr:row>
      <xdr:rowOff>0</xdr:rowOff>
    </xdr:from>
    <xdr:ext cx="152400" cy="157202"/>
    <xdr:sp macro="" textlink="">
      <xdr:nvSpPr>
        <xdr:cNvPr id="191" name="AutoShape 3" descr="NCBI Bookshelf">
          <a:extLst>
            <a:ext uri="{FF2B5EF4-FFF2-40B4-BE49-F238E27FC236}">
              <a16:creationId xmlns:a16="http://schemas.microsoft.com/office/drawing/2014/main" id="{97D6B4FD-890C-4A5B-ADCA-3E5EBED2FD28}"/>
            </a:ext>
          </a:extLst>
        </xdr:cNvPr>
        <xdr:cNvSpPr>
          <a:spLocks noChangeAspect="1" noChangeArrowheads="1"/>
        </xdr:cNvSpPr>
      </xdr:nvSpPr>
      <xdr:spPr bwMode="auto">
        <a:xfrm>
          <a:off x="3429000" y="508254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292</xdr:row>
      <xdr:rowOff>0</xdr:rowOff>
    </xdr:from>
    <xdr:ext cx="152400" cy="157202"/>
    <xdr:sp macro="" textlink="">
      <xdr:nvSpPr>
        <xdr:cNvPr id="192" name="AutoShape 1" descr="PubMed Central (PMC)">
          <a:extLst>
            <a:ext uri="{FF2B5EF4-FFF2-40B4-BE49-F238E27FC236}">
              <a16:creationId xmlns:a16="http://schemas.microsoft.com/office/drawing/2014/main" id="{57FA6B14-40DC-4898-8803-B8C898E3B2F9}"/>
            </a:ext>
          </a:extLst>
        </xdr:cNvPr>
        <xdr:cNvSpPr>
          <a:spLocks noChangeAspect="1" noChangeArrowheads="1"/>
        </xdr:cNvSpPr>
      </xdr:nvSpPr>
      <xdr:spPr bwMode="auto">
        <a:xfrm>
          <a:off x="3429000" y="508254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292</xdr:row>
      <xdr:rowOff>0</xdr:rowOff>
    </xdr:from>
    <xdr:ext cx="152400" cy="157202"/>
    <xdr:sp macro="" textlink="">
      <xdr:nvSpPr>
        <xdr:cNvPr id="193" name="AutoShape 3" descr="NCBI Bookshelf">
          <a:extLst>
            <a:ext uri="{FF2B5EF4-FFF2-40B4-BE49-F238E27FC236}">
              <a16:creationId xmlns:a16="http://schemas.microsoft.com/office/drawing/2014/main" id="{653F9E2C-07B9-4164-9897-05BE804F7B2D}"/>
            </a:ext>
          </a:extLst>
        </xdr:cNvPr>
        <xdr:cNvSpPr>
          <a:spLocks noChangeAspect="1" noChangeArrowheads="1"/>
        </xdr:cNvSpPr>
      </xdr:nvSpPr>
      <xdr:spPr bwMode="auto">
        <a:xfrm>
          <a:off x="3429000" y="5082540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296</xdr:row>
      <xdr:rowOff>0</xdr:rowOff>
    </xdr:from>
    <xdr:ext cx="152400" cy="157202"/>
    <xdr:sp macro="" textlink="">
      <xdr:nvSpPr>
        <xdr:cNvPr id="194" name="AutoShape 1" descr="PubMed Central (PMC)">
          <a:extLst>
            <a:ext uri="{FF2B5EF4-FFF2-40B4-BE49-F238E27FC236}">
              <a16:creationId xmlns:a16="http://schemas.microsoft.com/office/drawing/2014/main" id="{1FB785D7-CE1B-4D76-A3C4-02F9971CD451}"/>
            </a:ext>
          </a:extLst>
        </xdr:cNvPr>
        <xdr:cNvSpPr>
          <a:spLocks noChangeAspect="1" noChangeArrowheads="1"/>
        </xdr:cNvSpPr>
      </xdr:nvSpPr>
      <xdr:spPr bwMode="auto">
        <a:xfrm>
          <a:off x="3429000" y="5152644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296</xdr:row>
      <xdr:rowOff>0</xdr:rowOff>
    </xdr:from>
    <xdr:ext cx="152400" cy="157202"/>
    <xdr:sp macro="" textlink="">
      <xdr:nvSpPr>
        <xdr:cNvPr id="195" name="AutoShape 3" descr="NCBI Bookshelf">
          <a:extLst>
            <a:ext uri="{FF2B5EF4-FFF2-40B4-BE49-F238E27FC236}">
              <a16:creationId xmlns:a16="http://schemas.microsoft.com/office/drawing/2014/main" id="{24B09D2F-78FE-4C3F-A059-D0C958BF11F2}"/>
            </a:ext>
          </a:extLst>
        </xdr:cNvPr>
        <xdr:cNvSpPr>
          <a:spLocks noChangeAspect="1" noChangeArrowheads="1"/>
        </xdr:cNvSpPr>
      </xdr:nvSpPr>
      <xdr:spPr bwMode="auto">
        <a:xfrm>
          <a:off x="3429000" y="5152644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296</xdr:row>
      <xdr:rowOff>0</xdr:rowOff>
    </xdr:from>
    <xdr:ext cx="152400" cy="157202"/>
    <xdr:sp macro="" textlink="">
      <xdr:nvSpPr>
        <xdr:cNvPr id="196" name="AutoShape 1" descr="PubMed Central (PMC)">
          <a:extLst>
            <a:ext uri="{FF2B5EF4-FFF2-40B4-BE49-F238E27FC236}">
              <a16:creationId xmlns:a16="http://schemas.microsoft.com/office/drawing/2014/main" id="{9B41AA9A-BCE1-4667-9A51-E4170689C831}"/>
            </a:ext>
          </a:extLst>
        </xdr:cNvPr>
        <xdr:cNvSpPr>
          <a:spLocks noChangeAspect="1" noChangeArrowheads="1"/>
        </xdr:cNvSpPr>
      </xdr:nvSpPr>
      <xdr:spPr bwMode="auto">
        <a:xfrm>
          <a:off x="3429000" y="5152644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296</xdr:row>
      <xdr:rowOff>0</xdr:rowOff>
    </xdr:from>
    <xdr:ext cx="152400" cy="157202"/>
    <xdr:sp macro="" textlink="">
      <xdr:nvSpPr>
        <xdr:cNvPr id="197" name="AutoShape 3" descr="NCBI Bookshelf">
          <a:extLst>
            <a:ext uri="{FF2B5EF4-FFF2-40B4-BE49-F238E27FC236}">
              <a16:creationId xmlns:a16="http://schemas.microsoft.com/office/drawing/2014/main" id="{631DC2A3-FF77-4812-8A92-065C4113A763}"/>
            </a:ext>
          </a:extLst>
        </xdr:cNvPr>
        <xdr:cNvSpPr>
          <a:spLocks noChangeAspect="1" noChangeArrowheads="1"/>
        </xdr:cNvSpPr>
      </xdr:nvSpPr>
      <xdr:spPr bwMode="auto">
        <a:xfrm>
          <a:off x="3429000" y="5152644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296</xdr:row>
      <xdr:rowOff>0</xdr:rowOff>
    </xdr:from>
    <xdr:ext cx="152400" cy="157202"/>
    <xdr:sp macro="" textlink="">
      <xdr:nvSpPr>
        <xdr:cNvPr id="198" name="AutoShape 1" descr="PubMed Central (PMC)">
          <a:extLst>
            <a:ext uri="{FF2B5EF4-FFF2-40B4-BE49-F238E27FC236}">
              <a16:creationId xmlns:a16="http://schemas.microsoft.com/office/drawing/2014/main" id="{FD375538-5136-4CE6-86C5-4B4DD535942B}"/>
            </a:ext>
          </a:extLst>
        </xdr:cNvPr>
        <xdr:cNvSpPr>
          <a:spLocks noChangeAspect="1" noChangeArrowheads="1"/>
        </xdr:cNvSpPr>
      </xdr:nvSpPr>
      <xdr:spPr bwMode="auto">
        <a:xfrm>
          <a:off x="3429000" y="5152644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296</xdr:row>
      <xdr:rowOff>0</xdr:rowOff>
    </xdr:from>
    <xdr:ext cx="152400" cy="157202"/>
    <xdr:sp macro="" textlink="">
      <xdr:nvSpPr>
        <xdr:cNvPr id="199" name="AutoShape 3" descr="NCBI Bookshelf">
          <a:extLst>
            <a:ext uri="{FF2B5EF4-FFF2-40B4-BE49-F238E27FC236}">
              <a16:creationId xmlns:a16="http://schemas.microsoft.com/office/drawing/2014/main" id="{C9EFC73E-9607-4D5E-927D-1F7B3BD57937}"/>
            </a:ext>
          </a:extLst>
        </xdr:cNvPr>
        <xdr:cNvSpPr>
          <a:spLocks noChangeAspect="1" noChangeArrowheads="1"/>
        </xdr:cNvSpPr>
      </xdr:nvSpPr>
      <xdr:spPr bwMode="auto">
        <a:xfrm>
          <a:off x="3429000" y="5152644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294</xdr:row>
      <xdr:rowOff>0</xdr:rowOff>
    </xdr:from>
    <xdr:ext cx="152400" cy="157202"/>
    <xdr:sp macro="" textlink="">
      <xdr:nvSpPr>
        <xdr:cNvPr id="200" name="AutoShape 1" descr="PubMed Central (PMC)">
          <a:extLst>
            <a:ext uri="{FF2B5EF4-FFF2-40B4-BE49-F238E27FC236}">
              <a16:creationId xmlns:a16="http://schemas.microsoft.com/office/drawing/2014/main" id="{8C8FC39B-6148-47B4-BE7F-1B3CFD7D81F3}"/>
            </a:ext>
          </a:extLst>
        </xdr:cNvPr>
        <xdr:cNvSpPr>
          <a:spLocks noChangeAspect="1" noChangeArrowheads="1"/>
        </xdr:cNvSpPr>
      </xdr:nvSpPr>
      <xdr:spPr bwMode="auto">
        <a:xfrm>
          <a:off x="3429000" y="5117592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294</xdr:row>
      <xdr:rowOff>0</xdr:rowOff>
    </xdr:from>
    <xdr:ext cx="152400" cy="157202"/>
    <xdr:sp macro="" textlink="">
      <xdr:nvSpPr>
        <xdr:cNvPr id="201" name="AutoShape 3" descr="NCBI Bookshelf">
          <a:extLst>
            <a:ext uri="{FF2B5EF4-FFF2-40B4-BE49-F238E27FC236}">
              <a16:creationId xmlns:a16="http://schemas.microsoft.com/office/drawing/2014/main" id="{94B24361-06FD-4443-97F1-C2C481A59811}"/>
            </a:ext>
          </a:extLst>
        </xdr:cNvPr>
        <xdr:cNvSpPr>
          <a:spLocks noChangeAspect="1" noChangeArrowheads="1"/>
        </xdr:cNvSpPr>
      </xdr:nvSpPr>
      <xdr:spPr bwMode="auto">
        <a:xfrm>
          <a:off x="3429000" y="5117592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294</xdr:row>
      <xdr:rowOff>0</xdr:rowOff>
    </xdr:from>
    <xdr:ext cx="152400" cy="157202"/>
    <xdr:sp macro="" textlink="">
      <xdr:nvSpPr>
        <xdr:cNvPr id="202" name="AutoShape 1" descr="PubMed Central (PMC)">
          <a:extLst>
            <a:ext uri="{FF2B5EF4-FFF2-40B4-BE49-F238E27FC236}">
              <a16:creationId xmlns:a16="http://schemas.microsoft.com/office/drawing/2014/main" id="{C3943E66-A53F-4480-AEF2-A0553CDC498E}"/>
            </a:ext>
          </a:extLst>
        </xdr:cNvPr>
        <xdr:cNvSpPr>
          <a:spLocks noChangeAspect="1" noChangeArrowheads="1"/>
        </xdr:cNvSpPr>
      </xdr:nvSpPr>
      <xdr:spPr bwMode="auto">
        <a:xfrm>
          <a:off x="3429000" y="5117592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294</xdr:row>
      <xdr:rowOff>0</xdr:rowOff>
    </xdr:from>
    <xdr:ext cx="152400" cy="157202"/>
    <xdr:sp macro="" textlink="">
      <xdr:nvSpPr>
        <xdr:cNvPr id="203" name="AutoShape 3" descr="NCBI Bookshelf">
          <a:extLst>
            <a:ext uri="{FF2B5EF4-FFF2-40B4-BE49-F238E27FC236}">
              <a16:creationId xmlns:a16="http://schemas.microsoft.com/office/drawing/2014/main" id="{6B6EF5F5-7372-40C9-93E2-2B80B7AE36D2}"/>
            </a:ext>
          </a:extLst>
        </xdr:cNvPr>
        <xdr:cNvSpPr>
          <a:spLocks noChangeAspect="1" noChangeArrowheads="1"/>
        </xdr:cNvSpPr>
      </xdr:nvSpPr>
      <xdr:spPr bwMode="auto">
        <a:xfrm>
          <a:off x="3429000" y="5117592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294</xdr:row>
      <xdr:rowOff>0</xdr:rowOff>
    </xdr:from>
    <xdr:ext cx="152400" cy="157202"/>
    <xdr:sp macro="" textlink="">
      <xdr:nvSpPr>
        <xdr:cNvPr id="204" name="AutoShape 1" descr="PubMed Central (PMC)">
          <a:extLst>
            <a:ext uri="{FF2B5EF4-FFF2-40B4-BE49-F238E27FC236}">
              <a16:creationId xmlns:a16="http://schemas.microsoft.com/office/drawing/2014/main" id="{E9967C58-D446-4500-9AE1-9430EB3E9CBB}"/>
            </a:ext>
          </a:extLst>
        </xdr:cNvPr>
        <xdr:cNvSpPr>
          <a:spLocks noChangeAspect="1" noChangeArrowheads="1"/>
        </xdr:cNvSpPr>
      </xdr:nvSpPr>
      <xdr:spPr bwMode="auto">
        <a:xfrm>
          <a:off x="3429000" y="5117592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294</xdr:row>
      <xdr:rowOff>0</xdr:rowOff>
    </xdr:from>
    <xdr:ext cx="152400" cy="157202"/>
    <xdr:sp macro="" textlink="">
      <xdr:nvSpPr>
        <xdr:cNvPr id="205" name="AutoShape 3" descr="NCBI Bookshelf">
          <a:extLst>
            <a:ext uri="{FF2B5EF4-FFF2-40B4-BE49-F238E27FC236}">
              <a16:creationId xmlns:a16="http://schemas.microsoft.com/office/drawing/2014/main" id="{A0C5F740-7F81-4F0C-A819-F6C9C81EB4AA}"/>
            </a:ext>
          </a:extLst>
        </xdr:cNvPr>
        <xdr:cNvSpPr>
          <a:spLocks noChangeAspect="1" noChangeArrowheads="1"/>
        </xdr:cNvSpPr>
      </xdr:nvSpPr>
      <xdr:spPr bwMode="auto">
        <a:xfrm>
          <a:off x="3429000" y="5117592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295</xdr:row>
      <xdr:rowOff>0</xdr:rowOff>
    </xdr:from>
    <xdr:ext cx="152400" cy="157202"/>
    <xdr:sp macro="" textlink="">
      <xdr:nvSpPr>
        <xdr:cNvPr id="206" name="AutoShape 1" descr="PubMed Central (PMC)">
          <a:extLst>
            <a:ext uri="{FF2B5EF4-FFF2-40B4-BE49-F238E27FC236}">
              <a16:creationId xmlns:a16="http://schemas.microsoft.com/office/drawing/2014/main" id="{CA938479-7A6A-4821-8ED6-B409FA43D5F8}"/>
            </a:ext>
          </a:extLst>
        </xdr:cNvPr>
        <xdr:cNvSpPr>
          <a:spLocks noChangeAspect="1" noChangeArrowheads="1"/>
        </xdr:cNvSpPr>
      </xdr:nvSpPr>
      <xdr:spPr bwMode="auto">
        <a:xfrm>
          <a:off x="3429000" y="5135118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295</xdr:row>
      <xdr:rowOff>0</xdr:rowOff>
    </xdr:from>
    <xdr:ext cx="152400" cy="157202"/>
    <xdr:sp macro="" textlink="">
      <xdr:nvSpPr>
        <xdr:cNvPr id="207" name="AutoShape 3" descr="NCBI Bookshelf">
          <a:extLst>
            <a:ext uri="{FF2B5EF4-FFF2-40B4-BE49-F238E27FC236}">
              <a16:creationId xmlns:a16="http://schemas.microsoft.com/office/drawing/2014/main" id="{AB80C304-447F-46AC-9B13-64EB2569901C}"/>
            </a:ext>
          </a:extLst>
        </xdr:cNvPr>
        <xdr:cNvSpPr>
          <a:spLocks noChangeAspect="1" noChangeArrowheads="1"/>
        </xdr:cNvSpPr>
      </xdr:nvSpPr>
      <xdr:spPr bwMode="auto">
        <a:xfrm>
          <a:off x="3429000" y="5135118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295</xdr:row>
      <xdr:rowOff>0</xdr:rowOff>
    </xdr:from>
    <xdr:ext cx="152400" cy="157202"/>
    <xdr:sp macro="" textlink="">
      <xdr:nvSpPr>
        <xdr:cNvPr id="208" name="AutoShape 1" descr="PubMed Central (PMC)">
          <a:extLst>
            <a:ext uri="{FF2B5EF4-FFF2-40B4-BE49-F238E27FC236}">
              <a16:creationId xmlns:a16="http://schemas.microsoft.com/office/drawing/2014/main" id="{4BD780E1-9853-4C4A-8CF8-B5EF768C5C91}"/>
            </a:ext>
          </a:extLst>
        </xdr:cNvPr>
        <xdr:cNvSpPr>
          <a:spLocks noChangeAspect="1" noChangeArrowheads="1"/>
        </xdr:cNvSpPr>
      </xdr:nvSpPr>
      <xdr:spPr bwMode="auto">
        <a:xfrm>
          <a:off x="3429000" y="5135118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295</xdr:row>
      <xdr:rowOff>0</xdr:rowOff>
    </xdr:from>
    <xdr:ext cx="152400" cy="157202"/>
    <xdr:sp macro="" textlink="">
      <xdr:nvSpPr>
        <xdr:cNvPr id="209" name="AutoShape 3" descr="NCBI Bookshelf">
          <a:extLst>
            <a:ext uri="{FF2B5EF4-FFF2-40B4-BE49-F238E27FC236}">
              <a16:creationId xmlns:a16="http://schemas.microsoft.com/office/drawing/2014/main" id="{81725B57-E9FD-4752-ABC0-DA867B7EA395}"/>
            </a:ext>
          </a:extLst>
        </xdr:cNvPr>
        <xdr:cNvSpPr>
          <a:spLocks noChangeAspect="1" noChangeArrowheads="1"/>
        </xdr:cNvSpPr>
      </xdr:nvSpPr>
      <xdr:spPr bwMode="auto">
        <a:xfrm>
          <a:off x="3429000" y="5135118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295</xdr:row>
      <xdr:rowOff>0</xdr:rowOff>
    </xdr:from>
    <xdr:ext cx="152400" cy="157202"/>
    <xdr:sp macro="" textlink="">
      <xdr:nvSpPr>
        <xdr:cNvPr id="210" name="AutoShape 1" descr="PubMed Central (PMC)">
          <a:extLst>
            <a:ext uri="{FF2B5EF4-FFF2-40B4-BE49-F238E27FC236}">
              <a16:creationId xmlns:a16="http://schemas.microsoft.com/office/drawing/2014/main" id="{1AA12530-EBD9-4A53-94A4-ECA10789EB4A}"/>
            </a:ext>
          </a:extLst>
        </xdr:cNvPr>
        <xdr:cNvSpPr>
          <a:spLocks noChangeAspect="1" noChangeArrowheads="1"/>
        </xdr:cNvSpPr>
      </xdr:nvSpPr>
      <xdr:spPr bwMode="auto">
        <a:xfrm>
          <a:off x="3429000" y="5135118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295</xdr:row>
      <xdr:rowOff>0</xdr:rowOff>
    </xdr:from>
    <xdr:ext cx="152400" cy="157202"/>
    <xdr:sp macro="" textlink="">
      <xdr:nvSpPr>
        <xdr:cNvPr id="211" name="AutoShape 3" descr="NCBI Bookshelf">
          <a:extLst>
            <a:ext uri="{FF2B5EF4-FFF2-40B4-BE49-F238E27FC236}">
              <a16:creationId xmlns:a16="http://schemas.microsoft.com/office/drawing/2014/main" id="{F28D0BDF-27D5-4C33-93E1-64458E4FBD19}"/>
            </a:ext>
          </a:extLst>
        </xdr:cNvPr>
        <xdr:cNvSpPr>
          <a:spLocks noChangeAspect="1" noChangeArrowheads="1"/>
        </xdr:cNvSpPr>
      </xdr:nvSpPr>
      <xdr:spPr bwMode="auto">
        <a:xfrm>
          <a:off x="3429000" y="5135118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295</xdr:row>
      <xdr:rowOff>0</xdr:rowOff>
    </xdr:from>
    <xdr:ext cx="152400" cy="157202"/>
    <xdr:sp macro="" textlink="">
      <xdr:nvSpPr>
        <xdr:cNvPr id="212" name="AutoShape 1" descr="PubMed Central (PMC)">
          <a:extLst>
            <a:ext uri="{FF2B5EF4-FFF2-40B4-BE49-F238E27FC236}">
              <a16:creationId xmlns:a16="http://schemas.microsoft.com/office/drawing/2014/main" id="{08085369-5F79-44EB-8DAC-AE0D1934D5E0}"/>
            </a:ext>
          </a:extLst>
        </xdr:cNvPr>
        <xdr:cNvSpPr>
          <a:spLocks noChangeAspect="1" noChangeArrowheads="1"/>
        </xdr:cNvSpPr>
      </xdr:nvSpPr>
      <xdr:spPr bwMode="auto">
        <a:xfrm>
          <a:off x="3429000" y="5135118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295</xdr:row>
      <xdr:rowOff>0</xdr:rowOff>
    </xdr:from>
    <xdr:ext cx="152400" cy="157202"/>
    <xdr:sp macro="" textlink="">
      <xdr:nvSpPr>
        <xdr:cNvPr id="213" name="AutoShape 3" descr="NCBI Bookshelf">
          <a:extLst>
            <a:ext uri="{FF2B5EF4-FFF2-40B4-BE49-F238E27FC236}">
              <a16:creationId xmlns:a16="http://schemas.microsoft.com/office/drawing/2014/main" id="{5BC568CF-C2C7-4A89-BB26-23484CE46AAC}"/>
            </a:ext>
          </a:extLst>
        </xdr:cNvPr>
        <xdr:cNvSpPr>
          <a:spLocks noChangeAspect="1" noChangeArrowheads="1"/>
        </xdr:cNvSpPr>
      </xdr:nvSpPr>
      <xdr:spPr bwMode="auto">
        <a:xfrm>
          <a:off x="3429000" y="5135118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295</xdr:row>
      <xdr:rowOff>0</xdr:rowOff>
    </xdr:from>
    <xdr:ext cx="152400" cy="157202"/>
    <xdr:sp macro="" textlink="">
      <xdr:nvSpPr>
        <xdr:cNvPr id="214" name="AutoShape 1" descr="PubMed Central (PMC)">
          <a:extLst>
            <a:ext uri="{FF2B5EF4-FFF2-40B4-BE49-F238E27FC236}">
              <a16:creationId xmlns:a16="http://schemas.microsoft.com/office/drawing/2014/main" id="{FCE7FAA6-0534-49F4-AEDE-03D2D2C9EB9A}"/>
            </a:ext>
          </a:extLst>
        </xdr:cNvPr>
        <xdr:cNvSpPr>
          <a:spLocks noChangeAspect="1" noChangeArrowheads="1"/>
        </xdr:cNvSpPr>
      </xdr:nvSpPr>
      <xdr:spPr bwMode="auto">
        <a:xfrm>
          <a:off x="3429000" y="5135118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295</xdr:row>
      <xdr:rowOff>0</xdr:rowOff>
    </xdr:from>
    <xdr:ext cx="152400" cy="157202"/>
    <xdr:sp macro="" textlink="">
      <xdr:nvSpPr>
        <xdr:cNvPr id="215" name="AutoShape 3" descr="NCBI Bookshelf">
          <a:extLst>
            <a:ext uri="{FF2B5EF4-FFF2-40B4-BE49-F238E27FC236}">
              <a16:creationId xmlns:a16="http://schemas.microsoft.com/office/drawing/2014/main" id="{5C40F9CA-2E56-43AE-B383-B0A31A313EEF}"/>
            </a:ext>
          </a:extLst>
        </xdr:cNvPr>
        <xdr:cNvSpPr>
          <a:spLocks noChangeAspect="1" noChangeArrowheads="1"/>
        </xdr:cNvSpPr>
      </xdr:nvSpPr>
      <xdr:spPr bwMode="auto">
        <a:xfrm>
          <a:off x="3429000" y="5135118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295</xdr:row>
      <xdr:rowOff>0</xdr:rowOff>
    </xdr:from>
    <xdr:ext cx="152400" cy="157202"/>
    <xdr:sp macro="" textlink="">
      <xdr:nvSpPr>
        <xdr:cNvPr id="216" name="AutoShape 1" descr="PubMed Central (PMC)">
          <a:extLst>
            <a:ext uri="{FF2B5EF4-FFF2-40B4-BE49-F238E27FC236}">
              <a16:creationId xmlns:a16="http://schemas.microsoft.com/office/drawing/2014/main" id="{83667A97-796D-440D-B9AC-B621C7202516}"/>
            </a:ext>
          </a:extLst>
        </xdr:cNvPr>
        <xdr:cNvSpPr>
          <a:spLocks noChangeAspect="1" noChangeArrowheads="1"/>
        </xdr:cNvSpPr>
      </xdr:nvSpPr>
      <xdr:spPr bwMode="auto">
        <a:xfrm>
          <a:off x="3429000" y="5135118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295</xdr:row>
      <xdr:rowOff>0</xdr:rowOff>
    </xdr:from>
    <xdr:ext cx="152400" cy="157202"/>
    <xdr:sp macro="" textlink="">
      <xdr:nvSpPr>
        <xdr:cNvPr id="217" name="AutoShape 3" descr="NCBI Bookshelf">
          <a:extLst>
            <a:ext uri="{FF2B5EF4-FFF2-40B4-BE49-F238E27FC236}">
              <a16:creationId xmlns:a16="http://schemas.microsoft.com/office/drawing/2014/main" id="{5821E56D-A78E-43ED-95F1-10390CB4FF70}"/>
            </a:ext>
          </a:extLst>
        </xdr:cNvPr>
        <xdr:cNvSpPr>
          <a:spLocks noChangeAspect="1" noChangeArrowheads="1"/>
        </xdr:cNvSpPr>
      </xdr:nvSpPr>
      <xdr:spPr bwMode="auto">
        <a:xfrm>
          <a:off x="3429000" y="5135118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295</xdr:row>
      <xdr:rowOff>0</xdr:rowOff>
    </xdr:from>
    <xdr:ext cx="152400" cy="157202"/>
    <xdr:sp macro="" textlink="">
      <xdr:nvSpPr>
        <xdr:cNvPr id="218" name="AutoShape 1" descr="PubMed Central (PMC)">
          <a:extLst>
            <a:ext uri="{FF2B5EF4-FFF2-40B4-BE49-F238E27FC236}">
              <a16:creationId xmlns:a16="http://schemas.microsoft.com/office/drawing/2014/main" id="{A4C0E7E4-9C67-46CD-8D6D-BC49E121AD91}"/>
            </a:ext>
          </a:extLst>
        </xdr:cNvPr>
        <xdr:cNvSpPr>
          <a:spLocks noChangeAspect="1" noChangeArrowheads="1"/>
        </xdr:cNvSpPr>
      </xdr:nvSpPr>
      <xdr:spPr bwMode="auto">
        <a:xfrm>
          <a:off x="3429000" y="5135118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295</xdr:row>
      <xdr:rowOff>0</xdr:rowOff>
    </xdr:from>
    <xdr:ext cx="152400" cy="157202"/>
    <xdr:sp macro="" textlink="">
      <xdr:nvSpPr>
        <xdr:cNvPr id="219" name="AutoShape 3" descr="NCBI Bookshelf">
          <a:extLst>
            <a:ext uri="{FF2B5EF4-FFF2-40B4-BE49-F238E27FC236}">
              <a16:creationId xmlns:a16="http://schemas.microsoft.com/office/drawing/2014/main" id="{1BD8400A-3889-4D73-81EB-7FC635566E68}"/>
            </a:ext>
          </a:extLst>
        </xdr:cNvPr>
        <xdr:cNvSpPr>
          <a:spLocks noChangeAspect="1" noChangeArrowheads="1"/>
        </xdr:cNvSpPr>
      </xdr:nvSpPr>
      <xdr:spPr bwMode="auto">
        <a:xfrm>
          <a:off x="3429000" y="5135118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295</xdr:row>
      <xdr:rowOff>0</xdr:rowOff>
    </xdr:from>
    <xdr:ext cx="152400" cy="157202"/>
    <xdr:sp macro="" textlink="">
      <xdr:nvSpPr>
        <xdr:cNvPr id="220" name="AutoShape 1" descr="PubMed Central (PMC)">
          <a:extLst>
            <a:ext uri="{FF2B5EF4-FFF2-40B4-BE49-F238E27FC236}">
              <a16:creationId xmlns:a16="http://schemas.microsoft.com/office/drawing/2014/main" id="{79ABA169-1E2D-4208-8402-33C9723F8463}"/>
            </a:ext>
          </a:extLst>
        </xdr:cNvPr>
        <xdr:cNvSpPr>
          <a:spLocks noChangeAspect="1" noChangeArrowheads="1"/>
        </xdr:cNvSpPr>
      </xdr:nvSpPr>
      <xdr:spPr bwMode="auto">
        <a:xfrm>
          <a:off x="3429000" y="5135118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295</xdr:row>
      <xdr:rowOff>0</xdr:rowOff>
    </xdr:from>
    <xdr:ext cx="152400" cy="157202"/>
    <xdr:sp macro="" textlink="">
      <xdr:nvSpPr>
        <xdr:cNvPr id="221" name="AutoShape 3" descr="NCBI Bookshelf">
          <a:extLst>
            <a:ext uri="{FF2B5EF4-FFF2-40B4-BE49-F238E27FC236}">
              <a16:creationId xmlns:a16="http://schemas.microsoft.com/office/drawing/2014/main" id="{9AC7AC03-4FBA-4F25-8A8C-D25159DD4D9E}"/>
            </a:ext>
          </a:extLst>
        </xdr:cNvPr>
        <xdr:cNvSpPr>
          <a:spLocks noChangeAspect="1" noChangeArrowheads="1"/>
        </xdr:cNvSpPr>
      </xdr:nvSpPr>
      <xdr:spPr bwMode="auto">
        <a:xfrm>
          <a:off x="3429000" y="5135118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295</xdr:row>
      <xdr:rowOff>0</xdr:rowOff>
    </xdr:from>
    <xdr:ext cx="152400" cy="157202"/>
    <xdr:sp macro="" textlink="">
      <xdr:nvSpPr>
        <xdr:cNvPr id="222" name="AutoShape 1" descr="PubMed Central (PMC)">
          <a:extLst>
            <a:ext uri="{FF2B5EF4-FFF2-40B4-BE49-F238E27FC236}">
              <a16:creationId xmlns:a16="http://schemas.microsoft.com/office/drawing/2014/main" id="{36E7B7E0-30FE-4C7F-A445-F431FA8AA5CC}"/>
            </a:ext>
          </a:extLst>
        </xdr:cNvPr>
        <xdr:cNvSpPr>
          <a:spLocks noChangeAspect="1" noChangeArrowheads="1"/>
        </xdr:cNvSpPr>
      </xdr:nvSpPr>
      <xdr:spPr bwMode="auto">
        <a:xfrm>
          <a:off x="3429000" y="5135118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295</xdr:row>
      <xdr:rowOff>0</xdr:rowOff>
    </xdr:from>
    <xdr:ext cx="152400" cy="157202"/>
    <xdr:sp macro="" textlink="">
      <xdr:nvSpPr>
        <xdr:cNvPr id="223" name="AutoShape 3" descr="NCBI Bookshelf">
          <a:extLst>
            <a:ext uri="{FF2B5EF4-FFF2-40B4-BE49-F238E27FC236}">
              <a16:creationId xmlns:a16="http://schemas.microsoft.com/office/drawing/2014/main" id="{E24B6EB3-CFDF-421A-A0FC-8106254BD047}"/>
            </a:ext>
          </a:extLst>
        </xdr:cNvPr>
        <xdr:cNvSpPr>
          <a:spLocks noChangeAspect="1" noChangeArrowheads="1"/>
        </xdr:cNvSpPr>
      </xdr:nvSpPr>
      <xdr:spPr bwMode="auto">
        <a:xfrm>
          <a:off x="3429000" y="5135118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295</xdr:row>
      <xdr:rowOff>0</xdr:rowOff>
    </xdr:from>
    <xdr:ext cx="152400" cy="157202"/>
    <xdr:sp macro="" textlink="">
      <xdr:nvSpPr>
        <xdr:cNvPr id="224" name="AutoShape 1" descr="PubMed Central (PMC)">
          <a:extLst>
            <a:ext uri="{FF2B5EF4-FFF2-40B4-BE49-F238E27FC236}">
              <a16:creationId xmlns:a16="http://schemas.microsoft.com/office/drawing/2014/main" id="{2369AE13-7570-4934-85F6-C4FD5DB9944A}"/>
            </a:ext>
          </a:extLst>
        </xdr:cNvPr>
        <xdr:cNvSpPr>
          <a:spLocks noChangeAspect="1" noChangeArrowheads="1"/>
        </xdr:cNvSpPr>
      </xdr:nvSpPr>
      <xdr:spPr bwMode="auto">
        <a:xfrm>
          <a:off x="3429000" y="5135118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295</xdr:row>
      <xdr:rowOff>0</xdr:rowOff>
    </xdr:from>
    <xdr:ext cx="152400" cy="157202"/>
    <xdr:sp macro="" textlink="">
      <xdr:nvSpPr>
        <xdr:cNvPr id="225" name="AutoShape 3" descr="NCBI Bookshelf">
          <a:extLst>
            <a:ext uri="{FF2B5EF4-FFF2-40B4-BE49-F238E27FC236}">
              <a16:creationId xmlns:a16="http://schemas.microsoft.com/office/drawing/2014/main" id="{8E6FA1FF-8454-4FD1-8385-75427AA18C0B}"/>
            </a:ext>
          </a:extLst>
        </xdr:cNvPr>
        <xdr:cNvSpPr>
          <a:spLocks noChangeAspect="1" noChangeArrowheads="1"/>
        </xdr:cNvSpPr>
      </xdr:nvSpPr>
      <xdr:spPr bwMode="auto">
        <a:xfrm>
          <a:off x="3429000" y="5135118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293</xdr:row>
      <xdr:rowOff>0</xdr:rowOff>
    </xdr:from>
    <xdr:ext cx="152400" cy="157202"/>
    <xdr:sp macro="" textlink="">
      <xdr:nvSpPr>
        <xdr:cNvPr id="226" name="AutoShape 1" descr="PubMed Central (PMC)">
          <a:extLst>
            <a:ext uri="{FF2B5EF4-FFF2-40B4-BE49-F238E27FC236}">
              <a16:creationId xmlns:a16="http://schemas.microsoft.com/office/drawing/2014/main" id="{303D6768-EE1A-4143-B37F-8AE56F590073}"/>
            </a:ext>
          </a:extLst>
        </xdr:cNvPr>
        <xdr:cNvSpPr>
          <a:spLocks noChangeAspect="1" noChangeArrowheads="1"/>
        </xdr:cNvSpPr>
      </xdr:nvSpPr>
      <xdr:spPr bwMode="auto">
        <a:xfrm>
          <a:off x="3429000" y="5100066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293</xdr:row>
      <xdr:rowOff>0</xdr:rowOff>
    </xdr:from>
    <xdr:ext cx="152400" cy="157202"/>
    <xdr:sp macro="" textlink="">
      <xdr:nvSpPr>
        <xdr:cNvPr id="227" name="AutoShape 3" descr="NCBI Bookshelf">
          <a:extLst>
            <a:ext uri="{FF2B5EF4-FFF2-40B4-BE49-F238E27FC236}">
              <a16:creationId xmlns:a16="http://schemas.microsoft.com/office/drawing/2014/main" id="{6B601DDB-BDFA-4C59-926C-CDB272CC3D5B}"/>
            </a:ext>
          </a:extLst>
        </xdr:cNvPr>
        <xdr:cNvSpPr>
          <a:spLocks noChangeAspect="1" noChangeArrowheads="1"/>
        </xdr:cNvSpPr>
      </xdr:nvSpPr>
      <xdr:spPr bwMode="auto">
        <a:xfrm>
          <a:off x="3429000" y="5100066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293</xdr:row>
      <xdr:rowOff>0</xdr:rowOff>
    </xdr:from>
    <xdr:ext cx="152400" cy="157202"/>
    <xdr:sp macro="" textlink="">
      <xdr:nvSpPr>
        <xdr:cNvPr id="228" name="AutoShape 1" descr="PubMed Central (PMC)">
          <a:extLst>
            <a:ext uri="{FF2B5EF4-FFF2-40B4-BE49-F238E27FC236}">
              <a16:creationId xmlns:a16="http://schemas.microsoft.com/office/drawing/2014/main" id="{926F9772-5DC3-4AA3-8E37-1BFA65B8DBB1}"/>
            </a:ext>
          </a:extLst>
        </xdr:cNvPr>
        <xdr:cNvSpPr>
          <a:spLocks noChangeAspect="1" noChangeArrowheads="1"/>
        </xdr:cNvSpPr>
      </xdr:nvSpPr>
      <xdr:spPr bwMode="auto">
        <a:xfrm>
          <a:off x="3429000" y="5100066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293</xdr:row>
      <xdr:rowOff>0</xdr:rowOff>
    </xdr:from>
    <xdr:ext cx="152400" cy="157202"/>
    <xdr:sp macro="" textlink="">
      <xdr:nvSpPr>
        <xdr:cNvPr id="229" name="AutoShape 3" descr="NCBI Bookshelf">
          <a:extLst>
            <a:ext uri="{FF2B5EF4-FFF2-40B4-BE49-F238E27FC236}">
              <a16:creationId xmlns:a16="http://schemas.microsoft.com/office/drawing/2014/main" id="{058384FA-3AC5-46A6-9803-8183C4E33419}"/>
            </a:ext>
          </a:extLst>
        </xdr:cNvPr>
        <xdr:cNvSpPr>
          <a:spLocks noChangeAspect="1" noChangeArrowheads="1"/>
        </xdr:cNvSpPr>
      </xdr:nvSpPr>
      <xdr:spPr bwMode="auto">
        <a:xfrm>
          <a:off x="3429000" y="5100066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293</xdr:row>
      <xdr:rowOff>0</xdr:rowOff>
    </xdr:from>
    <xdr:ext cx="152400" cy="157202"/>
    <xdr:sp macro="" textlink="">
      <xdr:nvSpPr>
        <xdr:cNvPr id="230" name="AutoShape 1" descr="PubMed Central (PMC)">
          <a:extLst>
            <a:ext uri="{FF2B5EF4-FFF2-40B4-BE49-F238E27FC236}">
              <a16:creationId xmlns:a16="http://schemas.microsoft.com/office/drawing/2014/main" id="{9BF99934-F0B0-4E35-99F6-9849394F55E0}"/>
            </a:ext>
          </a:extLst>
        </xdr:cNvPr>
        <xdr:cNvSpPr>
          <a:spLocks noChangeAspect="1" noChangeArrowheads="1"/>
        </xdr:cNvSpPr>
      </xdr:nvSpPr>
      <xdr:spPr bwMode="auto">
        <a:xfrm>
          <a:off x="3429000" y="5100066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293</xdr:row>
      <xdr:rowOff>0</xdr:rowOff>
    </xdr:from>
    <xdr:ext cx="152400" cy="157202"/>
    <xdr:sp macro="" textlink="">
      <xdr:nvSpPr>
        <xdr:cNvPr id="231" name="AutoShape 3" descr="NCBI Bookshelf">
          <a:extLst>
            <a:ext uri="{FF2B5EF4-FFF2-40B4-BE49-F238E27FC236}">
              <a16:creationId xmlns:a16="http://schemas.microsoft.com/office/drawing/2014/main" id="{2D82B6FD-1C4C-417A-8652-761AA7F41C02}"/>
            </a:ext>
          </a:extLst>
        </xdr:cNvPr>
        <xdr:cNvSpPr>
          <a:spLocks noChangeAspect="1" noChangeArrowheads="1"/>
        </xdr:cNvSpPr>
      </xdr:nvSpPr>
      <xdr:spPr bwMode="auto">
        <a:xfrm>
          <a:off x="3429000" y="51000660"/>
          <a:ext cx="152400" cy="1572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Loading\ARI%20Master%20List%20-%202025-11-25.xlsx" TargetMode="External"/><Relationship Id="rId1" Type="http://schemas.openxmlformats.org/officeDocument/2006/relationships/externalLinkPath" Target="file:///C:\Loading\ARI%20Master%20List%20-%202025-11-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seases"/>
      <sheetName val="Disease Map V3"/>
      <sheetName val="Syn key"/>
      <sheetName val="Surveycodes"/>
      <sheetName val="SurveyMapV3"/>
      <sheetName val="ageonset"/>
      <sheetName val="Profiledata"/>
      <sheetName val="Profilemaster"/>
      <sheetName val="Symptoms"/>
      <sheetName val="JCIdata"/>
      <sheetName val="Population"/>
      <sheetName val="AOU 2025-01-30"/>
      <sheetName val="ALLOFUS 2024-10-10"/>
      <sheetName val="Symptom Master"/>
      <sheetName val="Name Map"/>
      <sheetName val="Syn Codes"/>
      <sheetName val="Change Log"/>
      <sheetName val="Subtypes"/>
      <sheetName val="Sheet2"/>
    </sheetNames>
    <sheetDataSet>
      <sheetData sheetId="0"/>
      <sheetData sheetId="1"/>
      <sheetData sheetId="2"/>
      <sheetData sheetId="3"/>
      <sheetData sheetId="4"/>
      <sheetData sheetId="5"/>
      <sheetData sheetId="6"/>
      <sheetData sheetId="7"/>
      <sheetData sheetId="8"/>
      <sheetData sheetId="9"/>
      <sheetData sheetId="10">
        <row r="2">
          <cell r="C2">
            <v>333300000</v>
          </cell>
        </row>
        <row r="3">
          <cell r="C3">
            <v>260940569.99999994</v>
          </cell>
        </row>
        <row r="4">
          <cell r="C4">
            <v>72359430.00000006</v>
          </cell>
        </row>
        <row r="5">
          <cell r="C5">
            <v>162717060</v>
          </cell>
        </row>
      </sheetData>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pubmed.ncbi.nlm.nih.gov/32606345/" TargetMode="External"/><Relationship Id="rId21" Type="http://schemas.openxmlformats.org/officeDocument/2006/relationships/hyperlink" Target="https://link.springer.com/chapter/10.1007/978-3-030-19055-2_6" TargetMode="External"/><Relationship Id="rId42" Type="http://schemas.openxmlformats.org/officeDocument/2006/relationships/hyperlink" Target="https://pubmed.ncbi.nlm.nih.gov/20476864/" TargetMode="External"/><Relationship Id="rId63" Type="http://schemas.openxmlformats.org/officeDocument/2006/relationships/hyperlink" Target="https://pubmed.ncbi.nlm.nih.gov/28104075/" TargetMode="External"/><Relationship Id="rId84" Type="http://schemas.openxmlformats.org/officeDocument/2006/relationships/hyperlink" Target="https://pubmed.ncbi.nlm.nih.gov/14673390/" TargetMode="External"/><Relationship Id="rId138" Type="http://schemas.openxmlformats.org/officeDocument/2006/relationships/hyperlink" Target="https://www.ncbi.nlm.nih.gov/pmc/articles/PMC5771249/" TargetMode="External"/><Relationship Id="rId107" Type="http://schemas.openxmlformats.org/officeDocument/2006/relationships/hyperlink" Target="https://www.ncbi.nlm.nih.gov/pmc/articles/PMC5721299/" TargetMode="External"/><Relationship Id="rId11" Type="http://schemas.openxmlformats.org/officeDocument/2006/relationships/hyperlink" Target="https://pubmed.ncbi.nlm.nih.gov/17850170/" TargetMode="External"/><Relationship Id="rId32" Type="http://schemas.openxmlformats.org/officeDocument/2006/relationships/hyperlink" Target="https://pubmed.ncbi.nlm.nih.gov/28449695/" TargetMode="External"/><Relationship Id="rId53" Type="http://schemas.openxmlformats.org/officeDocument/2006/relationships/hyperlink" Target="https://pubmed.ncbi.nlm.nih.gov/24461539/" TargetMode="External"/><Relationship Id="rId74" Type="http://schemas.openxmlformats.org/officeDocument/2006/relationships/hyperlink" Target="https://pubmed.ncbi.nlm.nih.gov/24461539/" TargetMode="External"/><Relationship Id="rId128" Type="http://schemas.openxmlformats.org/officeDocument/2006/relationships/hyperlink" Target="https://www.ncbi.nlm.nih.gov/pmc/articles/PMC2717015/" TargetMode="External"/><Relationship Id="rId149" Type="http://schemas.openxmlformats.org/officeDocument/2006/relationships/hyperlink" Target="https://pubmed.ncbi.nlm.nih.gov/8276524/" TargetMode="External"/><Relationship Id="rId5" Type="http://schemas.openxmlformats.org/officeDocument/2006/relationships/hyperlink" Target="https://www.ncbi.nlm.nih.gov/pmc/articles/PMC5604058/" TargetMode="External"/><Relationship Id="rId95" Type="http://schemas.openxmlformats.org/officeDocument/2006/relationships/hyperlink" Target="https://www.medscape.com/answers/1099078-102824/what-is-the-prevalence-of-pityriasis-lichenoides-in-the-us" TargetMode="External"/><Relationship Id="rId22" Type="http://schemas.openxmlformats.org/officeDocument/2006/relationships/hyperlink" Target="https://www.ncbi.nlm.nih.gov/pmc/articles/PMC6011827/" TargetMode="External"/><Relationship Id="rId27" Type="http://schemas.openxmlformats.org/officeDocument/2006/relationships/hyperlink" Target="https://www.ncbi.nlm.nih.gov/pmc/articles/PMC3277011/" TargetMode="External"/><Relationship Id="rId43" Type="http://schemas.openxmlformats.org/officeDocument/2006/relationships/hyperlink" Target="https://www.ncbi.nlm.nih.gov/pmc/articles/PMC4610151/pdf/nihms-710337.pdf" TargetMode="External"/><Relationship Id="rId48" Type="http://schemas.openxmlformats.org/officeDocument/2006/relationships/hyperlink" Target="https://pubmed.ncbi.nlm.nih.gov/23777102/" TargetMode="External"/><Relationship Id="rId64" Type="http://schemas.openxmlformats.org/officeDocument/2006/relationships/hyperlink" Target="https://pubmed.ncbi.nlm.nih.gov/30177015/" TargetMode="External"/><Relationship Id="rId69" Type="http://schemas.openxmlformats.org/officeDocument/2006/relationships/hyperlink" Target="https://www.sciencedirect.com/topics/immunology-and-microbiology/autoimmune-enteropathy" TargetMode="External"/><Relationship Id="rId113" Type="http://schemas.openxmlformats.org/officeDocument/2006/relationships/hyperlink" Target="https://pubmed.ncbi.nlm.nih.gov/33474834/" TargetMode="External"/><Relationship Id="rId118" Type="http://schemas.openxmlformats.org/officeDocument/2006/relationships/hyperlink" Target="https://www.ncbi.nlm.nih.gov/pmc/articles/PMC11034729/" TargetMode="External"/><Relationship Id="rId134" Type="http://schemas.openxmlformats.org/officeDocument/2006/relationships/hyperlink" Target="https://www.ncbi.nlm.nih.gov/pmc/articles/PMC5771249/" TargetMode="External"/><Relationship Id="rId139" Type="http://schemas.openxmlformats.org/officeDocument/2006/relationships/hyperlink" Target="https://ard.bmj.com/content/58/10/656" TargetMode="External"/><Relationship Id="rId80" Type="http://schemas.openxmlformats.org/officeDocument/2006/relationships/hyperlink" Target="https://www.ncbi.nlm.nih.gov/pmc/articles/PMC5771249/" TargetMode="External"/><Relationship Id="rId85" Type="http://schemas.openxmlformats.org/officeDocument/2006/relationships/hyperlink" Target="https://pubmed.ncbi.nlm.nih.gov/12391351/" TargetMode="External"/><Relationship Id="rId150" Type="http://schemas.openxmlformats.org/officeDocument/2006/relationships/hyperlink" Target="https://pubmed.ncbi.nlm.nih.gov/8276524/" TargetMode="External"/><Relationship Id="rId12" Type="http://schemas.openxmlformats.org/officeDocument/2006/relationships/hyperlink" Target="https://www.ncbi.nlm.nih.gov/pmc/articles/PMC5703046/" TargetMode="External"/><Relationship Id="rId17" Type="http://schemas.openxmlformats.org/officeDocument/2006/relationships/hyperlink" Target="https://www.ncbi.nlm.nih.gov/pmc/articles/PMC2886726/" TargetMode="External"/><Relationship Id="rId33" Type="http://schemas.openxmlformats.org/officeDocument/2006/relationships/hyperlink" Target="https://www.ncbi.nlm.nih.gov/pmc/articles/PMC5771249/" TargetMode="External"/><Relationship Id="rId38" Type="http://schemas.openxmlformats.org/officeDocument/2006/relationships/hyperlink" Target="https://pubmed.ncbi.nlm.nih.gov/33040350/" TargetMode="External"/><Relationship Id="rId59" Type="http://schemas.openxmlformats.org/officeDocument/2006/relationships/hyperlink" Target="https://www.ncbi.nlm.nih.gov/pmc/articles/PMC2717015/" TargetMode="External"/><Relationship Id="rId103" Type="http://schemas.openxmlformats.org/officeDocument/2006/relationships/hyperlink" Target="https://pubmed.ncbi.nlm.nih.gov/31326280/" TargetMode="External"/><Relationship Id="rId108" Type="http://schemas.openxmlformats.org/officeDocument/2006/relationships/hyperlink" Target="https://pubmed.ncbi.nlm.nih.gov/32606345/" TargetMode="External"/><Relationship Id="rId124" Type="http://schemas.openxmlformats.org/officeDocument/2006/relationships/hyperlink" Target="https://pubmed.ncbi.nlm.nih.gov/27997683/" TargetMode="External"/><Relationship Id="rId129" Type="http://schemas.openxmlformats.org/officeDocument/2006/relationships/hyperlink" Target="https://pubmed.ncbi.nlm.nih.gov/16870099/" TargetMode="External"/><Relationship Id="rId54" Type="http://schemas.openxmlformats.org/officeDocument/2006/relationships/hyperlink" Target="https://pubmed.ncbi.nlm.nih.gov/29340169/" TargetMode="External"/><Relationship Id="rId70" Type="http://schemas.openxmlformats.org/officeDocument/2006/relationships/hyperlink" Target="https://pubmed.ncbi.nlm.nih.gov/32606345/" TargetMode="External"/><Relationship Id="rId75" Type="http://schemas.openxmlformats.org/officeDocument/2006/relationships/hyperlink" Target="https://pubmed.ncbi.nlm.nih.gov/29296728/" TargetMode="External"/><Relationship Id="rId91" Type="http://schemas.openxmlformats.org/officeDocument/2006/relationships/hyperlink" Target="https://pubmed.ncbi.nlm.nih.gov/17850170/" TargetMode="External"/><Relationship Id="rId96" Type="http://schemas.openxmlformats.org/officeDocument/2006/relationships/hyperlink" Target="https://www.ncbi.nlm.nih.gov/pmc/articles/PMC3277011/" TargetMode="External"/><Relationship Id="rId140" Type="http://schemas.openxmlformats.org/officeDocument/2006/relationships/hyperlink" Target="https://ard.bmj.com/content/58/10/656" TargetMode="External"/><Relationship Id="rId145" Type="http://schemas.openxmlformats.org/officeDocument/2006/relationships/hyperlink" Target="https://pubmed.ncbi.nlm.nih.gov/?sort=date&amp;term=Scheer+D&amp;cauthor_id=31004158" TargetMode="External"/><Relationship Id="rId1" Type="http://schemas.openxmlformats.org/officeDocument/2006/relationships/hyperlink" Target="https://www.ncbi.nlm.nih.gov/pmc/articles/PMC4634567/" TargetMode="External"/><Relationship Id="rId6" Type="http://schemas.openxmlformats.org/officeDocument/2006/relationships/hyperlink" Target="https://pubmed.ncbi.nlm.nih.gov/25065005/" TargetMode="External"/><Relationship Id="rId23" Type="http://schemas.openxmlformats.org/officeDocument/2006/relationships/hyperlink" Target="https://www.ncbi.nlm.nih.gov/pmc/articles/PMC5500715/" TargetMode="External"/><Relationship Id="rId28" Type="http://schemas.openxmlformats.org/officeDocument/2006/relationships/hyperlink" Target="https://www.ncbi.nlm.nih.gov/pmc/articles/PMC2892249/" TargetMode="External"/><Relationship Id="rId49" Type="http://schemas.openxmlformats.org/officeDocument/2006/relationships/hyperlink" Target="https://pubmed.ncbi.nlm.nih.gov/18412310/" TargetMode="External"/><Relationship Id="rId114" Type="http://schemas.openxmlformats.org/officeDocument/2006/relationships/hyperlink" Target="https://www.ncbi.nlm.nih.gov/pmc/articles/PMC9953398/" TargetMode="External"/><Relationship Id="rId119" Type="http://schemas.openxmlformats.org/officeDocument/2006/relationships/hyperlink" Target="https://pubmed.ncbi.nlm.nih.gov/36326752/" TargetMode="External"/><Relationship Id="rId44" Type="http://schemas.openxmlformats.org/officeDocument/2006/relationships/hyperlink" Target="https://link.springer.com/chapter/10.1007/978-3-030-38621-4_5" TargetMode="External"/><Relationship Id="rId60" Type="http://schemas.openxmlformats.org/officeDocument/2006/relationships/hyperlink" Target="https://pubmed.ncbi.nlm.nih.gov/32606345/" TargetMode="External"/><Relationship Id="rId65" Type="http://schemas.openxmlformats.org/officeDocument/2006/relationships/hyperlink" Target="https://pubmed.ncbi.nlm.nih.gov/33474834/" TargetMode="External"/><Relationship Id="rId81" Type="http://schemas.openxmlformats.org/officeDocument/2006/relationships/hyperlink" Target="https://pubmed.ncbi.nlm.nih.gov/18412310/" TargetMode="External"/><Relationship Id="rId86" Type="http://schemas.openxmlformats.org/officeDocument/2006/relationships/hyperlink" Target="https://pubmed.ncbi.nlm.nih.gov/12391351/" TargetMode="External"/><Relationship Id="rId130" Type="http://schemas.openxmlformats.org/officeDocument/2006/relationships/hyperlink" Target="https://pubmed.ncbi.nlm.nih.gov/16870099/" TargetMode="External"/><Relationship Id="rId135" Type="http://schemas.openxmlformats.org/officeDocument/2006/relationships/hyperlink" Target="https://www.ncbi.nlm.nih.gov/pmc/articles/PMC5771249/" TargetMode="External"/><Relationship Id="rId151" Type="http://schemas.openxmlformats.org/officeDocument/2006/relationships/printerSettings" Target="../printerSettings/printerSettings1.bin"/><Relationship Id="rId13" Type="http://schemas.openxmlformats.org/officeDocument/2006/relationships/hyperlink" Target="https://www.ncbi.nlm.nih.gov/pmc/articles/PMC5397790/" TargetMode="External"/><Relationship Id="rId18" Type="http://schemas.openxmlformats.org/officeDocument/2006/relationships/hyperlink" Target="https://www.ncbi.nlm.nih.gov/pmc/articles/PMC5622852/" TargetMode="External"/><Relationship Id="rId39" Type="http://schemas.openxmlformats.org/officeDocument/2006/relationships/hyperlink" Target="https://pubmed.ncbi.nlm.nih.gov/24145628/" TargetMode="External"/><Relationship Id="rId109" Type="http://schemas.openxmlformats.org/officeDocument/2006/relationships/hyperlink" Target="https://pubmed.ncbi.nlm.nih.gov/16870099/" TargetMode="External"/><Relationship Id="rId34" Type="http://schemas.openxmlformats.org/officeDocument/2006/relationships/hyperlink" Target="https://www.ncbi.nlm.nih.gov/pmc/articles/PMC2886726/" TargetMode="External"/><Relationship Id="rId50" Type="http://schemas.openxmlformats.org/officeDocument/2006/relationships/hyperlink" Target="https://pubmed.ncbi.nlm.nih.gov/24890437/" TargetMode="External"/><Relationship Id="rId55" Type="http://schemas.openxmlformats.org/officeDocument/2006/relationships/hyperlink" Target="https://pubmed.ncbi.nlm.nih.gov/31292991/" TargetMode="External"/><Relationship Id="rId76" Type="http://schemas.openxmlformats.org/officeDocument/2006/relationships/hyperlink" Target="https://www.ncbi.nlm.nih.gov/pmc/articles/PMC5771249/" TargetMode="External"/><Relationship Id="rId97" Type="http://schemas.openxmlformats.org/officeDocument/2006/relationships/hyperlink" Target="https://pubmed.ncbi.nlm.nih.gov/23777102/" TargetMode="External"/><Relationship Id="rId104" Type="http://schemas.openxmlformats.org/officeDocument/2006/relationships/hyperlink" Target="https://pubmed.ncbi.nlm.nih.gov/?term=Mukherjee+S&amp;cauthor_id=34535010" TargetMode="External"/><Relationship Id="rId120" Type="http://schemas.openxmlformats.org/officeDocument/2006/relationships/hyperlink" Target="https://pubmed.ncbi.nlm.nih.gov/36326752/" TargetMode="External"/><Relationship Id="rId125" Type="http://schemas.openxmlformats.org/officeDocument/2006/relationships/hyperlink" Target="https://databrowser.researchallofus.org/ehr/conditions/4143972" TargetMode="External"/><Relationship Id="rId141" Type="http://schemas.openxmlformats.org/officeDocument/2006/relationships/hyperlink" Target="https://ard.bmj.com/content/58/10/656" TargetMode="External"/><Relationship Id="rId146" Type="http://schemas.openxmlformats.org/officeDocument/2006/relationships/hyperlink" Target="https://ashpublications.org/blood/article/142/Supplement%201/5202/501456/Prevalence-and-Incidence-of-Primary-Autoimmune" TargetMode="External"/><Relationship Id="rId7" Type="http://schemas.openxmlformats.org/officeDocument/2006/relationships/hyperlink" Target="https://www.ncbi.nlm.nih.gov/pmc/articles/PMC6442006/" TargetMode="External"/><Relationship Id="rId71" Type="http://schemas.openxmlformats.org/officeDocument/2006/relationships/hyperlink" Target="https://www.ncbi.nlm.nih.gov/pmc/articles/PMC6227754/" TargetMode="External"/><Relationship Id="rId92" Type="http://schemas.openxmlformats.org/officeDocument/2006/relationships/hyperlink" Target="https://www.ncbi.nlm.nih.gov/pmc/articles/PMC5703046/" TargetMode="External"/><Relationship Id="rId2" Type="http://schemas.openxmlformats.org/officeDocument/2006/relationships/hyperlink" Target="https://www.ncbi.nlm.nih.gov/pmc/articles/PMC4575027/" TargetMode="External"/><Relationship Id="rId29" Type="http://schemas.openxmlformats.org/officeDocument/2006/relationships/hyperlink" Target="https://pubmed.ncbi.nlm.nih.gov/?sort=date&amp;term=Scheer+D&amp;cauthor_id=31004158" TargetMode="External"/><Relationship Id="rId24" Type="http://schemas.openxmlformats.org/officeDocument/2006/relationships/hyperlink" Target="https://pubmed.ncbi.nlm.nih.gov/29129296/" TargetMode="External"/><Relationship Id="rId40" Type="http://schemas.openxmlformats.org/officeDocument/2006/relationships/hyperlink" Target="https://www.ncbi.nlm.nih.gov/pmc/articles/PMC6117145/" TargetMode="External"/><Relationship Id="rId45" Type="http://schemas.openxmlformats.org/officeDocument/2006/relationships/hyperlink" Target="https://www.sciencedirect.com/topics/immunology-and-microbiology/autoimmune-enteropathy" TargetMode="External"/><Relationship Id="rId66" Type="http://schemas.openxmlformats.org/officeDocument/2006/relationships/hyperlink" Target="https://pubmed.ncbi.nlm.nih.gov/27008848/" TargetMode="External"/><Relationship Id="rId87" Type="http://schemas.openxmlformats.org/officeDocument/2006/relationships/hyperlink" Target="https://www.ncbi.nlm.nih.gov/pmc/articles/PMC5397790/" TargetMode="External"/><Relationship Id="rId110" Type="http://schemas.openxmlformats.org/officeDocument/2006/relationships/hyperlink" Target="https://pubmed.ncbi.nlm.nih.gov/9489916/" TargetMode="External"/><Relationship Id="rId115" Type="http://schemas.openxmlformats.org/officeDocument/2006/relationships/hyperlink" Target="https://www.ncbi.nlm.nih.gov/pmc/articles/PMC5703046/" TargetMode="External"/><Relationship Id="rId131" Type="http://schemas.openxmlformats.org/officeDocument/2006/relationships/hyperlink" Target="https://www.ncbi.nlm.nih.gov/pmc/articles/PMC4901018/" TargetMode="External"/><Relationship Id="rId136" Type="http://schemas.openxmlformats.org/officeDocument/2006/relationships/hyperlink" Target="https://www.ncbi.nlm.nih.gov/pmc/articles/PMC5771249/" TargetMode="External"/><Relationship Id="rId61" Type="http://schemas.openxmlformats.org/officeDocument/2006/relationships/hyperlink" Target="https://pubmed.ncbi.nlm.nih.gov/17553910/" TargetMode="External"/><Relationship Id="rId82" Type="http://schemas.openxmlformats.org/officeDocument/2006/relationships/hyperlink" Target="https://pubmed.ncbi.nlm.nih.gov/14673390/" TargetMode="External"/><Relationship Id="rId152" Type="http://schemas.openxmlformats.org/officeDocument/2006/relationships/drawing" Target="../drawings/drawing1.xml"/><Relationship Id="rId19" Type="http://schemas.openxmlformats.org/officeDocument/2006/relationships/hyperlink" Target="https://pubmed.ncbi.nlm.nih.gov/32280257/" TargetMode="External"/><Relationship Id="rId14" Type="http://schemas.openxmlformats.org/officeDocument/2006/relationships/hyperlink" Target="https://www.ncbi.nlm.nih.gov/books/NBK470287/" TargetMode="External"/><Relationship Id="rId30" Type="http://schemas.openxmlformats.org/officeDocument/2006/relationships/hyperlink" Target="https://pubmed.ncbi.nlm.nih.gov/24388724/" TargetMode="External"/><Relationship Id="rId35" Type="http://schemas.openxmlformats.org/officeDocument/2006/relationships/hyperlink" Target="https://pubmed.ncbi.nlm.nih.gov/24875841/" TargetMode="External"/><Relationship Id="rId56" Type="http://schemas.openxmlformats.org/officeDocument/2006/relationships/hyperlink" Target="https://www.ncbi.nlm.nih.gov/pmc/articles/PMC2892249/" TargetMode="External"/><Relationship Id="rId77" Type="http://schemas.openxmlformats.org/officeDocument/2006/relationships/hyperlink" Target="https://www.ncbi.nlm.nih.gov/pmc/articles/PMC5771249/" TargetMode="External"/><Relationship Id="rId100" Type="http://schemas.openxmlformats.org/officeDocument/2006/relationships/hyperlink" Target="https://pubmed.ncbi.nlm.nih.gov/27997683/" TargetMode="External"/><Relationship Id="rId105" Type="http://schemas.openxmlformats.org/officeDocument/2006/relationships/hyperlink" Target="https://pubmed.ncbi.nlm.nih.gov/34535010/" TargetMode="External"/><Relationship Id="rId126" Type="http://schemas.openxmlformats.org/officeDocument/2006/relationships/hyperlink" Target="https://www.ncbi.nlm.nih.gov/pmc/articles/PMC5703046/" TargetMode="External"/><Relationship Id="rId147" Type="http://schemas.openxmlformats.org/officeDocument/2006/relationships/hyperlink" Target="https://pubmed.ncbi.nlm.nih.gov/?term=Nakazawa+H&amp;cauthor_id=35522950" TargetMode="External"/><Relationship Id="rId8" Type="http://schemas.openxmlformats.org/officeDocument/2006/relationships/hyperlink" Target="https://pubmed.ncbi.nlm.nih.gov/30047431/" TargetMode="External"/><Relationship Id="rId51" Type="http://schemas.openxmlformats.org/officeDocument/2006/relationships/hyperlink" Target="https://www.ncbi.nlm.nih.gov/books/NBK507867/" TargetMode="External"/><Relationship Id="rId72" Type="http://schemas.openxmlformats.org/officeDocument/2006/relationships/hyperlink" Target="https://pubmed.ncbi.nlm.nih.gov/30047431/" TargetMode="External"/><Relationship Id="rId93" Type="http://schemas.openxmlformats.org/officeDocument/2006/relationships/hyperlink" Target="https://www.ncbi.nlm.nih.gov/pmc/articles/PMC5703046/" TargetMode="External"/><Relationship Id="rId98" Type="http://schemas.openxmlformats.org/officeDocument/2006/relationships/hyperlink" Target="https://www.ncbi.nlm.nih.gov/pmc/articles/PMC4991159/" TargetMode="External"/><Relationship Id="rId121" Type="http://schemas.openxmlformats.org/officeDocument/2006/relationships/hyperlink" Target="https://pubmed.ncbi.nlm.nih.gov/38359012/" TargetMode="External"/><Relationship Id="rId142" Type="http://schemas.openxmlformats.org/officeDocument/2006/relationships/hyperlink" Target="https://ard.bmj.com/content/58/10/656" TargetMode="External"/><Relationship Id="rId3" Type="http://schemas.openxmlformats.org/officeDocument/2006/relationships/hyperlink" Target="https://www.ncbi.nlm.nih.gov/pmc/articles/PMC4405827/" TargetMode="External"/><Relationship Id="rId25" Type="http://schemas.openxmlformats.org/officeDocument/2006/relationships/hyperlink" Target="https://www.ncbi.nlm.nih.gov/pmc/articles/PMC4991159/" TargetMode="External"/><Relationship Id="rId46" Type="http://schemas.openxmlformats.org/officeDocument/2006/relationships/hyperlink" Target="https://www.ncbi.nlm.nih.gov/pmc/articles/PMC5288542/" TargetMode="External"/><Relationship Id="rId67" Type="http://schemas.openxmlformats.org/officeDocument/2006/relationships/hyperlink" Target="https://pubmed.ncbi.nlm.nih.gov/?term=Mukherjee+S&amp;cauthor_id=34535010" TargetMode="External"/><Relationship Id="rId116" Type="http://schemas.openxmlformats.org/officeDocument/2006/relationships/hyperlink" Target="https://www.ncbi.nlm.nih.gov/pmc/articles/PMC5703046/" TargetMode="External"/><Relationship Id="rId137" Type="http://schemas.openxmlformats.org/officeDocument/2006/relationships/hyperlink" Target="https://www.ncbi.nlm.nih.gov/pmc/articles/PMC5771249/" TargetMode="External"/><Relationship Id="rId20" Type="http://schemas.openxmlformats.org/officeDocument/2006/relationships/hyperlink" Target="https://n.neurology.org/content/78/1_Supplement/P06.148" TargetMode="External"/><Relationship Id="rId41" Type="http://schemas.openxmlformats.org/officeDocument/2006/relationships/hyperlink" Target="https://pubmed.ncbi.nlm.nih.gov/14673390/" TargetMode="External"/><Relationship Id="rId62" Type="http://schemas.openxmlformats.org/officeDocument/2006/relationships/hyperlink" Target="https://pubmed.ncbi.nlm.nih.gov/2766509/" TargetMode="External"/><Relationship Id="rId83" Type="http://schemas.openxmlformats.org/officeDocument/2006/relationships/hyperlink" Target="https://pubmed.ncbi.nlm.nih.gov/14673390/" TargetMode="External"/><Relationship Id="rId88" Type="http://schemas.openxmlformats.org/officeDocument/2006/relationships/hyperlink" Target="https://pubmed.ncbi.nlm.nih.gov/28449695/" TargetMode="External"/><Relationship Id="rId111" Type="http://schemas.openxmlformats.org/officeDocument/2006/relationships/hyperlink" Target="https://pubmed.ncbi.nlm.nih.gov/32606345/" TargetMode="External"/><Relationship Id="rId132" Type="http://schemas.openxmlformats.org/officeDocument/2006/relationships/hyperlink" Target="https://www.ncbi.nlm.nih.gov/pmc/articles/PMC4901018/" TargetMode="External"/><Relationship Id="rId15" Type="http://schemas.openxmlformats.org/officeDocument/2006/relationships/hyperlink" Target="https://pubmed.ncbi.nlm.nih.gov/16870099/" TargetMode="External"/><Relationship Id="rId36" Type="http://schemas.openxmlformats.org/officeDocument/2006/relationships/hyperlink" Target="https://pubmed.ncbi.nlm.nih.gov/27787492/" TargetMode="External"/><Relationship Id="rId57" Type="http://schemas.openxmlformats.org/officeDocument/2006/relationships/hyperlink" Target="https://www.ncbi.nlm.nih.gov/pmc/articles/PMC2892249/" TargetMode="External"/><Relationship Id="rId106" Type="http://schemas.openxmlformats.org/officeDocument/2006/relationships/hyperlink" Target="https://pubmed.ncbi.nlm.nih.gov/32606345/" TargetMode="External"/><Relationship Id="rId127" Type="http://schemas.openxmlformats.org/officeDocument/2006/relationships/hyperlink" Target="https://www.ncbi.nlm.nih.gov/pmc/articles/PMC2717015/" TargetMode="External"/><Relationship Id="rId10" Type="http://schemas.openxmlformats.org/officeDocument/2006/relationships/hyperlink" Target="https://pubmed.ncbi.nlm.nih.gov/17135309/" TargetMode="External"/><Relationship Id="rId31" Type="http://schemas.openxmlformats.org/officeDocument/2006/relationships/hyperlink" Target="https://pubmed.ncbi.nlm.nih.gov/24008391/" TargetMode="External"/><Relationship Id="rId52" Type="http://schemas.openxmlformats.org/officeDocument/2006/relationships/hyperlink" Target="https://pubmed.ncbi.nlm.nih.gov/8276524/" TargetMode="External"/><Relationship Id="rId73" Type="http://schemas.openxmlformats.org/officeDocument/2006/relationships/hyperlink" Target="https://www.medscape.com/answers/1099078-102824/what-is-the-prevalence-of-pityriasis-lichenoides-in-the-us" TargetMode="External"/><Relationship Id="rId78" Type="http://schemas.openxmlformats.org/officeDocument/2006/relationships/hyperlink" Target="https://www.ncbi.nlm.nih.gov/pmc/articles/PMC5288542/" TargetMode="External"/><Relationship Id="rId94" Type="http://schemas.openxmlformats.org/officeDocument/2006/relationships/hyperlink" Target="https://www.ncbi.nlm.nih.gov/pmc/articles/PMC6442006/" TargetMode="External"/><Relationship Id="rId99" Type="http://schemas.openxmlformats.org/officeDocument/2006/relationships/hyperlink" Target="https://www.ncbi.nlm.nih.gov/pmc/articles/PMC5721299/" TargetMode="External"/><Relationship Id="rId101" Type="http://schemas.openxmlformats.org/officeDocument/2006/relationships/hyperlink" Target="https://pubmed.ncbi.nlm.nih.gov/21398332/" TargetMode="External"/><Relationship Id="rId122" Type="http://schemas.openxmlformats.org/officeDocument/2006/relationships/hyperlink" Target="https://pubmed.ncbi.nlm.nih.gov/20456386/" TargetMode="External"/><Relationship Id="rId143" Type="http://schemas.openxmlformats.org/officeDocument/2006/relationships/hyperlink" Target="https://pubmed.ncbi.nlm.nih.gov/?term=ADEM+is+a+rare+autoimmune&amp;sort=date" TargetMode="External"/><Relationship Id="rId148" Type="http://schemas.openxmlformats.org/officeDocument/2006/relationships/hyperlink" Target="https://databrowser.researchallofus.org/ehr/conditions/81931" TargetMode="External"/><Relationship Id="rId4" Type="http://schemas.openxmlformats.org/officeDocument/2006/relationships/hyperlink" Target="https://www.ncbi.nlm.nih.gov/pmc/articles/PMC5478316/" TargetMode="External"/><Relationship Id="rId9" Type="http://schemas.openxmlformats.org/officeDocument/2006/relationships/hyperlink" Target="https://pubmed.ncbi.nlm.nih.gov/21398332/" TargetMode="External"/><Relationship Id="rId26" Type="http://schemas.openxmlformats.org/officeDocument/2006/relationships/hyperlink" Target="https://www.medscape.com/answers/1099078-102824/what-is-the-prevalence-of-pityriasis-lichenoides-in-the-us" TargetMode="External"/><Relationship Id="rId47" Type="http://schemas.openxmlformats.org/officeDocument/2006/relationships/hyperlink" Target="https://pubmed.ncbi.nlm.nih.gov/12391351/" TargetMode="External"/><Relationship Id="rId68" Type="http://schemas.openxmlformats.org/officeDocument/2006/relationships/hyperlink" Target="https://pubmed.ncbi.nlm.nih.gov/34535010/" TargetMode="External"/><Relationship Id="rId89" Type="http://schemas.openxmlformats.org/officeDocument/2006/relationships/hyperlink" Target="https://pubmed.ncbi.nlm.nih.gov/28449695/" TargetMode="External"/><Relationship Id="rId112" Type="http://schemas.openxmlformats.org/officeDocument/2006/relationships/hyperlink" Target="https://www.ncbi.nlm.nih.gov/pmc/articles/PMC2117106/" TargetMode="External"/><Relationship Id="rId133" Type="http://schemas.openxmlformats.org/officeDocument/2006/relationships/hyperlink" Target="https://www.ncbi.nlm.nih.gov/pmc/articles/PMC4901018/" TargetMode="External"/><Relationship Id="rId16" Type="http://schemas.openxmlformats.org/officeDocument/2006/relationships/hyperlink" Target="https://pubmed.ncbi.nlm.nih.gov/28444957/" TargetMode="External"/><Relationship Id="rId37" Type="http://schemas.openxmlformats.org/officeDocument/2006/relationships/hyperlink" Target="https://pubmed.ncbi.nlm.nih.gov/?sort=date&amp;term=Di+Raimondo+C&amp;cauthor_id=33040350" TargetMode="External"/><Relationship Id="rId58" Type="http://schemas.openxmlformats.org/officeDocument/2006/relationships/hyperlink" Target="https://www.ncbi.nlm.nih.gov/pmc/articles/PMC2717015/" TargetMode="External"/><Relationship Id="rId79" Type="http://schemas.openxmlformats.org/officeDocument/2006/relationships/hyperlink" Target="https://www.ncbi.nlm.nih.gov/pmc/articles/PMC5771249/" TargetMode="External"/><Relationship Id="rId102" Type="http://schemas.openxmlformats.org/officeDocument/2006/relationships/hyperlink" Target="https://www.ncbi.nlm.nih.gov/books/NBK470287/" TargetMode="External"/><Relationship Id="rId123" Type="http://schemas.openxmlformats.org/officeDocument/2006/relationships/hyperlink" Target="https://www.ncbi.nlm.nih.gov/pmc/articles/PMC7063238/" TargetMode="External"/><Relationship Id="rId144" Type="http://schemas.openxmlformats.org/officeDocument/2006/relationships/hyperlink" Target="https://pubmed.ncbi.nlm.nih.gov/?term=%22Vitiligo%22+%22autoimmune%22&amp;sort=date" TargetMode="External"/><Relationship Id="rId90" Type="http://schemas.openxmlformats.org/officeDocument/2006/relationships/hyperlink" Target="https://pubmed.ncbi.nlm.nih.gov/178501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AE80D-23A4-4C19-AA90-747DB81F79F9}">
  <dimension ref="A1:Y715"/>
  <sheetViews>
    <sheetView tabSelected="1" zoomScaleNormal="100" workbookViewId="0">
      <selection activeCell="A4" sqref="A4"/>
    </sheetView>
  </sheetViews>
  <sheetFormatPr defaultColWidth="5.5" defaultRowHeight="13.95" customHeight="1"/>
  <cols>
    <col min="1" max="1" width="12.09765625" customWidth="1"/>
    <col min="2" max="3" width="9" customWidth="1"/>
    <col min="4" max="4" width="17" customWidth="1"/>
    <col min="5" max="5" width="14.19921875" style="29" customWidth="1"/>
    <col min="6" max="6" width="44.296875" customWidth="1"/>
    <col min="7" max="7" width="10" style="68" customWidth="1"/>
    <col min="8" max="8" width="16.09765625" style="30" bestFit="1" customWidth="1"/>
    <col min="9" max="9" width="10.3984375" customWidth="1"/>
    <col min="10" max="10" width="115.296875" customWidth="1"/>
    <col min="11" max="13" width="9.3984375" customWidth="1"/>
    <col min="14" max="14" width="6.09765625" style="28" customWidth="1"/>
    <col min="15" max="21" width="9.3984375" customWidth="1"/>
    <col min="22" max="22" width="8.796875" customWidth="1"/>
    <col min="23" max="23" width="17.59765625" customWidth="1"/>
    <col min="24" max="24" width="26.59765625" customWidth="1"/>
    <col min="25" max="25" width="5.19921875" style="28" customWidth="1"/>
  </cols>
  <sheetData>
    <row r="1" spans="1:25" ht="13.95" customHeight="1">
      <c r="A1" t="s">
        <v>1692</v>
      </c>
    </row>
    <row r="2" spans="1:25" ht="13.95" customHeight="1">
      <c r="A2" s="23"/>
      <c r="B2" s="23"/>
      <c r="C2" s="23"/>
      <c r="D2" s="23"/>
      <c r="E2" s="32"/>
      <c r="F2" s="23"/>
      <c r="G2" s="69" t="s">
        <v>1693</v>
      </c>
      <c r="H2" s="33"/>
      <c r="I2" s="23"/>
      <c r="J2" s="23"/>
      <c r="K2" s="71" t="s">
        <v>1694</v>
      </c>
      <c r="L2" s="71"/>
      <c r="M2" s="71"/>
      <c r="N2" s="71"/>
      <c r="O2" s="71"/>
      <c r="P2" s="71"/>
      <c r="Q2" s="71"/>
      <c r="R2" s="71"/>
      <c r="S2" s="71"/>
      <c r="T2" s="71"/>
      <c r="U2" s="71"/>
      <c r="V2" s="71"/>
      <c r="W2" s="23"/>
      <c r="X2" s="23"/>
      <c r="Y2" s="22"/>
    </row>
    <row r="3" spans="1:25" ht="13.95" customHeight="1">
      <c r="A3" s="34" t="s">
        <v>0</v>
      </c>
      <c r="B3" s="34" t="s">
        <v>1</v>
      </c>
      <c r="C3" s="34" t="s">
        <v>2</v>
      </c>
      <c r="D3" s="34" t="s">
        <v>3</v>
      </c>
      <c r="E3" s="35" t="s">
        <v>4</v>
      </c>
      <c r="F3" s="34" t="s">
        <v>5</v>
      </c>
      <c r="G3" s="70" t="s">
        <v>1678</v>
      </c>
      <c r="H3" s="36" t="s">
        <v>6</v>
      </c>
      <c r="I3" s="34" t="s">
        <v>7</v>
      </c>
      <c r="J3" s="34" t="s">
        <v>8</v>
      </c>
      <c r="K3" s="34" t="s">
        <v>9</v>
      </c>
      <c r="L3" s="34" t="s">
        <v>10</v>
      </c>
      <c r="M3" s="34" t="s">
        <v>11</v>
      </c>
      <c r="N3" s="37" t="s">
        <v>20</v>
      </c>
      <c r="O3" s="34" t="s">
        <v>12</v>
      </c>
      <c r="P3" s="34" t="s">
        <v>13</v>
      </c>
      <c r="Q3" s="34" t="s">
        <v>14</v>
      </c>
      <c r="R3" s="38" t="s">
        <v>15</v>
      </c>
      <c r="S3" s="38" t="s">
        <v>16</v>
      </c>
      <c r="T3" s="34" t="s">
        <v>17</v>
      </c>
      <c r="U3" s="34" t="s">
        <v>18</v>
      </c>
      <c r="V3" s="34" t="s">
        <v>19</v>
      </c>
      <c r="W3" s="34" t="s">
        <v>1695</v>
      </c>
      <c r="X3" s="37" t="s">
        <v>1696</v>
      </c>
      <c r="Y3" s="37" t="s">
        <v>1697</v>
      </c>
    </row>
    <row r="4" spans="1:25" ht="13.95" customHeight="1">
      <c r="A4" s="23" t="s">
        <v>21</v>
      </c>
      <c r="B4" s="23" t="s">
        <v>22</v>
      </c>
      <c r="C4" s="23" t="s">
        <v>23</v>
      </c>
      <c r="D4" s="23" t="str">
        <f t="shared" ref="D4:D67" si="0">+IF(OR(B4="Antibody Suspected",B4="Antibody",B4="TCELL", B4="Immune-mediated",B4="Genetic"),"Autoimmune","Unconfirmed")</f>
        <v>Autoimmune</v>
      </c>
      <c r="E4" s="32" t="s">
        <v>24</v>
      </c>
      <c r="F4" s="23" t="s">
        <v>24</v>
      </c>
      <c r="G4" s="69" t="s">
        <v>25</v>
      </c>
      <c r="H4" s="33">
        <v>2772003</v>
      </c>
      <c r="I4" s="23">
        <v>4100661</v>
      </c>
      <c r="J4" s="22" t="s">
        <v>26</v>
      </c>
      <c r="K4" s="2" t="s">
        <v>27</v>
      </c>
      <c r="L4" s="2" t="s">
        <v>28</v>
      </c>
      <c r="M4" s="3" t="s">
        <v>29</v>
      </c>
      <c r="N4" s="22" t="s">
        <v>32</v>
      </c>
      <c r="O4" s="1" t="s">
        <v>30</v>
      </c>
      <c r="P4" s="23">
        <v>0.08</v>
      </c>
      <c r="Q4" s="23">
        <v>0.5</v>
      </c>
      <c r="R4" s="4">
        <v>1000000</v>
      </c>
      <c r="S4" s="4">
        <f>+(P4/R4)*[1]Population!$C$2</f>
        <v>26.664000000000001</v>
      </c>
      <c r="T4" s="4">
        <f>IF(ISBLANK(Q4),S4,+(Q4/R4)*[1]Population!$C$2)</f>
        <v>166.65</v>
      </c>
      <c r="U4" s="1">
        <f>+AVERAGE(S4:T4)</f>
        <v>96.657000000000011</v>
      </c>
      <c r="V4" s="5">
        <f>+(U4/[1]Population!$C$2)*100000</f>
        <v>2.9000000000000001E-2</v>
      </c>
      <c r="W4" s="23"/>
      <c r="X4" s="22" t="s">
        <v>31</v>
      </c>
      <c r="Y4" s="40"/>
    </row>
    <row r="5" spans="1:25" ht="13.95" customHeight="1">
      <c r="A5" s="23" t="s">
        <v>21</v>
      </c>
      <c r="B5" s="23" t="s">
        <v>22</v>
      </c>
      <c r="C5" s="23" t="s">
        <v>23</v>
      </c>
      <c r="D5" s="23" t="str">
        <f t="shared" si="0"/>
        <v>Autoimmune</v>
      </c>
      <c r="E5" s="32" t="s">
        <v>24</v>
      </c>
      <c r="F5" s="23" t="s">
        <v>33</v>
      </c>
      <c r="G5" s="69" t="s">
        <v>34</v>
      </c>
      <c r="H5" s="33">
        <v>2772003</v>
      </c>
      <c r="I5" s="23"/>
      <c r="J5" s="23"/>
      <c r="K5" s="23"/>
      <c r="L5" s="23"/>
      <c r="M5" s="23"/>
      <c r="N5" s="22"/>
      <c r="O5" s="23"/>
      <c r="P5" s="23"/>
      <c r="Q5" s="23"/>
      <c r="R5" s="4"/>
      <c r="S5" s="23">
        <v>0</v>
      </c>
      <c r="T5" s="23">
        <v>0</v>
      </c>
      <c r="U5" s="23">
        <v>0</v>
      </c>
      <c r="V5" s="5">
        <v>0</v>
      </c>
      <c r="W5" s="39"/>
      <c r="X5" s="22"/>
      <c r="Y5" s="41"/>
    </row>
    <row r="6" spans="1:25" ht="13.95" customHeight="1">
      <c r="A6" s="23" t="s">
        <v>21</v>
      </c>
      <c r="B6" s="23" t="s">
        <v>22</v>
      </c>
      <c r="C6" s="23" t="s">
        <v>23</v>
      </c>
      <c r="D6" s="23" t="str">
        <f t="shared" si="0"/>
        <v>Autoimmune</v>
      </c>
      <c r="E6" s="32" t="s">
        <v>24</v>
      </c>
      <c r="F6" s="23" t="s">
        <v>35</v>
      </c>
      <c r="G6" s="69" t="s">
        <v>36</v>
      </c>
      <c r="H6" s="33">
        <v>2772003</v>
      </c>
      <c r="I6" s="23"/>
      <c r="J6" s="23"/>
      <c r="K6" s="23"/>
      <c r="L6" s="23"/>
      <c r="M6" s="23"/>
      <c r="N6" s="22"/>
      <c r="O6" s="23"/>
      <c r="P6" s="23"/>
      <c r="Q6" s="23"/>
      <c r="R6" s="4"/>
      <c r="S6" s="23">
        <v>0</v>
      </c>
      <c r="T6" s="23">
        <v>0</v>
      </c>
      <c r="U6" s="23">
        <v>0</v>
      </c>
      <c r="V6" s="5">
        <v>0</v>
      </c>
      <c r="W6" s="39"/>
      <c r="X6" s="22"/>
      <c r="Y6" s="41"/>
    </row>
    <row r="7" spans="1:25" ht="13.95" customHeight="1">
      <c r="A7" s="23" t="s">
        <v>21</v>
      </c>
      <c r="B7" s="23" t="s">
        <v>22</v>
      </c>
      <c r="C7" s="23" t="s">
        <v>23</v>
      </c>
      <c r="D7" s="23" t="str">
        <f t="shared" si="0"/>
        <v>Autoimmune</v>
      </c>
      <c r="E7" s="32" t="s">
        <v>24</v>
      </c>
      <c r="F7" s="23" t="s">
        <v>37</v>
      </c>
      <c r="G7" s="69" t="s">
        <v>36</v>
      </c>
      <c r="H7" s="33">
        <v>2772003</v>
      </c>
      <c r="I7" s="23"/>
      <c r="J7" s="23"/>
      <c r="K7" s="23"/>
      <c r="L7" s="23"/>
      <c r="M7" s="23"/>
      <c r="N7" s="22"/>
      <c r="O7" s="23"/>
      <c r="P7" s="23"/>
      <c r="Q7" s="23"/>
      <c r="R7" s="4"/>
      <c r="S7" s="23">
        <v>0</v>
      </c>
      <c r="T7" s="23">
        <v>0</v>
      </c>
      <c r="U7" s="23">
        <v>0</v>
      </c>
      <c r="V7" s="5">
        <v>0</v>
      </c>
      <c r="W7" s="39"/>
      <c r="X7" s="22"/>
      <c r="Y7" s="41"/>
    </row>
    <row r="8" spans="1:25" ht="13.95" customHeight="1">
      <c r="A8" s="23" t="s">
        <v>38</v>
      </c>
      <c r="B8" s="23" t="s">
        <v>22</v>
      </c>
      <c r="C8" s="23" t="s">
        <v>23</v>
      </c>
      <c r="D8" s="23" t="str">
        <f t="shared" si="0"/>
        <v>Autoimmune</v>
      </c>
      <c r="E8" s="32" t="s">
        <v>39</v>
      </c>
      <c r="F8" s="23" t="s">
        <v>39</v>
      </c>
      <c r="G8" s="69" t="s">
        <v>25</v>
      </c>
      <c r="H8" s="33">
        <v>785308008</v>
      </c>
      <c r="I8" s="23">
        <v>37203917</v>
      </c>
      <c r="J8" s="22" t="s">
        <v>40</v>
      </c>
      <c r="K8" s="2" t="s">
        <v>41</v>
      </c>
      <c r="L8" s="2" t="s">
        <v>42</v>
      </c>
      <c r="M8" s="23" t="s">
        <v>29</v>
      </c>
      <c r="N8" s="22" t="s">
        <v>46</v>
      </c>
      <c r="O8" s="1" t="s">
        <v>43</v>
      </c>
      <c r="P8" s="23">
        <v>0.15</v>
      </c>
      <c r="Q8" s="23"/>
      <c r="R8" s="4">
        <v>100000</v>
      </c>
      <c r="S8" s="6">
        <f>+(P8/R8)*[1]Population!$C$2</f>
        <v>499.95</v>
      </c>
      <c r="T8" s="6">
        <f>IF(ISBLANK(Q8),S8,+(Q8/R8)*[1]Population!$C$2)</f>
        <v>499.95</v>
      </c>
      <c r="U8" s="7">
        <f>+AVERAGE(S8:T8)</f>
        <v>499.95</v>
      </c>
      <c r="V8" s="5">
        <f>+(U8/[1]Population!$C$2)*100000</f>
        <v>0.15</v>
      </c>
      <c r="W8" s="23" t="s">
        <v>44</v>
      </c>
      <c r="X8" s="22" t="s">
        <v>45</v>
      </c>
      <c r="Y8" s="41" t="s">
        <v>47</v>
      </c>
    </row>
    <row r="9" spans="1:25" ht="13.95" customHeight="1">
      <c r="A9" s="23" t="s">
        <v>38</v>
      </c>
      <c r="B9" s="23" t="s">
        <v>22</v>
      </c>
      <c r="C9" s="23" t="s">
        <v>23</v>
      </c>
      <c r="D9" s="23" t="str">
        <f t="shared" si="0"/>
        <v>Autoimmune</v>
      </c>
      <c r="E9" s="32" t="s">
        <v>39</v>
      </c>
      <c r="F9" s="23" t="s">
        <v>48</v>
      </c>
      <c r="G9" s="69" t="s">
        <v>36</v>
      </c>
      <c r="H9" s="33">
        <v>785308008</v>
      </c>
      <c r="I9" s="23"/>
      <c r="J9" s="23"/>
      <c r="K9" s="23"/>
      <c r="L9" s="23"/>
      <c r="M9" s="23"/>
      <c r="N9" s="22"/>
      <c r="O9" s="23"/>
      <c r="P9" s="23"/>
      <c r="Q9" s="23"/>
      <c r="R9" s="4"/>
      <c r="S9" s="23">
        <v>0</v>
      </c>
      <c r="T9" s="23">
        <v>0</v>
      </c>
      <c r="U9" s="23">
        <v>0</v>
      </c>
      <c r="V9" s="5">
        <v>0</v>
      </c>
      <c r="W9" s="39"/>
      <c r="X9" s="22"/>
      <c r="Y9" s="41"/>
    </row>
    <row r="10" spans="1:25" ht="13.95" customHeight="1">
      <c r="A10" s="23" t="s">
        <v>49</v>
      </c>
      <c r="B10" s="23" t="s">
        <v>22</v>
      </c>
      <c r="C10" s="23" t="s">
        <v>23</v>
      </c>
      <c r="D10" s="23" t="str">
        <f t="shared" si="0"/>
        <v>Autoimmune</v>
      </c>
      <c r="E10" s="42" t="s">
        <v>50</v>
      </c>
      <c r="F10" s="23" t="s">
        <v>51</v>
      </c>
      <c r="G10" s="69" t="s">
        <v>52</v>
      </c>
      <c r="H10" s="33">
        <v>72986009</v>
      </c>
      <c r="I10" s="23">
        <v>4249574</v>
      </c>
      <c r="J10" s="22"/>
      <c r="K10" s="2" t="s">
        <v>53</v>
      </c>
      <c r="L10" s="2" t="s">
        <v>54</v>
      </c>
      <c r="M10" s="23" t="s">
        <v>29</v>
      </c>
      <c r="N10" s="22" t="s">
        <v>58</v>
      </c>
      <c r="O10" s="23" t="s">
        <v>55</v>
      </c>
      <c r="P10" s="23">
        <v>1.4000000000000002E-3</v>
      </c>
      <c r="Q10" s="23">
        <v>1.2E-2</v>
      </c>
      <c r="R10" s="4">
        <v>100000</v>
      </c>
      <c r="S10" s="4">
        <f>+(P10/R10)*[1]Population!$C$2</f>
        <v>4.6662000000000008</v>
      </c>
      <c r="T10" s="4">
        <f>IF(ISBLANK(Q10),S10,+(Q10/R10)*[1]Population!$C$2)</f>
        <v>39.995999999999995</v>
      </c>
      <c r="U10" s="1">
        <f>+AVERAGE(S10:T10)</f>
        <v>22.331099999999999</v>
      </c>
      <c r="V10" s="5">
        <f>+(U10/[1]Population!$C$2)*100000</f>
        <v>6.7000000000000002E-3</v>
      </c>
      <c r="W10" s="23" t="s">
        <v>56</v>
      </c>
      <c r="X10" s="22" t="s">
        <v>57</v>
      </c>
      <c r="Y10" s="41" t="s">
        <v>59</v>
      </c>
    </row>
    <row r="11" spans="1:25" ht="13.95" customHeight="1">
      <c r="A11" s="23" t="s">
        <v>49</v>
      </c>
      <c r="B11" s="23" t="s">
        <v>22</v>
      </c>
      <c r="C11" s="23" t="s">
        <v>23</v>
      </c>
      <c r="D11" s="23" t="str">
        <f t="shared" si="0"/>
        <v>Autoimmune</v>
      </c>
      <c r="E11" s="42" t="s">
        <v>50</v>
      </c>
      <c r="F11" s="23" t="s">
        <v>60</v>
      </c>
      <c r="G11" s="69" t="s">
        <v>36</v>
      </c>
      <c r="H11" s="33">
        <v>72986009</v>
      </c>
      <c r="I11" s="23">
        <v>4249574</v>
      </c>
      <c r="J11" s="22"/>
      <c r="K11" s="2" t="s">
        <v>53</v>
      </c>
      <c r="L11" s="2" t="s">
        <v>54</v>
      </c>
      <c r="M11" s="23" t="s">
        <v>29</v>
      </c>
      <c r="N11" s="22" t="s">
        <v>58</v>
      </c>
      <c r="O11" s="23" t="s">
        <v>55</v>
      </c>
      <c r="P11" s="23">
        <v>1.4000000000000002E-3</v>
      </c>
      <c r="Q11" s="23">
        <v>1.2E-2</v>
      </c>
      <c r="R11" s="4">
        <v>100000</v>
      </c>
      <c r="S11" s="4">
        <f>+(P11/R11)*[1]Population!$C$2</f>
        <v>4.6662000000000008</v>
      </c>
      <c r="T11" s="4">
        <f>IF(ISBLANK(Q11),S11,+(Q11/R11)*[1]Population!$C$2)</f>
        <v>39.995999999999995</v>
      </c>
      <c r="U11" s="1">
        <f>+AVERAGE(S11:T11)</f>
        <v>22.331099999999999</v>
      </c>
      <c r="V11" s="5">
        <f>+(U11/[1]Population!$C$2)*100000</f>
        <v>6.7000000000000002E-3</v>
      </c>
      <c r="W11" s="23" t="s">
        <v>56</v>
      </c>
      <c r="X11" s="22" t="s">
        <v>57</v>
      </c>
      <c r="Y11" s="41" t="s">
        <v>59</v>
      </c>
    </row>
    <row r="12" spans="1:25" ht="13.95" customHeight="1">
      <c r="A12" s="23" t="s">
        <v>49</v>
      </c>
      <c r="B12" s="23" t="s">
        <v>22</v>
      </c>
      <c r="C12" s="23" t="s">
        <v>23</v>
      </c>
      <c r="D12" s="23" t="str">
        <f t="shared" si="0"/>
        <v>Autoimmune</v>
      </c>
      <c r="E12" s="42" t="s">
        <v>50</v>
      </c>
      <c r="F12" s="23" t="s">
        <v>61</v>
      </c>
      <c r="G12" s="69" t="s">
        <v>36</v>
      </c>
      <c r="H12" s="33">
        <v>72986009</v>
      </c>
      <c r="I12" s="23">
        <v>4249574</v>
      </c>
      <c r="J12" s="22"/>
      <c r="K12" s="2" t="s">
        <v>53</v>
      </c>
      <c r="L12" s="2" t="s">
        <v>54</v>
      </c>
      <c r="M12" s="23" t="s">
        <v>29</v>
      </c>
      <c r="N12" s="22" t="s">
        <v>58</v>
      </c>
      <c r="O12" s="23" t="s">
        <v>55</v>
      </c>
      <c r="P12" s="23">
        <v>1.4000000000000002E-3</v>
      </c>
      <c r="Q12" s="23">
        <v>1.2E-2</v>
      </c>
      <c r="R12" s="4">
        <v>100000</v>
      </c>
      <c r="S12" s="4">
        <f>+(P12/R12)*[1]Population!$C$2</f>
        <v>4.6662000000000008</v>
      </c>
      <c r="T12" s="4">
        <f>IF(ISBLANK(Q12),S12,+(Q12/R12)*[1]Population!$C$2)</f>
        <v>39.995999999999995</v>
      </c>
      <c r="U12" s="1">
        <f>+AVERAGE(S12:T12)</f>
        <v>22.331099999999999</v>
      </c>
      <c r="V12" s="5">
        <f>+(U12/[1]Population!$C$2)*100000</f>
        <v>6.7000000000000002E-3</v>
      </c>
      <c r="W12" s="23" t="s">
        <v>56</v>
      </c>
      <c r="X12" s="22" t="s">
        <v>57</v>
      </c>
      <c r="Y12" s="41" t="s">
        <v>59</v>
      </c>
    </row>
    <row r="13" spans="1:25" ht="13.95" customHeight="1">
      <c r="A13" s="23" t="s">
        <v>49</v>
      </c>
      <c r="B13" s="23" t="s">
        <v>22</v>
      </c>
      <c r="C13" s="23" t="s">
        <v>23</v>
      </c>
      <c r="D13" s="23" t="str">
        <f t="shared" si="0"/>
        <v>Autoimmune</v>
      </c>
      <c r="E13" s="32" t="s">
        <v>50</v>
      </c>
      <c r="F13" s="23" t="s">
        <v>50</v>
      </c>
      <c r="G13" s="69" t="s">
        <v>25</v>
      </c>
      <c r="H13" s="33">
        <v>83942000</v>
      </c>
      <c r="I13" s="23">
        <v>374021</v>
      </c>
      <c r="J13" s="22" t="s">
        <v>62</v>
      </c>
      <c r="K13" s="2" t="s">
        <v>63</v>
      </c>
      <c r="L13" s="2" t="s">
        <v>64</v>
      </c>
      <c r="M13" s="23" t="s">
        <v>29</v>
      </c>
      <c r="N13" s="22" t="s">
        <v>67</v>
      </c>
      <c r="O13" s="1" t="s">
        <v>43</v>
      </c>
      <c r="P13" s="23">
        <v>7.0000000000000007E-2</v>
      </c>
      <c r="Q13" s="23">
        <v>0.6</v>
      </c>
      <c r="R13" s="4">
        <v>100000</v>
      </c>
      <c r="S13" s="4">
        <f>+(P13/R13)*[1]Population!$C$2</f>
        <v>233.31000000000003</v>
      </c>
      <c r="T13" s="4">
        <f>IF(ISBLANK(Q13),S13,+(Q13/R13)*[1]Population!$C$2)</f>
        <v>1999.8</v>
      </c>
      <c r="U13" s="1">
        <f>+AVERAGE(S13:T13)</f>
        <v>1116.5550000000001</v>
      </c>
      <c r="V13" s="5">
        <f>+(U13/[1]Population!$C$2)*100000</f>
        <v>0.33500000000000002</v>
      </c>
      <c r="W13" s="23" t="s">
        <v>65</v>
      </c>
      <c r="X13" s="22" t="s">
        <v>66</v>
      </c>
      <c r="Y13" s="8" t="s">
        <v>68</v>
      </c>
    </row>
    <row r="14" spans="1:25" ht="13.95" customHeight="1">
      <c r="A14" s="23" t="s">
        <v>49</v>
      </c>
      <c r="B14" s="23" t="s">
        <v>22</v>
      </c>
      <c r="C14" s="23" t="s">
        <v>23</v>
      </c>
      <c r="D14" s="23" t="str">
        <f t="shared" si="0"/>
        <v>Autoimmune</v>
      </c>
      <c r="E14" s="32" t="s">
        <v>50</v>
      </c>
      <c r="F14" s="23" t="s">
        <v>69</v>
      </c>
      <c r="G14" s="69" t="s">
        <v>34</v>
      </c>
      <c r="H14" s="33">
        <v>83942000</v>
      </c>
      <c r="I14" s="23"/>
      <c r="J14" s="23"/>
      <c r="K14" s="23"/>
      <c r="L14" s="23"/>
      <c r="M14" s="23"/>
      <c r="N14" s="22"/>
      <c r="O14" s="23"/>
      <c r="P14" s="23"/>
      <c r="Q14" s="23"/>
      <c r="R14" s="4"/>
      <c r="S14" s="23">
        <v>0</v>
      </c>
      <c r="T14" s="23">
        <v>0</v>
      </c>
      <c r="U14" s="23">
        <v>0</v>
      </c>
      <c r="V14" s="5">
        <v>0</v>
      </c>
      <c r="W14" s="39"/>
      <c r="X14" s="22"/>
      <c r="Y14" s="41"/>
    </row>
    <row r="15" spans="1:25" ht="13.95" customHeight="1">
      <c r="A15" s="23" t="s">
        <v>49</v>
      </c>
      <c r="B15" s="23" t="s">
        <v>22</v>
      </c>
      <c r="C15" s="23" t="s">
        <v>23</v>
      </c>
      <c r="D15" s="23" t="str">
        <f t="shared" si="0"/>
        <v>Autoimmune</v>
      </c>
      <c r="E15" s="32" t="s">
        <v>50</v>
      </c>
      <c r="F15" s="23" t="s">
        <v>70</v>
      </c>
      <c r="G15" s="69" t="s">
        <v>36</v>
      </c>
      <c r="H15" s="33">
        <v>83942000</v>
      </c>
      <c r="I15" s="23">
        <v>374021</v>
      </c>
      <c r="J15" s="22"/>
      <c r="K15" s="2"/>
      <c r="L15" s="2"/>
      <c r="M15" s="23"/>
      <c r="N15" s="22"/>
      <c r="O15" s="1"/>
      <c r="P15" s="23"/>
      <c r="Q15" s="23"/>
      <c r="R15" s="4"/>
      <c r="S15" s="23">
        <v>0</v>
      </c>
      <c r="T15" s="23">
        <v>0</v>
      </c>
      <c r="U15" s="23">
        <v>0</v>
      </c>
      <c r="V15" s="5">
        <v>0</v>
      </c>
      <c r="W15" s="23"/>
      <c r="X15" s="22" t="s">
        <v>71</v>
      </c>
      <c r="Y15" s="8"/>
    </row>
    <row r="16" spans="1:25" ht="13.95" customHeight="1">
      <c r="A16" s="23" t="s">
        <v>72</v>
      </c>
      <c r="B16" s="23" t="s">
        <v>22</v>
      </c>
      <c r="C16" s="23" t="s">
        <v>73</v>
      </c>
      <c r="D16" s="23" t="str">
        <f t="shared" si="0"/>
        <v>Autoimmune</v>
      </c>
      <c r="E16" s="32" t="s">
        <v>74</v>
      </c>
      <c r="F16" s="23" t="s">
        <v>74</v>
      </c>
      <c r="G16" s="69" t="s">
        <v>25</v>
      </c>
      <c r="H16" s="33">
        <v>75053002</v>
      </c>
      <c r="I16" s="23">
        <v>314381</v>
      </c>
      <c r="J16" s="22" t="s">
        <v>75</v>
      </c>
      <c r="K16" s="2" t="s">
        <v>76</v>
      </c>
      <c r="L16" s="2" t="s">
        <v>77</v>
      </c>
      <c r="M16" s="9" t="s">
        <v>78</v>
      </c>
      <c r="N16" s="22" t="s">
        <v>81</v>
      </c>
      <c r="O16" s="2" t="s">
        <v>79</v>
      </c>
      <c r="P16" s="44">
        <v>34.9</v>
      </c>
      <c r="Q16" s="23"/>
      <c r="R16" s="4">
        <v>100000</v>
      </c>
      <c r="S16" s="4">
        <f>+(P16/R16)*[1]Population!$C$2</f>
        <v>116321.7</v>
      </c>
      <c r="T16" s="4">
        <f>IF(ISBLANK(Q16),S16,+(Q16/R16)*[1]Population!$C$2)</f>
        <v>116321.7</v>
      </c>
      <c r="U16" s="1">
        <f>+AVERAGE(S16:T16)</f>
        <v>116321.7</v>
      </c>
      <c r="V16" s="5">
        <f>+(U16/[1]Population!$C$2)*100000</f>
        <v>34.9</v>
      </c>
      <c r="W16" s="23"/>
      <c r="X16" s="22" t="s">
        <v>80</v>
      </c>
      <c r="Y16" s="40"/>
    </row>
    <row r="17" spans="1:25" ht="13.95" customHeight="1">
      <c r="A17" s="23" t="s">
        <v>72</v>
      </c>
      <c r="B17" s="23" t="s">
        <v>22</v>
      </c>
      <c r="C17" s="23" t="s">
        <v>73</v>
      </c>
      <c r="D17" s="23" t="str">
        <f t="shared" si="0"/>
        <v>Autoimmune</v>
      </c>
      <c r="E17" s="32" t="s">
        <v>74</v>
      </c>
      <c r="F17" s="23" t="s">
        <v>82</v>
      </c>
      <c r="G17" s="69" t="s">
        <v>36</v>
      </c>
      <c r="H17" s="33">
        <v>75053002</v>
      </c>
      <c r="I17" s="23"/>
      <c r="J17" s="23"/>
      <c r="K17" s="23"/>
      <c r="L17" s="23"/>
      <c r="M17" s="23"/>
      <c r="N17" s="22"/>
      <c r="O17" s="23"/>
      <c r="P17" s="23"/>
      <c r="Q17" s="23"/>
      <c r="R17" s="4"/>
      <c r="S17" s="23">
        <v>0</v>
      </c>
      <c r="T17" s="23">
        <v>0</v>
      </c>
      <c r="U17" s="23">
        <v>0</v>
      </c>
      <c r="V17" s="5">
        <v>0</v>
      </c>
      <c r="W17" s="39"/>
      <c r="X17" s="22"/>
      <c r="Y17" s="41"/>
    </row>
    <row r="18" spans="1:25" ht="13.95" customHeight="1">
      <c r="A18" s="23" t="s">
        <v>72</v>
      </c>
      <c r="B18" s="23" t="s">
        <v>22</v>
      </c>
      <c r="C18" s="23" t="s">
        <v>73</v>
      </c>
      <c r="D18" s="23" t="str">
        <f t="shared" si="0"/>
        <v>Autoimmune</v>
      </c>
      <c r="E18" s="32" t="s">
        <v>74</v>
      </c>
      <c r="F18" s="23" t="s">
        <v>83</v>
      </c>
      <c r="G18" s="69" t="s">
        <v>36</v>
      </c>
      <c r="H18" s="33">
        <v>75053002</v>
      </c>
      <c r="I18" s="23">
        <v>314381</v>
      </c>
      <c r="J18" s="22"/>
      <c r="K18" s="2" t="s">
        <v>76</v>
      </c>
      <c r="L18" s="2" t="s">
        <v>77</v>
      </c>
      <c r="M18" s="9" t="s">
        <v>78</v>
      </c>
      <c r="N18" s="22" t="s">
        <v>81</v>
      </c>
      <c r="O18" s="2" t="s">
        <v>79</v>
      </c>
      <c r="P18" s="44">
        <v>34.9</v>
      </c>
      <c r="Q18" s="23"/>
      <c r="R18" s="4">
        <v>100000</v>
      </c>
      <c r="S18" s="4">
        <f>+(P18/R18)*[1]Population!$C$2</f>
        <v>116321.7</v>
      </c>
      <c r="T18" s="4">
        <f>IF(ISBLANK(Q18),S18,+(Q18/R18)*[1]Population!$C$2)</f>
        <v>116321.7</v>
      </c>
      <c r="U18" s="1">
        <f>+AVERAGE(S18:T18)</f>
        <v>116321.7</v>
      </c>
      <c r="V18" s="5">
        <f>+(U18/[1]Population!$C$2)*100000</f>
        <v>34.9</v>
      </c>
      <c r="W18" s="23"/>
      <c r="X18" s="22" t="s">
        <v>80</v>
      </c>
      <c r="Y18" s="40"/>
    </row>
    <row r="19" spans="1:25" ht="13.95" customHeight="1">
      <c r="A19" s="23" t="s">
        <v>72</v>
      </c>
      <c r="B19" s="23" t="s">
        <v>22</v>
      </c>
      <c r="C19" s="23" t="s">
        <v>73</v>
      </c>
      <c r="D19" s="23" t="str">
        <f t="shared" si="0"/>
        <v>Autoimmune</v>
      </c>
      <c r="E19" s="32" t="s">
        <v>74</v>
      </c>
      <c r="F19" s="23" t="s">
        <v>84</v>
      </c>
      <c r="G19" s="69" t="s">
        <v>36</v>
      </c>
      <c r="H19" s="33">
        <v>75053002</v>
      </c>
      <c r="I19" s="23"/>
      <c r="J19" s="23"/>
      <c r="K19" s="23"/>
      <c r="L19" s="23"/>
      <c r="M19" s="23"/>
      <c r="N19" s="22"/>
      <c r="O19" s="23"/>
      <c r="P19" s="23"/>
      <c r="Q19" s="23"/>
      <c r="R19" s="4"/>
      <c r="S19" s="23">
        <v>0</v>
      </c>
      <c r="T19" s="23">
        <v>0</v>
      </c>
      <c r="U19" s="23">
        <v>0</v>
      </c>
      <c r="V19" s="5">
        <v>0</v>
      </c>
      <c r="W19" s="39"/>
      <c r="X19" s="22"/>
      <c r="Y19" s="41"/>
    </row>
    <row r="20" spans="1:25" ht="13.95" customHeight="1">
      <c r="A20" s="23" t="s">
        <v>72</v>
      </c>
      <c r="B20" s="23" t="s">
        <v>22</v>
      </c>
      <c r="C20" s="23" t="s">
        <v>73</v>
      </c>
      <c r="D20" s="23" t="str">
        <f t="shared" si="0"/>
        <v>Autoimmune</v>
      </c>
      <c r="E20" s="32" t="s">
        <v>74</v>
      </c>
      <c r="F20" s="23" t="s">
        <v>85</v>
      </c>
      <c r="G20" s="69" t="s">
        <v>36</v>
      </c>
      <c r="H20" s="33">
        <v>75053002</v>
      </c>
      <c r="I20" s="23"/>
      <c r="J20" s="23"/>
      <c r="K20" s="23"/>
      <c r="L20" s="23"/>
      <c r="M20" s="23"/>
      <c r="N20" s="22"/>
      <c r="O20" s="23"/>
      <c r="P20" s="23"/>
      <c r="Q20" s="23"/>
      <c r="R20" s="4"/>
      <c r="S20" s="23">
        <v>0</v>
      </c>
      <c r="T20" s="23">
        <v>0</v>
      </c>
      <c r="U20" s="23">
        <v>0</v>
      </c>
      <c r="V20" s="5">
        <v>0</v>
      </c>
      <c r="W20" s="39"/>
      <c r="X20" s="22"/>
      <c r="Y20" s="41"/>
    </row>
    <row r="21" spans="1:25" ht="13.95" customHeight="1">
      <c r="A21" s="23" t="s">
        <v>21</v>
      </c>
      <c r="B21" s="23" t="s">
        <v>86</v>
      </c>
      <c r="C21" s="23" t="s">
        <v>86</v>
      </c>
      <c r="D21" s="23" t="str">
        <f t="shared" si="0"/>
        <v>Unconfirmed</v>
      </c>
      <c r="E21" s="32" t="s">
        <v>87</v>
      </c>
      <c r="F21" s="23" t="s">
        <v>87</v>
      </c>
      <c r="G21" s="69" t="s">
        <v>25</v>
      </c>
      <c r="H21" s="33">
        <v>86487001</v>
      </c>
      <c r="I21" s="23">
        <v>4314705</v>
      </c>
      <c r="J21" s="22" t="s">
        <v>88</v>
      </c>
      <c r="K21" s="2" t="s">
        <v>89</v>
      </c>
      <c r="L21" s="2" t="s">
        <v>90</v>
      </c>
      <c r="M21" s="9" t="s">
        <v>78</v>
      </c>
      <c r="N21" s="22" t="s">
        <v>93</v>
      </c>
      <c r="O21" s="4" t="s">
        <v>91</v>
      </c>
      <c r="P21" s="23">
        <v>17</v>
      </c>
      <c r="Q21" s="23"/>
      <c r="R21" s="4">
        <v>44000</v>
      </c>
      <c r="S21" s="4">
        <f>+(P21/R21)*([1]Population!$C$2-70000000)</f>
        <v>101729.54545454546</v>
      </c>
      <c r="T21" s="4">
        <f>+S21</f>
        <v>101729.54545454546</v>
      </c>
      <c r="U21" s="1">
        <f>+AVERAGE(S21:T21)</f>
        <v>101729.54545454546</v>
      </c>
      <c r="V21" s="5">
        <f>+(U21/[1]Population!$C$2)*100000</f>
        <v>30.521915827946433</v>
      </c>
      <c r="W21" s="23"/>
      <c r="X21" s="22" t="s">
        <v>92</v>
      </c>
      <c r="Y21" s="41"/>
    </row>
    <row r="22" spans="1:25" ht="13.95" customHeight="1">
      <c r="A22" s="23" t="s">
        <v>21</v>
      </c>
      <c r="B22" s="23" t="s">
        <v>86</v>
      </c>
      <c r="C22" s="23" t="s">
        <v>86</v>
      </c>
      <c r="D22" s="23" t="str">
        <f t="shared" si="0"/>
        <v>Unconfirmed</v>
      </c>
      <c r="E22" s="32" t="s">
        <v>87</v>
      </c>
      <c r="F22" s="23" t="s">
        <v>94</v>
      </c>
      <c r="G22" s="69" t="s">
        <v>34</v>
      </c>
      <c r="H22" s="33">
        <v>86487001</v>
      </c>
      <c r="I22" s="23"/>
      <c r="J22" s="23"/>
      <c r="K22" s="23"/>
      <c r="L22" s="23"/>
      <c r="M22" s="23"/>
      <c r="N22" s="22"/>
      <c r="O22" s="23"/>
      <c r="P22" s="23"/>
      <c r="Q22" s="23"/>
      <c r="R22" s="4"/>
      <c r="S22" s="23">
        <v>0</v>
      </c>
      <c r="T22" s="23">
        <v>0</v>
      </c>
      <c r="U22" s="23">
        <v>0</v>
      </c>
      <c r="V22" s="5">
        <v>0</v>
      </c>
      <c r="W22" s="39"/>
      <c r="X22" s="22"/>
      <c r="Y22" s="41"/>
    </row>
    <row r="23" spans="1:25" ht="13.95" customHeight="1">
      <c r="A23" s="23" t="s">
        <v>21</v>
      </c>
      <c r="B23" s="23" t="s">
        <v>86</v>
      </c>
      <c r="C23" s="23" t="s">
        <v>86</v>
      </c>
      <c r="D23" s="23" t="str">
        <f t="shared" si="0"/>
        <v>Unconfirmed</v>
      </c>
      <c r="E23" s="32" t="s">
        <v>87</v>
      </c>
      <c r="F23" s="23" t="s">
        <v>95</v>
      </c>
      <c r="G23" s="69" t="s">
        <v>36</v>
      </c>
      <c r="H23" s="33">
        <v>86487001</v>
      </c>
      <c r="I23" s="23"/>
      <c r="J23" s="23"/>
      <c r="K23" s="23"/>
      <c r="L23" s="23"/>
      <c r="M23" s="23"/>
      <c r="N23" s="22"/>
      <c r="O23" s="23"/>
      <c r="P23" s="23"/>
      <c r="Q23" s="23"/>
      <c r="R23" s="4"/>
      <c r="S23" s="23">
        <v>0</v>
      </c>
      <c r="T23" s="23">
        <v>0</v>
      </c>
      <c r="U23" s="23">
        <v>0</v>
      </c>
      <c r="V23" s="5">
        <v>0</v>
      </c>
      <c r="W23" s="39"/>
      <c r="X23" s="22"/>
      <c r="Y23" s="41"/>
    </row>
    <row r="24" spans="1:25" ht="13.95" customHeight="1">
      <c r="A24" s="23" t="s">
        <v>21</v>
      </c>
      <c r="B24" s="23" t="s">
        <v>86</v>
      </c>
      <c r="C24" s="23" t="s">
        <v>86</v>
      </c>
      <c r="D24" s="23" t="str">
        <f t="shared" si="0"/>
        <v>Unconfirmed</v>
      </c>
      <c r="E24" s="32" t="s">
        <v>87</v>
      </c>
      <c r="F24" s="23" t="s">
        <v>96</v>
      </c>
      <c r="G24" s="69" t="s">
        <v>36</v>
      </c>
      <c r="H24" s="33">
        <v>86487001</v>
      </c>
      <c r="I24" s="23">
        <v>4314705</v>
      </c>
      <c r="J24" s="22"/>
      <c r="K24" s="2" t="s">
        <v>89</v>
      </c>
      <c r="L24" s="2" t="s">
        <v>90</v>
      </c>
      <c r="M24" s="9" t="s">
        <v>78</v>
      </c>
      <c r="N24" s="22" t="s">
        <v>93</v>
      </c>
      <c r="O24" s="4" t="s">
        <v>91</v>
      </c>
      <c r="P24" s="23">
        <v>17</v>
      </c>
      <c r="Q24" s="23"/>
      <c r="R24" s="4">
        <v>44000</v>
      </c>
      <c r="S24" s="4">
        <f>+(P24/R24)*([1]Population!$C$2-70000000)</f>
        <v>101729.54545454546</v>
      </c>
      <c r="T24" s="4">
        <f>+S24</f>
        <v>101729.54545454546</v>
      </c>
      <c r="U24" s="1">
        <f>+AVERAGE(S24:T24)</f>
        <v>101729.54545454546</v>
      </c>
      <c r="V24" s="5">
        <f>+(U24/[1]Population!$C$2)*100000</f>
        <v>30.521915827946433</v>
      </c>
      <c r="W24" s="23"/>
      <c r="X24" s="22" t="s">
        <v>92</v>
      </c>
      <c r="Y24" s="41"/>
    </row>
    <row r="25" spans="1:25" ht="13.95" customHeight="1">
      <c r="A25" s="23" t="s">
        <v>21</v>
      </c>
      <c r="B25" s="23" t="s">
        <v>86</v>
      </c>
      <c r="C25" s="23" t="s">
        <v>86</v>
      </c>
      <c r="D25" s="23" t="str">
        <f t="shared" si="0"/>
        <v>Unconfirmed</v>
      </c>
      <c r="E25" s="32" t="s">
        <v>87</v>
      </c>
      <c r="F25" s="23" t="s">
        <v>97</v>
      </c>
      <c r="G25" s="69" t="s">
        <v>36</v>
      </c>
      <c r="H25" s="33">
        <v>86487001</v>
      </c>
      <c r="I25" s="23">
        <v>4314705</v>
      </c>
      <c r="J25" s="22"/>
      <c r="K25" s="2" t="s">
        <v>89</v>
      </c>
      <c r="L25" s="2" t="s">
        <v>90</v>
      </c>
      <c r="M25" s="9" t="s">
        <v>78</v>
      </c>
      <c r="N25" s="22" t="s">
        <v>93</v>
      </c>
      <c r="O25" s="4" t="s">
        <v>91</v>
      </c>
      <c r="P25" s="23">
        <v>17</v>
      </c>
      <c r="Q25" s="23"/>
      <c r="R25" s="4">
        <v>44000</v>
      </c>
      <c r="S25" s="4">
        <f>+(P25/R25)*([1]Population!$C$2-70000000)</f>
        <v>101729.54545454546</v>
      </c>
      <c r="T25" s="4">
        <f>+S25</f>
        <v>101729.54545454546</v>
      </c>
      <c r="U25" s="1">
        <f>+AVERAGE(S25:T25)</f>
        <v>101729.54545454546</v>
      </c>
      <c r="V25" s="5">
        <f>+(U25/[1]Population!$C$2)*100000</f>
        <v>30.521915827946433</v>
      </c>
      <c r="W25" s="23"/>
      <c r="X25" s="22" t="s">
        <v>92</v>
      </c>
      <c r="Y25" s="41"/>
    </row>
    <row r="26" spans="1:25" ht="13.95" customHeight="1">
      <c r="A26" s="23" t="s">
        <v>98</v>
      </c>
      <c r="B26" s="23" t="s">
        <v>22</v>
      </c>
      <c r="C26" s="23" t="s">
        <v>73</v>
      </c>
      <c r="D26" s="23" t="str">
        <f t="shared" si="0"/>
        <v>Autoimmune</v>
      </c>
      <c r="E26" s="32" t="s">
        <v>99</v>
      </c>
      <c r="F26" s="23" t="s">
        <v>99</v>
      </c>
      <c r="G26" s="69" t="s">
        <v>25</v>
      </c>
      <c r="H26" s="33">
        <v>363732003</v>
      </c>
      <c r="I26" s="23">
        <v>443394</v>
      </c>
      <c r="J26" s="22" t="s">
        <v>100</v>
      </c>
      <c r="K26" s="2" t="s">
        <v>101</v>
      </c>
      <c r="L26" s="2" t="s">
        <v>102</v>
      </c>
      <c r="M26" s="23" t="s">
        <v>78</v>
      </c>
      <c r="N26" s="22" t="s">
        <v>106</v>
      </c>
      <c r="O26" s="23" t="s">
        <v>103</v>
      </c>
      <c r="P26" s="23">
        <v>4.17</v>
      </c>
      <c r="Q26" s="23">
        <v>22.1</v>
      </c>
      <c r="R26" s="4">
        <v>100000</v>
      </c>
      <c r="S26" s="4">
        <f>+(P26/R26)*[1]Population!$C$2</f>
        <v>13898.609999999999</v>
      </c>
      <c r="T26" s="4">
        <f>IF(ISBLANK(Q26),S26,+(Q26/R26)*[1]Population!$C$2)</f>
        <v>73659.3</v>
      </c>
      <c r="U26" s="1">
        <f>+AVERAGE(S26:T26)</f>
        <v>43778.955000000002</v>
      </c>
      <c r="V26" s="5">
        <f>+(U26/[1]Population!$C$2)*100000</f>
        <v>13.135</v>
      </c>
      <c r="W26" s="23" t="s">
        <v>104</v>
      </c>
      <c r="X26" s="22" t="s">
        <v>105</v>
      </c>
      <c r="Y26" s="41"/>
    </row>
    <row r="27" spans="1:25" ht="13.95" customHeight="1">
      <c r="A27" s="23" t="s">
        <v>98</v>
      </c>
      <c r="B27" s="23" t="s">
        <v>22</v>
      </c>
      <c r="C27" s="23" t="s">
        <v>73</v>
      </c>
      <c r="D27" s="23" t="str">
        <f t="shared" si="0"/>
        <v>Autoimmune</v>
      </c>
      <c r="E27" s="32" t="s">
        <v>99</v>
      </c>
      <c r="F27" s="23" t="s">
        <v>107</v>
      </c>
      <c r="G27" s="69" t="s">
        <v>36</v>
      </c>
      <c r="H27" s="33">
        <v>363732003</v>
      </c>
      <c r="I27" s="23"/>
      <c r="J27" s="23"/>
      <c r="K27" s="23"/>
      <c r="L27" s="23"/>
      <c r="M27" s="23"/>
      <c r="N27" s="22"/>
      <c r="O27" s="23"/>
      <c r="P27" s="23"/>
      <c r="Q27" s="23"/>
      <c r="R27" s="4"/>
      <c r="S27" s="23">
        <v>0</v>
      </c>
      <c r="T27" s="23">
        <v>0</v>
      </c>
      <c r="U27" s="23">
        <v>0</v>
      </c>
      <c r="V27" s="5">
        <v>0</v>
      </c>
      <c r="W27" s="39"/>
      <c r="X27" s="22"/>
      <c r="Y27" s="41"/>
    </row>
    <row r="28" spans="1:25" ht="13.95" customHeight="1">
      <c r="A28" s="23" t="s">
        <v>98</v>
      </c>
      <c r="B28" s="23" t="s">
        <v>22</v>
      </c>
      <c r="C28" s="23" t="s">
        <v>73</v>
      </c>
      <c r="D28" s="23" t="str">
        <f t="shared" si="0"/>
        <v>Autoimmune</v>
      </c>
      <c r="E28" s="32" t="s">
        <v>99</v>
      </c>
      <c r="F28" s="23" t="s">
        <v>108</v>
      </c>
      <c r="G28" s="69" t="s">
        <v>109</v>
      </c>
      <c r="H28" s="33">
        <v>386584007</v>
      </c>
      <c r="I28" s="23">
        <v>435508</v>
      </c>
      <c r="J28" s="22"/>
      <c r="K28" s="2" t="s">
        <v>101</v>
      </c>
      <c r="L28" s="2" t="s">
        <v>102</v>
      </c>
      <c r="M28" s="23" t="s">
        <v>78</v>
      </c>
      <c r="N28" s="22" t="s">
        <v>106</v>
      </c>
      <c r="O28" s="23" t="s">
        <v>103</v>
      </c>
      <c r="P28" s="23">
        <v>4.17</v>
      </c>
      <c r="Q28" s="23">
        <v>22.1</v>
      </c>
      <c r="R28" s="4">
        <v>100000</v>
      </c>
      <c r="S28" s="4">
        <f>+(P28/R28)*[1]Population!$C$2</f>
        <v>13898.609999999999</v>
      </c>
      <c r="T28" s="4">
        <f>IF(ISBLANK(Q28),S28,+(Q28/R28)*[1]Population!$C$2)</f>
        <v>73659.3</v>
      </c>
      <c r="U28" s="1">
        <f>+AVERAGE(S28:T28)</f>
        <v>43778.955000000002</v>
      </c>
      <c r="V28" s="5">
        <f>+(U28/[1]Population!$C$2)*100000</f>
        <v>13.135</v>
      </c>
      <c r="W28" s="23" t="s">
        <v>104</v>
      </c>
      <c r="X28" s="22" t="s">
        <v>105</v>
      </c>
      <c r="Y28" s="41"/>
    </row>
    <row r="29" spans="1:25" ht="13.95" customHeight="1">
      <c r="A29" s="23" t="s">
        <v>98</v>
      </c>
      <c r="B29" s="23" t="s">
        <v>22</v>
      </c>
      <c r="C29" s="23" t="s">
        <v>73</v>
      </c>
      <c r="D29" s="23" t="str">
        <f t="shared" si="0"/>
        <v>Autoimmune</v>
      </c>
      <c r="E29" s="32" t="s">
        <v>99</v>
      </c>
      <c r="F29" s="23" t="s">
        <v>110</v>
      </c>
      <c r="G29" s="69" t="s">
        <v>36</v>
      </c>
      <c r="H29" s="33">
        <v>386584007</v>
      </c>
      <c r="I29" s="23"/>
      <c r="J29" s="23"/>
      <c r="K29" s="23"/>
      <c r="L29" s="23"/>
      <c r="M29" s="23"/>
      <c r="N29" s="22"/>
      <c r="O29" s="23"/>
      <c r="P29" s="23"/>
      <c r="Q29" s="23"/>
      <c r="R29" s="4"/>
      <c r="S29" s="23">
        <v>0</v>
      </c>
      <c r="T29" s="23">
        <v>0</v>
      </c>
      <c r="U29" s="23">
        <v>0</v>
      </c>
      <c r="V29" s="5">
        <v>0</v>
      </c>
      <c r="W29" s="39"/>
      <c r="X29" s="22"/>
      <c r="Y29" s="41"/>
    </row>
    <row r="30" spans="1:25" ht="13.95" customHeight="1">
      <c r="A30" s="23" t="s">
        <v>98</v>
      </c>
      <c r="B30" s="23" t="s">
        <v>22</v>
      </c>
      <c r="C30" s="23" t="s">
        <v>73</v>
      </c>
      <c r="D30" s="23" t="str">
        <f t="shared" si="0"/>
        <v>Autoimmune</v>
      </c>
      <c r="E30" s="32" t="s">
        <v>99</v>
      </c>
      <c r="F30" s="23" t="s">
        <v>111</v>
      </c>
      <c r="G30" s="69" t="s">
        <v>36</v>
      </c>
      <c r="H30" s="33">
        <v>386584007</v>
      </c>
      <c r="I30" s="23"/>
      <c r="J30" s="22"/>
      <c r="K30" s="2" t="s">
        <v>101</v>
      </c>
      <c r="L30" s="2" t="s">
        <v>102</v>
      </c>
      <c r="M30" s="23" t="s">
        <v>78</v>
      </c>
      <c r="N30" s="22" t="s">
        <v>106</v>
      </c>
      <c r="O30" s="23" t="s">
        <v>103</v>
      </c>
      <c r="P30" s="23">
        <v>4.17</v>
      </c>
      <c r="Q30" s="23">
        <v>22.1</v>
      </c>
      <c r="R30" s="4">
        <v>100000</v>
      </c>
      <c r="S30" s="4">
        <f>+(P30/R30)*[1]Population!$C$2</f>
        <v>13898.609999999999</v>
      </c>
      <c r="T30" s="4">
        <f>IF(ISBLANK(Q30),S30,+(Q30/R30)*[1]Population!$C$2)</f>
        <v>73659.3</v>
      </c>
      <c r="U30" s="1">
        <f>+AVERAGE(S30:T30)</f>
        <v>43778.955000000002</v>
      </c>
      <c r="V30" s="5">
        <f>+(U30/[1]Population!$C$2)*100000</f>
        <v>13.135</v>
      </c>
      <c r="W30" s="23" t="s">
        <v>104</v>
      </c>
      <c r="X30" s="22" t="s">
        <v>105</v>
      </c>
      <c r="Y30" s="41"/>
    </row>
    <row r="31" spans="1:25" ht="13.95" customHeight="1">
      <c r="A31" s="23" t="s">
        <v>112</v>
      </c>
      <c r="B31" s="23" t="s">
        <v>22</v>
      </c>
      <c r="C31" s="23" t="s">
        <v>73</v>
      </c>
      <c r="D31" s="23" t="str">
        <f t="shared" si="0"/>
        <v>Autoimmune</v>
      </c>
      <c r="E31" s="32" t="s">
        <v>113</v>
      </c>
      <c r="F31" s="23" t="s">
        <v>113</v>
      </c>
      <c r="G31" s="69" t="s">
        <v>25</v>
      </c>
      <c r="H31" s="33">
        <v>239920006</v>
      </c>
      <c r="I31" s="23">
        <v>4344166</v>
      </c>
      <c r="J31" s="22" t="s">
        <v>114</v>
      </c>
      <c r="K31" s="2" t="s">
        <v>115</v>
      </c>
      <c r="L31" s="2" t="s">
        <v>116</v>
      </c>
      <c r="M31" s="9" t="s">
        <v>78</v>
      </c>
      <c r="N31" s="22" t="s">
        <v>120</v>
      </c>
      <c r="O31" s="23" t="s">
        <v>117</v>
      </c>
      <c r="P31" s="23">
        <v>1</v>
      </c>
      <c r="Q31" s="23">
        <v>10</v>
      </c>
      <c r="R31" s="4">
        <v>1000000</v>
      </c>
      <c r="S31" s="4">
        <f>+(P31/R31)*[1]Population!$C$2</f>
        <v>333.3</v>
      </c>
      <c r="T31" s="4">
        <f>IF(ISBLANK(Q31),S31,+(Q31/R31)*[1]Population!$C$2)</f>
        <v>3333.0000000000005</v>
      </c>
      <c r="U31" s="1">
        <f>+AVERAGE(S31:T31)</f>
        <v>1833.1500000000003</v>
      </c>
      <c r="V31" s="5">
        <f>+(U31/[1]Population!$C$2)*100000</f>
        <v>0.55000000000000004</v>
      </c>
      <c r="W31" s="23" t="s">
        <v>118</v>
      </c>
      <c r="X31" s="22" t="s">
        <v>119</v>
      </c>
      <c r="Y31" s="41"/>
    </row>
    <row r="32" spans="1:25" ht="13.95" customHeight="1">
      <c r="A32" s="23" t="s">
        <v>112</v>
      </c>
      <c r="B32" s="23" t="s">
        <v>22</v>
      </c>
      <c r="C32" s="23" t="s">
        <v>73</v>
      </c>
      <c r="D32" s="23" t="str">
        <f t="shared" si="0"/>
        <v>Autoimmune</v>
      </c>
      <c r="E32" s="32" t="s">
        <v>113</v>
      </c>
      <c r="F32" s="23" t="s">
        <v>121</v>
      </c>
      <c r="G32" s="69" t="s">
        <v>36</v>
      </c>
      <c r="H32" s="33">
        <v>239920006</v>
      </c>
      <c r="I32" s="23"/>
      <c r="J32" s="22"/>
      <c r="K32" s="23"/>
      <c r="L32" s="23"/>
      <c r="M32" s="23"/>
      <c r="N32" s="22"/>
      <c r="O32" s="23"/>
      <c r="P32" s="23"/>
      <c r="Q32" s="23"/>
      <c r="R32" s="4"/>
      <c r="S32" s="23">
        <v>0</v>
      </c>
      <c r="T32" s="23">
        <v>0</v>
      </c>
      <c r="U32" s="23">
        <v>0</v>
      </c>
      <c r="V32" s="5">
        <v>0</v>
      </c>
      <c r="W32" s="39"/>
      <c r="X32" s="22"/>
      <c r="Y32" s="41"/>
    </row>
    <row r="33" spans="1:25" ht="13.95" customHeight="1">
      <c r="A33" s="23" t="s">
        <v>49</v>
      </c>
      <c r="B33" s="23" t="s">
        <v>86</v>
      </c>
      <c r="C33" s="23" t="s">
        <v>86</v>
      </c>
      <c r="D33" s="23" t="str">
        <f t="shared" si="0"/>
        <v>Unconfirmed</v>
      </c>
      <c r="E33" s="32" t="s">
        <v>122</v>
      </c>
      <c r="F33" s="23" t="s">
        <v>122</v>
      </c>
      <c r="G33" s="69" t="s">
        <v>123</v>
      </c>
      <c r="H33" s="33">
        <v>267718000</v>
      </c>
      <c r="I33" s="23">
        <v>374028</v>
      </c>
      <c r="J33" s="22" t="s">
        <v>124</v>
      </c>
      <c r="K33" s="2" t="s">
        <v>125</v>
      </c>
      <c r="L33" s="10" t="s">
        <v>126</v>
      </c>
      <c r="M33" s="9" t="s">
        <v>78</v>
      </c>
      <c r="N33" s="22" t="s">
        <v>128</v>
      </c>
      <c r="O33" s="4" t="s">
        <v>127</v>
      </c>
      <c r="P33" s="23">
        <v>10.3</v>
      </c>
      <c r="Q33" s="23">
        <v>15.3</v>
      </c>
      <c r="R33" s="4">
        <v>100</v>
      </c>
      <c r="S33" s="4">
        <f>+(P33/R33)*[1]Population!$C$5</f>
        <v>16759857.180000002</v>
      </c>
      <c r="T33" s="4">
        <f>IF(ISBLANK(Q33),S33,+(Q33/R33)*[1]Population!$C$5)</f>
        <v>24895710.18</v>
      </c>
      <c r="U33" s="1">
        <f>+AVERAGE(S33:T33)</f>
        <v>20827783.68</v>
      </c>
      <c r="V33" s="5">
        <f>+(U33/[1]Population!$C$2)*100000</f>
        <v>6248.96</v>
      </c>
      <c r="W33" s="23"/>
      <c r="X33" s="22"/>
      <c r="Y33" s="40"/>
    </row>
    <row r="34" spans="1:25" ht="13.95" customHeight="1">
      <c r="A34" s="23" t="s">
        <v>21</v>
      </c>
      <c r="B34" s="23" t="s">
        <v>22</v>
      </c>
      <c r="C34" s="23" t="s">
        <v>73</v>
      </c>
      <c r="D34" s="23" t="str">
        <f t="shared" si="0"/>
        <v>Autoimmune</v>
      </c>
      <c r="E34" s="32" t="s">
        <v>129</v>
      </c>
      <c r="F34" s="23" t="s">
        <v>130</v>
      </c>
      <c r="G34" s="69" t="s">
        <v>52</v>
      </c>
      <c r="H34" s="33">
        <v>19754005</v>
      </c>
      <c r="I34" s="23">
        <v>4056343</v>
      </c>
      <c r="J34" s="22"/>
      <c r="K34" s="23"/>
      <c r="L34" s="23"/>
      <c r="M34" s="23"/>
      <c r="N34" s="22"/>
      <c r="O34" s="23"/>
      <c r="P34" s="23"/>
      <c r="Q34" s="23"/>
      <c r="R34" s="4"/>
      <c r="S34" s="23">
        <v>0</v>
      </c>
      <c r="T34" s="23">
        <v>0</v>
      </c>
      <c r="U34" s="23">
        <v>0</v>
      </c>
      <c r="V34" s="5">
        <v>0</v>
      </c>
      <c r="W34" s="39"/>
      <c r="X34" s="22"/>
      <c r="Y34" s="41"/>
    </row>
    <row r="35" spans="1:25" ht="13.95" customHeight="1">
      <c r="A35" s="23" t="s">
        <v>21</v>
      </c>
      <c r="B35" s="23" t="s">
        <v>22</v>
      </c>
      <c r="C35" s="23" t="s">
        <v>73</v>
      </c>
      <c r="D35" s="23" t="str">
        <f t="shared" si="0"/>
        <v>Autoimmune</v>
      </c>
      <c r="E35" s="32" t="s">
        <v>129</v>
      </c>
      <c r="F35" s="23" t="s">
        <v>129</v>
      </c>
      <c r="G35" s="69" t="s">
        <v>25</v>
      </c>
      <c r="H35" s="33">
        <v>68225006</v>
      </c>
      <c r="I35" s="23">
        <v>141933</v>
      </c>
      <c r="J35" s="22" t="s">
        <v>131</v>
      </c>
      <c r="K35" s="2" t="s">
        <v>132</v>
      </c>
      <c r="L35" s="2" t="s">
        <v>133</v>
      </c>
      <c r="M35" s="23" t="s">
        <v>78</v>
      </c>
      <c r="N35" s="22" t="s">
        <v>137</v>
      </c>
      <c r="O35" s="23" t="s">
        <v>134</v>
      </c>
      <c r="P35" s="23">
        <v>0.21</v>
      </c>
      <c r="Q35" s="23">
        <v>0.21</v>
      </c>
      <c r="R35" s="4">
        <v>100</v>
      </c>
      <c r="S35" s="4">
        <f>+(P35/R35)*[1]Population!$C$2</f>
        <v>699930</v>
      </c>
      <c r="T35" s="4">
        <f>IF(ISBLANK(Q35),S35,+(Q35/R35)*[1]Population!$C$2)</f>
        <v>699930</v>
      </c>
      <c r="U35" s="1">
        <f>+AVERAGE(S35:T35)</f>
        <v>699930</v>
      </c>
      <c r="V35" s="5">
        <f>+(U35/[1]Population!$C$2)*100000</f>
        <v>210</v>
      </c>
      <c r="W35" s="23" t="s">
        <v>135</v>
      </c>
      <c r="X35" s="22" t="s">
        <v>136</v>
      </c>
      <c r="Y35" s="41"/>
    </row>
    <row r="36" spans="1:25" ht="13.95" customHeight="1">
      <c r="A36" s="23" t="s">
        <v>21</v>
      </c>
      <c r="B36" s="23" t="s">
        <v>22</v>
      </c>
      <c r="C36" s="23" t="s">
        <v>73</v>
      </c>
      <c r="D36" s="23" t="str">
        <f t="shared" si="0"/>
        <v>Autoimmune</v>
      </c>
      <c r="E36" s="32" t="s">
        <v>129</v>
      </c>
      <c r="F36" s="23" t="s">
        <v>138</v>
      </c>
      <c r="G36" s="69" t="s">
        <v>52</v>
      </c>
      <c r="H36" s="33">
        <v>86166000</v>
      </c>
      <c r="I36" s="23">
        <v>4312756</v>
      </c>
      <c r="J36" s="22"/>
      <c r="K36" s="23"/>
      <c r="L36" s="23"/>
      <c r="M36" s="23"/>
      <c r="N36" s="22"/>
      <c r="O36" s="23"/>
      <c r="P36" s="23"/>
      <c r="Q36" s="23"/>
      <c r="R36" s="4"/>
      <c r="S36" s="23">
        <v>0</v>
      </c>
      <c r="T36" s="23">
        <v>0</v>
      </c>
      <c r="U36" s="23">
        <v>0</v>
      </c>
      <c r="V36" s="5">
        <v>0</v>
      </c>
      <c r="W36" s="39"/>
      <c r="X36" s="22"/>
      <c r="Y36" s="41"/>
    </row>
    <row r="37" spans="1:25" ht="13.95" customHeight="1">
      <c r="A37" s="23" t="s">
        <v>112</v>
      </c>
      <c r="B37" s="23" t="s">
        <v>22</v>
      </c>
      <c r="C37" s="23" t="s">
        <v>73</v>
      </c>
      <c r="D37" s="23" t="str">
        <f t="shared" si="0"/>
        <v>Autoimmune</v>
      </c>
      <c r="E37" s="32" t="s">
        <v>139</v>
      </c>
      <c r="F37" s="23" t="s">
        <v>139</v>
      </c>
      <c r="G37" s="69" t="s">
        <v>25</v>
      </c>
      <c r="H37" s="33">
        <v>207036003</v>
      </c>
      <c r="I37" s="23">
        <v>4118225</v>
      </c>
      <c r="J37" s="22" t="s">
        <v>140</v>
      </c>
      <c r="K37" s="2" t="s">
        <v>141</v>
      </c>
      <c r="L37" s="10" t="s">
        <v>142</v>
      </c>
      <c r="M37" s="9" t="s">
        <v>78</v>
      </c>
      <c r="N37" s="22" t="s">
        <v>143</v>
      </c>
      <c r="O37" s="23"/>
      <c r="P37" s="23">
        <v>3.7</v>
      </c>
      <c r="Q37" s="23">
        <v>13.3</v>
      </c>
      <c r="R37" s="4">
        <v>1000000</v>
      </c>
      <c r="S37" s="4">
        <f>+(P37/R37)*[1]Population!$C$2</f>
        <v>1233.21</v>
      </c>
      <c r="T37" s="4">
        <f>IF(ISBLANK(Q37),S37,+(Q37/R37)*[1]Population!$C$2)</f>
        <v>4432.8900000000003</v>
      </c>
      <c r="U37" s="1">
        <f>+AVERAGE(S37:T37)</f>
        <v>2833.05</v>
      </c>
      <c r="V37" s="5">
        <f>+(U37/[1]Population!$C$2)*100000</f>
        <v>0.85</v>
      </c>
      <c r="W37" s="23"/>
      <c r="X37" s="22"/>
      <c r="Y37" s="41"/>
    </row>
    <row r="38" spans="1:25" ht="13.95" customHeight="1">
      <c r="A38" s="23" t="s">
        <v>112</v>
      </c>
      <c r="B38" s="23" t="s">
        <v>22</v>
      </c>
      <c r="C38" s="23" t="s">
        <v>73</v>
      </c>
      <c r="D38" s="23" t="str">
        <f t="shared" si="0"/>
        <v>Autoimmune</v>
      </c>
      <c r="E38" s="32" t="s">
        <v>139</v>
      </c>
      <c r="F38" s="23" t="s">
        <v>144</v>
      </c>
      <c r="G38" s="69" t="s">
        <v>36</v>
      </c>
      <c r="H38" s="33">
        <v>207036003</v>
      </c>
      <c r="I38" s="23"/>
      <c r="J38" s="23"/>
      <c r="K38" s="23"/>
      <c r="L38" s="23"/>
      <c r="M38" s="23"/>
      <c r="N38" s="22"/>
      <c r="O38" s="23"/>
      <c r="P38" s="23"/>
      <c r="Q38" s="23"/>
      <c r="R38" s="4"/>
      <c r="S38" s="23">
        <v>0</v>
      </c>
      <c r="T38" s="23">
        <v>0</v>
      </c>
      <c r="U38" s="23">
        <v>0</v>
      </c>
      <c r="V38" s="5">
        <v>0</v>
      </c>
      <c r="W38" s="39"/>
      <c r="X38" s="22"/>
      <c r="Y38" s="41"/>
    </row>
    <row r="39" spans="1:25" ht="13.95" customHeight="1">
      <c r="A39" s="23" t="s">
        <v>112</v>
      </c>
      <c r="B39" s="23" t="s">
        <v>22</v>
      </c>
      <c r="C39" s="23" t="s">
        <v>73</v>
      </c>
      <c r="D39" s="23" t="str">
        <f t="shared" si="0"/>
        <v>Autoimmune</v>
      </c>
      <c r="E39" s="32" t="s">
        <v>139</v>
      </c>
      <c r="F39" s="23" t="s">
        <v>145</v>
      </c>
      <c r="G39" s="69" t="s">
        <v>36</v>
      </c>
      <c r="H39" s="33">
        <v>207036003</v>
      </c>
      <c r="I39" s="23">
        <v>4118225</v>
      </c>
      <c r="J39" s="22"/>
      <c r="K39" s="2" t="s">
        <v>141</v>
      </c>
      <c r="L39" s="10" t="s">
        <v>142</v>
      </c>
      <c r="M39" s="9" t="s">
        <v>78</v>
      </c>
      <c r="N39" s="22" t="s">
        <v>143</v>
      </c>
      <c r="O39" s="23"/>
      <c r="P39" s="23">
        <v>3.7</v>
      </c>
      <c r="Q39" s="23">
        <v>13.3</v>
      </c>
      <c r="R39" s="4">
        <v>1000000</v>
      </c>
      <c r="S39" s="4">
        <f>+(P39/R39)*[1]Population!$C$2</f>
        <v>1233.21</v>
      </c>
      <c r="T39" s="4">
        <f>IF(ISBLANK(Q39),S39,+(Q39/R39)*[1]Population!$C$2)</f>
        <v>4432.8900000000003</v>
      </c>
      <c r="U39" s="1">
        <f>+AVERAGE(S39:T39)</f>
        <v>2833.05</v>
      </c>
      <c r="V39" s="5">
        <f>+(U39/[1]Population!$C$2)*100000</f>
        <v>0.85</v>
      </c>
      <c r="W39" s="23"/>
      <c r="X39" s="22"/>
      <c r="Y39" s="41"/>
    </row>
    <row r="40" spans="1:25" ht="13.95" customHeight="1">
      <c r="A40" s="23" t="s">
        <v>146</v>
      </c>
      <c r="B40" s="23" t="s">
        <v>86</v>
      </c>
      <c r="C40" s="23" t="s">
        <v>23</v>
      </c>
      <c r="D40" s="23" t="str">
        <f t="shared" si="0"/>
        <v>Unconfirmed</v>
      </c>
      <c r="E40" s="32" t="s">
        <v>147</v>
      </c>
      <c r="F40" s="23" t="s">
        <v>147</v>
      </c>
      <c r="G40" s="69" t="s">
        <v>25</v>
      </c>
      <c r="H40" s="33">
        <v>9631008</v>
      </c>
      <c r="I40" s="23">
        <v>437082</v>
      </c>
      <c r="J40" s="22" t="s">
        <v>148</v>
      </c>
      <c r="K40" s="2" t="s">
        <v>149</v>
      </c>
      <c r="L40" s="2" t="s">
        <v>150</v>
      </c>
      <c r="M40" s="23" t="s">
        <v>78</v>
      </c>
      <c r="N40" s="22" t="s">
        <v>153</v>
      </c>
      <c r="O40" s="23" t="s">
        <v>151</v>
      </c>
      <c r="P40" s="23">
        <v>260</v>
      </c>
      <c r="Q40" s="23"/>
      <c r="R40" s="4">
        <v>100000</v>
      </c>
      <c r="S40" s="4">
        <f>+(P40/R40)*[1]Population!$C$2</f>
        <v>866580</v>
      </c>
      <c r="T40" s="4">
        <f>IF(ISBLANK(Q40),S40,+(Q40/R40)*[1]Population!$C$2)</f>
        <v>866580</v>
      </c>
      <c r="U40" s="1">
        <f>+AVERAGE(S40:T40)</f>
        <v>866580</v>
      </c>
      <c r="V40" s="5">
        <f>+(U40/[1]Population!$C$2)*100000</f>
        <v>260</v>
      </c>
      <c r="W40" s="23"/>
      <c r="X40" s="22" t="s">
        <v>152</v>
      </c>
      <c r="Y40" s="41"/>
    </row>
    <row r="41" spans="1:25" ht="13.95" customHeight="1">
      <c r="A41" s="23" t="s">
        <v>146</v>
      </c>
      <c r="B41" s="23" t="s">
        <v>86</v>
      </c>
      <c r="C41" s="23" t="s">
        <v>23</v>
      </c>
      <c r="D41" s="23" t="str">
        <f t="shared" si="0"/>
        <v>Unconfirmed</v>
      </c>
      <c r="E41" s="32" t="s">
        <v>147</v>
      </c>
      <c r="F41" s="23" t="s">
        <v>154</v>
      </c>
      <c r="G41" s="69" t="s">
        <v>36</v>
      </c>
      <c r="H41" s="33">
        <v>9631008</v>
      </c>
      <c r="I41" s="23"/>
      <c r="J41" s="23"/>
      <c r="K41" s="23"/>
      <c r="L41" s="23"/>
      <c r="M41" s="23"/>
      <c r="N41" s="22"/>
      <c r="O41" s="23"/>
      <c r="P41" s="23"/>
      <c r="Q41" s="23"/>
      <c r="R41" s="4"/>
      <c r="S41" s="23">
        <v>0</v>
      </c>
      <c r="T41" s="23">
        <v>0</v>
      </c>
      <c r="U41" s="23">
        <v>0</v>
      </c>
      <c r="V41" s="5">
        <v>0</v>
      </c>
      <c r="W41" s="39"/>
      <c r="X41" s="22"/>
      <c r="Y41" s="41"/>
    </row>
    <row r="42" spans="1:25" ht="13.95" customHeight="1">
      <c r="A42" s="23" t="s">
        <v>146</v>
      </c>
      <c r="B42" s="23" t="s">
        <v>86</v>
      </c>
      <c r="C42" s="23" t="s">
        <v>23</v>
      </c>
      <c r="D42" s="23" t="str">
        <f t="shared" si="0"/>
        <v>Unconfirmed</v>
      </c>
      <c r="E42" s="32" t="s">
        <v>147</v>
      </c>
      <c r="F42" s="23" t="s">
        <v>155</v>
      </c>
      <c r="G42" s="69" t="s">
        <v>36</v>
      </c>
      <c r="H42" s="33">
        <v>9631008</v>
      </c>
      <c r="I42" s="23"/>
      <c r="J42" s="23"/>
      <c r="K42" s="23"/>
      <c r="L42" s="23"/>
      <c r="M42" s="23"/>
      <c r="N42" s="22"/>
      <c r="O42" s="23"/>
      <c r="P42" s="23"/>
      <c r="Q42" s="23"/>
      <c r="R42" s="4"/>
      <c r="S42" s="23">
        <v>0</v>
      </c>
      <c r="T42" s="23">
        <v>0</v>
      </c>
      <c r="U42" s="23">
        <v>0</v>
      </c>
      <c r="V42" s="5">
        <v>0</v>
      </c>
      <c r="W42" s="39"/>
      <c r="X42" s="22"/>
      <c r="Y42" s="41"/>
    </row>
    <row r="43" spans="1:25" ht="13.95" customHeight="1">
      <c r="A43" s="23" t="s">
        <v>156</v>
      </c>
      <c r="B43" s="23" t="s">
        <v>22</v>
      </c>
      <c r="C43" s="23" t="s">
        <v>73</v>
      </c>
      <c r="D43" s="23" t="str">
        <f t="shared" si="0"/>
        <v>Autoimmune</v>
      </c>
      <c r="E43" s="32" t="s">
        <v>157</v>
      </c>
      <c r="F43" s="23" t="s">
        <v>158</v>
      </c>
      <c r="G43" s="69" t="s">
        <v>52</v>
      </c>
      <c r="H43" s="33">
        <v>50581000</v>
      </c>
      <c r="I43" s="23">
        <v>195289</v>
      </c>
      <c r="J43" s="22"/>
      <c r="K43" s="23"/>
      <c r="L43" s="23"/>
      <c r="M43" s="23"/>
      <c r="N43" s="22"/>
      <c r="O43" s="23"/>
      <c r="P43" s="23"/>
      <c r="Q43" s="23"/>
      <c r="R43" s="4"/>
      <c r="S43" s="23">
        <v>0</v>
      </c>
      <c r="T43" s="23">
        <v>0</v>
      </c>
      <c r="U43" s="23">
        <v>0</v>
      </c>
      <c r="V43" s="5">
        <v>0</v>
      </c>
      <c r="W43" s="39"/>
      <c r="X43" s="22"/>
      <c r="Y43" s="41"/>
    </row>
    <row r="44" spans="1:25" ht="13.95" customHeight="1">
      <c r="A44" s="23" t="s">
        <v>156</v>
      </c>
      <c r="B44" s="23" t="s">
        <v>22</v>
      </c>
      <c r="C44" s="23" t="s">
        <v>73</v>
      </c>
      <c r="D44" s="23" t="str">
        <f t="shared" si="0"/>
        <v>Autoimmune</v>
      </c>
      <c r="E44" s="32" t="s">
        <v>157</v>
      </c>
      <c r="F44" s="23" t="s">
        <v>159</v>
      </c>
      <c r="G44" s="69" t="s">
        <v>36</v>
      </c>
      <c r="H44" s="33">
        <v>50581000</v>
      </c>
      <c r="I44" s="23">
        <v>4126115</v>
      </c>
      <c r="J44" s="22"/>
      <c r="K44" s="23"/>
      <c r="L44" s="23"/>
      <c r="M44" s="23"/>
      <c r="N44" s="22"/>
      <c r="O44" s="23"/>
      <c r="P44" s="23"/>
      <c r="Q44" s="23"/>
      <c r="R44" s="4"/>
      <c r="S44" s="23">
        <v>0</v>
      </c>
      <c r="T44" s="23">
        <v>0</v>
      </c>
      <c r="U44" s="23">
        <v>0</v>
      </c>
      <c r="V44" s="5">
        <v>0</v>
      </c>
      <c r="W44" s="39"/>
      <c r="X44" s="22"/>
      <c r="Y44" s="41"/>
    </row>
    <row r="45" spans="1:25" ht="13.95" customHeight="1">
      <c r="A45" s="23" t="s">
        <v>156</v>
      </c>
      <c r="B45" s="23" t="s">
        <v>22</v>
      </c>
      <c r="C45" s="23" t="s">
        <v>73</v>
      </c>
      <c r="D45" s="23" t="str">
        <f t="shared" si="0"/>
        <v>Autoimmune</v>
      </c>
      <c r="E45" s="32" t="s">
        <v>157</v>
      </c>
      <c r="F45" s="23" t="s">
        <v>160</v>
      </c>
      <c r="G45" s="69" t="s">
        <v>36</v>
      </c>
      <c r="H45" s="33">
        <v>62853008</v>
      </c>
      <c r="I45" s="23">
        <v>4267717</v>
      </c>
      <c r="J45" s="22"/>
      <c r="K45" s="23"/>
      <c r="L45" s="23"/>
      <c r="M45" s="23"/>
      <c r="N45" s="22"/>
      <c r="O45" s="23"/>
      <c r="P45" s="23"/>
      <c r="Q45" s="23"/>
      <c r="R45" s="4"/>
      <c r="S45" s="23">
        <v>0</v>
      </c>
      <c r="T45" s="23">
        <v>0</v>
      </c>
      <c r="U45" s="23">
        <v>0</v>
      </c>
      <c r="V45" s="5">
        <v>0</v>
      </c>
      <c r="W45" s="39"/>
      <c r="X45" s="22"/>
      <c r="Y45" s="41"/>
    </row>
    <row r="46" spans="1:25" ht="13.95" customHeight="1">
      <c r="A46" s="23" t="s">
        <v>156</v>
      </c>
      <c r="B46" s="23" t="s">
        <v>22</v>
      </c>
      <c r="C46" s="23" t="s">
        <v>73</v>
      </c>
      <c r="D46" s="23" t="str">
        <f t="shared" si="0"/>
        <v>Autoimmune</v>
      </c>
      <c r="E46" s="32" t="s">
        <v>157</v>
      </c>
      <c r="F46" s="23" t="s">
        <v>161</v>
      </c>
      <c r="G46" s="69" t="s">
        <v>36</v>
      </c>
      <c r="H46" s="33">
        <v>62853008</v>
      </c>
      <c r="I46" s="23">
        <v>4267717</v>
      </c>
      <c r="J46" s="23"/>
      <c r="K46" s="23"/>
      <c r="L46" s="23"/>
      <c r="M46" s="23"/>
      <c r="N46" s="22"/>
      <c r="O46" s="23"/>
      <c r="P46" s="23"/>
      <c r="Q46" s="23"/>
      <c r="R46" s="4"/>
      <c r="S46" s="23">
        <v>0</v>
      </c>
      <c r="T46" s="23">
        <v>0</v>
      </c>
      <c r="U46" s="23">
        <v>0</v>
      </c>
      <c r="V46" s="5">
        <v>0</v>
      </c>
      <c r="W46" s="39"/>
      <c r="X46" s="22"/>
      <c r="Y46" s="41"/>
    </row>
    <row r="47" spans="1:25" ht="13.95" customHeight="1">
      <c r="A47" s="23" t="s">
        <v>156</v>
      </c>
      <c r="B47" s="23" t="s">
        <v>22</v>
      </c>
      <c r="C47" s="23" t="s">
        <v>73</v>
      </c>
      <c r="D47" s="23" t="str">
        <f t="shared" si="0"/>
        <v>Autoimmune</v>
      </c>
      <c r="E47" s="32" t="s">
        <v>157</v>
      </c>
      <c r="F47" s="23" t="s">
        <v>157</v>
      </c>
      <c r="G47" s="69" t="s">
        <v>162</v>
      </c>
      <c r="H47" s="33">
        <v>236506009</v>
      </c>
      <c r="I47" s="23">
        <v>4126115</v>
      </c>
      <c r="J47" s="22" t="s">
        <v>163</v>
      </c>
      <c r="K47" s="2" t="s">
        <v>164</v>
      </c>
      <c r="L47" s="2" t="s">
        <v>165</v>
      </c>
      <c r="M47" s="23" t="s">
        <v>29</v>
      </c>
      <c r="N47" s="22" t="s">
        <v>168</v>
      </c>
      <c r="O47" s="1" t="s">
        <v>43</v>
      </c>
      <c r="P47" s="23">
        <v>1</v>
      </c>
      <c r="Q47" s="23">
        <v>1</v>
      </c>
      <c r="R47" s="4">
        <v>1000000</v>
      </c>
      <c r="S47" s="4">
        <f>+(P47/R47)*[1]Population!$C$2</f>
        <v>333.3</v>
      </c>
      <c r="T47" s="4">
        <f>IF(ISBLANK(Q47),S47,+(Q47/R47)*[1]Population!$C$2)</f>
        <v>333.3</v>
      </c>
      <c r="U47" s="1">
        <f>+AVERAGE(S47:T47)</f>
        <v>333.3</v>
      </c>
      <c r="V47" s="5">
        <f>+(U47/[1]Population!$C$2)*100000</f>
        <v>9.9999999999999992E-2</v>
      </c>
      <c r="W47" s="23" t="s">
        <v>166</v>
      </c>
      <c r="X47" s="22" t="s">
        <v>167</v>
      </c>
      <c r="Y47" s="41"/>
    </row>
    <row r="48" spans="1:25" ht="13.95" customHeight="1">
      <c r="A48" s="23" t="s">
        <v>156</v>
      </c>
      <c r="B48" s="23" t="s">
        <v>22</v>
      </c>
      <c r="C48" s="23" t="s">
        <v>73</v>
      </c>
      <c r="D48" s="23" t="str">
        <f t="shared" si="0"/>
        <v>Autoimmune</v>
      </c>
      <c r="E48" s="32" t="s">
        <v>157</v>
      </c>
      <c r="F48" s="23" t="s">
        <v>157</v>
      </c>
      <c r="G48" s="69" t="s">
        <v>25</v>
      </c>
      <c r="H48" s="33">
        <v>788613004</v>
      </c>
      <c r="I48" s="23">
        <v>37312293</v>
      </c>
      <c r="J48" s="22" t="s">
        <v>169</v>
      </c>
      <c r="K48" s="2" t="s">
        <v>164</v>
      </c>
      <c r="L48" s="2" t="s">
        <v>165</v>
      </c>
      <c r="M48" s="23" t="s">
        <v>29</v>
      </c>
      <c r="N48" s="22" t="s">
        <v>168</v>
      </c>
      <c r="O48" s="1" t="s">
        <v>43</v>
      </c>
      <c r="P48" s="23">
        <v>1</v>
      </c>
      <c r="Q48" s="23">
        <v>1</v>
      </c>
      <c r="R48" s="4">
        <v>1000000</v>
      </c>
      <c r="S48" s="4">
        <f>+(P48/R48)*[1]Population!$C$2</f>
        <v>333.3</v>
      </c>
      <c r="T48" s="4">
        <f>IF(ISBLANK(Q48),S48,+(Q48/R48)*[1]Population!$C$2)</f>
        <v>333.3</v>
      </c>
      <c r="U48" s="1">
        <f>+AVERAGE(S48:T48)</f>
        <v>333.3</v>
      </c>
      <c r="V48" s="5">
        <f>+(U48/[1]Population!$C$2)*100000</f>
        <v>9.9999999999999992E-2</v>
      </c>
      <c r="W48" s="23" t="s">
        <v>166</v>
      </c>
      <c r="X48" s="22" t="s">
        <v>167</v>
      </c>
      <c r="Y48" s="41"/>
    </row>
    <row r="49" spans="1:25" ht="13.95" customHeight="1">
      <c r="A49" s="23" t="s">
        <v>156</v>
      </c>
      <c r="B49" s="23" t="s">
        <v>22</v>
      </c>
      <c r="C49" s="23" t="s">
        <v>73</v>
      </c>
      <c r="D49" s="23" t="str">
        <f t="shared" si="0"/>
        <v>Autoimmune</v>
      </c>
      <c r="E49" s="32" t="s">
        <v>157</v>
      </c>
      <c r="F49" s="23" t="s">
        <v>170</v>
      </c>
      <c r="G49" s="69" t="s">
        <v>36</v>
      </c>
      <c r="H49" s="33">
        <v>788613004</v>
      </c>
      <c r="I49" s="23"/>
      <c r="J49" s="23"/>
      <c r="K49" s="23"/>
      <c r="L49" s="23"/>
      <c r="M49" s="23"/>
      <c r="N49" s="22"/>
      <c r="O49" s="23"/>
      <c r="P49" s="23"/>
      <c r="Q49" s="23"/>
      <c r="R49" s="4"/>
      <c r="S49" s="23">
        <v>0</v>
      </c>
      <c r="T49" s="23">
        <v>0</v>
      </c>
      <c r="U49" s="23">
        <v>0</v>
      </c>
      <c r="V49" s="5">
        <v>0</v>
      </c>
      <c r="W49" s="39"/>
      <c r="X49" s="22"/>
      <c r="Y49" s="41"/>
    </row>
    <row r="50" spans="1:25" ht="13.95" customHeight="1">
      <c r="A50" s="23" t="s">
        <v>156</v>
      </c>
      <c r="B50" s="23" t="s">
        <v>22</v>
      </c>
      <c r="C50" s="23" t="s">
        <v>73</v>
      </c>
      <c r="D50" s="23" t="str">
        <f t="shared" si="0"/>
        <v>Autoimmune</v>
      </c>
      <c r="E50" s="32" t="s">
        <v>157</v>
      </c>
      <c r="F50" s="23" t="s">
        <v>171</v>
      </c>
      <c r="G50" s="69" t="s">
        <v>36</v>
      </c>
      <c r="H50" s="33">
        <v>50581000</v>
      </c>
      <c r="I50" s="23"/>
      <c r="J50" s="23"/>
      <c r="K50" s="23"/>
      <c r="L50" s="23"/>
      <c r="M50" s="23"/>
      <c r="N50" s="22"/>
      <c r="O50" s="23"/>
      <c r="P50" s="23"/>
      <c r="Q50" s="23"/>
      <c r="R50" s="4"/>
      <c r="S50" s="23">
        <v>0</v>
      </c>
      <c r="T50" s="23">
        <v>0</v>
      </c>
      <c r="U50" s="23">
        <v>0</v>
      </c>
      <c r="V50" s="5">
        <v>0</v>
      </c>
      <c r="W50" s="39"/>
      <c r="X50" s="22"/>
      <c r="Y50" s="41"/>
    </row>
    <row r="51" spans="1:25" ht="13.95" customHeight="1">
      <c r="A51" s="23" t="s">
        <v>156</v>
      </c>
      <c r="B51" s="23" t="s">
        <v>22</v>
      </c>
      <c r="C51" s="23" t="s">
        <v>73</v>
      </c>
      <c r="D51" s="23" t="str">
        <f t="shared" si="0"/>
        <v>Autoimmune</v>
      </c>
      <c r="E51" s="32" t="s">
        <v>157</v>
      </c>
      <c r="F51" s="23" t="s">
        <v>172</v>
      </c>
      <c r="G51" s="69" t="s">
        <v>36</v>
      </c>
      <c r="H51" s="33">
        <v>50581000</v>
      </c>
      <c r="I51" s="23"/>
      <c r="J51" s="23"/>
      <c r="K51" s="23"/>
      <c r="L51" s="23"/>
      <c r="M51" s="23"/>
      <c r="N51" s="22"/>
      <c r="O51" s="23"/>
      <c r="P51" s="23"/>
      <c r="Q51" s="23"/>
      <c r="R51" s="4"/>
      <c r="S51" s="23">
        <v>0</v>
      </c>
      <c r="T51" s="23">
        <v>0</v>
      </c>
      <c r="U51" s="23">
        <v>0</v>
      </c>
      <c r="V51" s="5">
        <v>0</v>
      </c>
      <c r="W51" s="39"/>
      <c r="X51" s="22"/>
      <c r="Y51" s="41"/>
    </row>
    <row r="52" spans="1:25" ht="13.95" customHeight="1">
      <c r="A52" s="23" t="s">
        <v>72</v>
      </c>
      <c r="B52" s="23" t="s">
        <v>22</v>
      </c>
      <c r="C52" s="23" t="s">
        <v>73</v>
      </c>
      <c r="D52" s="23" t="str">
        <f t="shared" si="0"/>
        <v>Autoimmune</v>
      </c>
      <c r="E52" s="32" t="s">
        <v>173</v>
      </c>
      <c r="F52" s="23" t="s">
        <v>174</v>
      </c>
      <c r="G52" s="69" t="s">
        <v>52</v>
      </c>
      <c r="H52" s="33">
        <v>82275008</v>
      </c>
      <c r="I52" s="23">
        <v>4305666</v>
      </c>
      <c r="J52" s="23"/>
      <c r="K52" s="23"/>
      <c r="L52" s="23"/>
      <c r="M52" s="23"/>
      <c r="N52" s="22"/>
      <c r="O52" s="23"/>
      <c r="P52" s="23"/>
      <c r="Q52" s="23"/>
      <c r="R52" s="4"/>
      <c r="S52" s="23">
        <v>0</v>
      </c>
      <c r="T52" s="23">
        <v>0</v>
      </c>
      <c r="U52" s="23">
        <v>0</v>
      </c>
      <c r="V52" s="5">
        <v>0</v>
      </c>
      <c r="W52" s="39"/>
      <c r="X52" s="22"/>
      <c r="Y52" s="41"/>
    </row>
    <row r="53" spans="1:25" ht="13.95" customHeight="1">
      <c r="A53" s="23" t="s">
        <v>72</v>
      </c>
      <c r="B53" s="23" t="s">
        <v>22</v>
      </c>
      <c r="C53" s="23" t="s">
        <v>73</v>
      </c>
      <c r="D53" s="23" t="str">
        <f t="shared" si="0"/>
        <v>Autoimmune</v>
      </c>
      <c r="E53" s="32" t="s">
        <v>173</v>
      </c>
      <c r="F53" s="23" t="s">
        <v>175</v>
      </c>
      <c r="G53" s="69" t="s">
        <v>52</v>
      </c>
      <c r="H53" s="33">
        <v>195353004</v>
      </c>
      <c r="I53" s="23">
        <v>313223</v>
      </c>
      <c r="J53" s="22"/>
      <c r="K53" s="2" t="s">
        <v>176</v>
      </c>
      <c r="L53" s="2" t="s">
        <v>177</v>
      </c>
      <c r="M53" s="23" t="s">
        <v>78</v>
      </c>
      <c r="N53" s="22" t="s">
        <v>180</v>
      </c>
      <c r="O53" s="44" t="s">
        <v>178</v>
      </c>
      <c r="P53" s="23">
        <v>11.4</v>
      </c>
      <c r="Q53" s="23">
        <v>20.6</v>
      </c>
      <c r="R53" s="4">
        <v>100000</v>
      </c>
      <c r="S53" s="4">
        <f>+(P53/R53)*[1]Population!$C$2</f>
        <v>37996.200000000004</v>
      </c>
      <c r="T53" s="4">
        <f>IF(ISBLANK(Q53),S53,+(Q53/R53)*[1]Population!$C$2)</f>
        <v>68659.8</v>
      </c>
      <c r="U53" s="1">
        <f>+AVERAGE(S53:T53)</f>
        <v>53328</v>
      </c>
      <c r="V53" s="5">
        <f>+(U53/[1]Population!$C$2)*100000</f>
        <v>16</v>
      </c>
      <c r="W53" s="23"/>
      <c r="X53" s="22" t="s">
        <v>179</v>
      </c>
      <c r="Y53" s="41"/>
    </row>
    <row r="54" spans="1:25" ht="13.95" customHeight="1">
      <c r="A54" s="23" t="s">
        <v>72</v>
      </c>
      <c r="B54" s="23" t="s">
        <v>22</v>
      </c>
      <c r="C54" s="23" t="s">
        <v>73</v>
      </c>
      <c r="D54" s="23" t="str">
        <f t="shared" si="0"/>
        <v>Autoimmune</v>
      </c>
      <c r="E54" s="32" t="s">
        <v>173</v>
      </c>
      <c r="F54" s="23" t="s">
        <v>181</v>
      </c>
      <c r="G54" s="69" t="s">
        <v>36</v>
      </c>
      <c r="H54" s="33">
        <v>195353004</v>
      </c>
      <c r="I54" s="23"/>
      <c r="J54" s="23"/>
      <c r="K54" s="23"/>
      <c r="L54" s="23"/>
      <c r="M54" s="23"/>
      <c r="N54" s="22"/>
      <c r="O54" s="23"/>
      <c r="P54" s="23"/>
      <c r="Q54" s="23"/>
      <c r="R54" s="4"/>
      <c r="S54" s="23">
        <v>0</v>
      </c>
      <c r="T54" s="23">
        <v>0</v>
      </c>
      <c r="U54" s="23">
        <v>0</v>
      </c>
      <c r="V54" s="5">
        <v>0</v>
      </c>
      <c r="W54" s="39"/>
      <c r="X54" s="22"/>
      <c r="Y54" s="41"/>
    </row>
    <row r="55" spans="1:25" ht="13.95" customHeight="1">
      <c r="A55" s="23" t="s">
        <v>72</v>
      </c>
      <c r="B55" s="23" t="s">
        <v>22</v>
      </c>
      <c r="C55" s="23" t="s">
        <v>73</v>
      </c>
      <c r="D55" s="23" t="str">
        <f t="shared" si="0"/>
        <v>Autoimmune</v>
      </c>
      <c r="E55" s="32" t="s">
        <v>173</v>
      </c>
      <c r="F55" s="23" t="s">
        <v>173</v>
      </c>
      <c r="G55" s="69" t="s">
        <v>25</v>
      </c>
      <c r="H55" s="33" t="s">
        <v>182</v>
      </c>
      <c r="I55" s="23">
        <v>42535714</v>
      </c>
      <c r="J55" s="22" t="s">
        <v>183</v>
      </c>
      <c r="K55" s="23" t="s">
        <v>184</v>
      </c>
      <c r="L55" s="2" t="s">
        <v>185</v>
      </c>
      <c r="M55" s="9" t="s">
        <v>78</v>
      </c>
      <c r="N55" s="22" t="s">
        <v>189</v>
      </c>
      <c r="O55" s="23" t="s">
        <v>186</v>
      </c>
      <c r="P55" s="23">
        <v>4.5999999999999996</v>
      </c>
      <c r="Q55" s="23">
        <v>18.399999999999999</v>
      </c>
      <c r="R55" s="4">
        <v>100000</v>
      </c>
      <c r="S55" s="4">
        <f>+(P55/R55)*[1]Population!$C$2</f>
        <v>15331.799999999997</v>
      </c>
      <c r="T55" s="4">
        <f>IF(ISBLANK(Q55),S55,+(Q55/R55)*[1]Population!$C$2)</f>
        <v>61327.19999999999</v>
      </c>
      <c r="U55" s="1">
        <f>+AVERAGE(S55:T55)</f>
        <v>38329.499999999993</v>
      </c>
      <c r="V55" s="5">
        <f>+(U55/[1]Population!$C$2)*100000</f>
        <v>11.499999999999998</v>
      </c>
      <c r="W55" s="23" t="s">
        <v>187</v>
      </c>
      <c r="X55" s="22" t="s">
        <v>188</v>
      </c>
      <c r="Y55" s="8"/>
    </row>
    <row r="56" spans="1:25" ht="13.95" customHeight="1">
      <c r="A56" s="23" t="s">
        <v>72</v>
      </c>
      <c r="B56" s="23" t="s">
        <v>22</v>
      </c>
      <c r="C56" s="23" t="s">
        <v>73</v>
      </c>
      <c r="D56" s="23" t="str">
        <f t="shared" si="0"/>
        <v>Autoimmune</v>
      </c>
      <c r="E56" s="32" t="s">
        <v>173</v>
      </c>
      <c r="F56" s="23" t="s">
        <v>190</v>
      </c>
      <c r="G56" s="69" t="s">
        <v>36</v>
      </c>
      <c r="H56" s="33" t="s">
        <v>182</v>
      </c>
      <c r="I56" s="23">
        <v>42535714</v>
      </c>
      <c r="J56" s="22"/>
      <c r="K56" s="23" t="s">
        <v>184</v>
      </c>
      <c r="L56" s="2" t="s">
        <v>185</v>
      </c>
      <c r="M56" s="9" t="s">
        <v>78</v>
      </c>
      <c r="N56" s="22" t="s">
        <v>189</v>
      </c>
      <c r="O56" s="23" t="s">
        <v>186</v>
      </c>
      <c r="P56" s="23">
        <v>4.5999999999999996</v>
      </c>
      <c r="Q56" s="23">
        <v>18.399999999999999</v>
      </c>
      <c r="R56" s="4">
        <v>100000</v>
      </c>
      <c r="S56" s="4">
        <f>+(P56/R56)*[1]Population!$C$2</f>
        <v>15331.799999999997</v>
      </c>
      <c r="T56" s="4">
        <f>IF(ISBLANK(Q56),S56,+(Q56/R56)*[1]Population!$C$2)</f>
        <v>61327.19999999999</v>
      </c>
      <c r="U56" s="1">
        <f>+AVERAGE(S56:T56)</f>
        <v>38329.499999999993</v>
      </c>
      <c r="V56" s="5">
        <f>+(U56/[1]Population!$C$2)*100000</f>
        <v>11.499999999999998</v>
      </c>
      <c r="W56" s="23" t="s">
        <v>187</v>
      </c>
      <c r="X56" s="22" t="s">
        <v>188</v>
      </c>
      <c r="Y56" s="8"/>
    </row>
    <row r="57" spans="1:25" ht="13.95" customHeight="1">
      <c r="A57" s="23" t="s">
        <v>72</v>
      </c>
      <c r="B57" s="23" t="s">
        <v>22</v>
      </c>
      <c r="C57" s="23" t="s">
        <v>73</v>
      </c>
      <c r="D57" s="23" t="str">
        <f t="shared" si="0"/>
        <v>Autoimmune</v>
      </c>
      <c r="E57" s="42" t="s">
        <v>173</v>
      </c>
      <c r="F57" s="23" t="s">
        <v>191</v>
      </c>
      <c r="G57" s="69" t="s">
        <v>52</v>
      </c>
      <c r="H57" s="33" t="s">
        <v>182</v>
      </c>
      <c r="I57" s="23">
        <v>4305666</v>
      </c>
      <c r="J57" s="22"/>
      <c r="K57" s="23"/>
      <c r="L57" s="23"/>
      <c r="M57" s="23"/>
      <c r="N57" s="22"/>
      <c r="O57" s="23"/>
      <c r="P57" s="23"/>
      <c r="Q57" s="23"/>
      <c r="R57" s="4"/>
      <c r="S57" s="23">
        <v>0</v>
      </c>
      <c r="T57" s="23">
        <v>0</v>
      </c>
      <c r="U57" s="23">
        <v>0</v>
      </c>
      <c r="V57" s="5">
        <v>0</v>
      </c>
      <c r="W57" s="39"/>
      <c r="X57" s="22"/>
      <c r="Y57" s="41"/>
    </row>
    <row r="58" spans="1:25" ht="13.95" customHeight="1">
      <c r="A58" s="23" t="s">
        <v>72</v>
      </c>
      <c r="B58" s="23" t="s">
        <v>22</v>
      </c>
      <c r="C58" s="23" t="s">
        <v>73</v>
      </c>
      <c r="D58" s="23" t="str">
        <f t="shared" si="0"/>
        <v>Autoimmune</v>
      </c>
      <c r="E58" s="32" t="s">
        <v>173</v>
      </c>
      <c r="F58" s="23" t="s">
        <v>192</v>
      </c>
      <c r="G58" s="69" t="s">
        <v>36</v>
      </c>
      <c r="H58" s="33" t="s">
        <v>182</v>
      </c>
      <c r="I58" s="23"/>
      <c r="J58" s="23"/>
      <c r="K58" s="23"/>
      <c r="L58" s="23"/>
      <c r="M58" s="23"/>
      <c r="N58" s="22"/>
      <c r="O58" s="23"/>
      <c r="P58" s="23"/>
      <c r="Q58" s="23"/>
      <c r="R58" s="4"/>
      <c r="S58" s="23">
        <v>0</v>
      </c>
      <c r="T58" s="23">
        <v>0</v>
      </c>
      <c r="U58" s="23">
        <v>0</v>
      </c>
      <c r="V58" s="5">
        <v>0</v>
      </c>
      <c r="W58" s="39"/>
      <c r="X58" s="22"/>
      <c r="Y58" s="41"/>
    </row>
    <row r="59" spans="1:25" ht="13.95" customHeight="1">
      <c r="A59" s="23" t="s">
        <v>72</v>
      </c>
      <c r="B59" s="23" t="s">
        <v>22</v>
      </c>
      <c r="C59" s="23" t="s">
        <v>73</v>
      </c>
      <c r="D59" s="23" t="str">
        <f t="shared" si="0"/>
        <v>Autoimmune</v>
      </c>
      <c r="E59" s="32" t="s">
        <v>173</v>
      </c>
      <c r="F59" s="23" t="s">
        <v>193</v>
      </c>
      <c r="G59" s="69" t="s">
        <v>36</v>
      </c>
      <c r="H59" s="33" t="s">
        <v>182</v>
      </c>
      <c r="I59" s="23"/>
      <c r="J59" s="23"/>
      <c r="K59" s="23"/>
      <c r="L59" s="23"/>
      <c r="M59" s="23"/>
      <c r="N59" s="22"/>
      <c r="O59" s="23"/>
      <c r="P59" s="23"/>
      <c r="Q59" s="23"/>
      <c r="R59" s="4"/>
      <c r="S59" s="23">
        <v>0</v>
      </c>
      <c r="T59" s="23">
        <v>0</v>
      </c>
      <c r="U59" s="23">
        <v>0</v>
      </c>
      <c r="V59" s="5">
        <v>0</v>
      </c>
      <c r="W59" s="39"/>
      <c r="X59" s="22"/>
      <c r="Y59" s="41"/>
    </row>
    <row r="60" spans="1:25" ht="13.95" customHeight="1">
      <c r="A60" s="23" t="s">
        <v>72</v>
      </c>
      <c r="B60" s="23" t="s">
        <v>22</v>
      </c>
      <c r="C60" s="23" t="s">
        <v>73</v>
      </c>
      <c r="D60" s="23" t="str">
        <f t="shared" si="0"/>
        <v>Autoimmune</v>
      </c>
      <c r="E60" s="42" t="s">
        <v>173</v>
      </c>
      <c r="F60" s="23" t="s">
        <v>194</v>
      </c>
      <c r="G60" s="69" t="s">
        <v>36</v>
      </c>
      <c r="H60" s="33">
        <v>82275008</v>
      </c>
      <c r="I60" s="23"/>
      <c r="J60" s="22"/>
      <c r="K60" s="23"/>
      <c r="L60" s="23"/>
      <c r="M60" s="23"/>
      <c r="N60" s="22"/>
      <c r="O60" s="23"/>
      <c r="P60" s="23"/>
      <c r="Q60" s="23"/>
      <c r="R60" s="4"/>
      <c r="S60" s="23">
        <v>0</v>
      </c>
      <c r="T60" s="23">
        <v>0</v>
      </c>
      <c r="U60" s="23">
        <v>0</v>
      </c>
      <c r="V60" s="5">
        <v>0</v>
      </c>
      <c r="W60" s="39"/>
      <c r="X60" s="22"/>
      <c r="Y60" s="41"/>
    </row>
    <row r="61" spans="1:25" ht="13.95" customHeight="1">
      <c r="A61" s="23" t="s">
        <v>38</v>
      </c>
      <c r="B61" s="23" t="s">
        <v>22</v>
      </c>
      <c r="C61" s="23" t="s">
        <v>73</v>
      </c>
      <c r="D61" s="23" t="str">
        <f t="shared" si="0"/>
        <v>Autoimmune</v>
      </c>
      <c r="E61" s="32" t="s">
        <v>195</v>
      </c>
      <c r="F61" s="23" t="s">
        <v>195</v>
      </c>
      <c r="G61" s="69" t="s">
        <v>25</v>
      </c>
      <c r="H61" s="33">
        <v>26843008</v>
      </c>
      <c r="I61" s="23">
        <v>4098292</v>
      </c>
      <c r="J61" s="22" t="s">
        <v>196</v>
      </c>
      <c r="K61" s="2" t="s">
        <v>197</v>
      </c>
      <c r="L61" s="2" t="s">
        <v>198</v>
      </c>
      <c r="M61" s="9" t="s">
        <v>78</v>
      </c>
      <c r="N61" s="22" t="s">
        <v>202</v>
      </c>
      <c r="O61" s="23" t="s">
        <v>199</v>
      </c>
      <c r="P61" s="23">
        <v>40</v>
      </c>
      <c r="Q61" s="23">
        <v>50</v>
      </c>
      <c r="R61" s="4">
        <v>100000</v>
      </c>
      <c r="S61" s="4">
        <f>+(P61/R61)*[1]Population!$C$2</f>
        <v>133320</v>
      </c>
      <c r="T61" s="4">
        <f>IF(ISBLANK(Q61),S61,+(Q61/R61)*[1]Population!$C$2)</f>
        <v>166650</v>
      </c>
      <c r="U61" s="1">
        <f>+AVERAGE(S61:T61)</f>
        <v>149985</v>
      </c>
      <c r="V61" s="5">
        <f>+(U61/[1]Population!$C$2)*100000</f>
        <v>45</v>
      </c>
      <c r="W61" s="23" t="s">
        <v>200</v>
      </c>
      <c r="X61" s="22" t="s">
        <v>201</v>
      </c>
      <c r="Y61" s="22" t="s">
        <v>203</v>
      </c>
    </row>
    <row r="62" spans="1:25" ht="13.95" customHeight="1">
      <c r="A62" s="23" t="s">
        <v>38</v>
      </c>
      <c r="B62" s="23" t="s">
        <v>22</v>
      </c>
      <c r="C62" s="23" t="s">
        <v>73</v>
      </c>
      <c r="D62" s="23" t="str">
        <f t="shared" si="0"/>
        <v>Autoimmune</v>
      </c>
      <c r="E62" s="32" t="s">
        <v>195</v>
      </c>
      <c r="F62" s="23" t="s">
        <v>204</v>
      </c>
      <c r="G62" s="69" t="s">
        <v>36</v>
      </c>
      <c r="H62" s="33">
        <v>26843008</v>
      </c>
      <c r="I62" s="23"/>
      <c r="J62" s="23"/>
      <c r="K62" s="23"/>
      <c r="L62" s="23"/>
      <c r="M62" s="23"/>
      <c r="N62" s="22"/>
      <c r="O62" s="23"/>
      <c r="P62" s="23"/>
      <c r="Q62" s="23"/>
      <c r="R62" s="4"/>
      <c r="S62" s="23">
        <v>0</v>
      </c>
      <c r="T62" s="23">
        <v>0</v>
      </c>
      <c r="U62" s="23">
        <v>0</v>
      </c>
      <c r="V62" s="5">
        <v>0</v>
      </c>
      <c r="W62" s="39"/>
      <c r="X62" s="22"/>
      <c r="Y62" s="41"/>
    </row>
    <row r="63" spans="1:25" ht="13.95" customHeight="1">
      <c r="A63" s="23" t="s">
        <v>38</v>
      </c>
      <c r="B63" s="23" t="s">
        <v>22</v>
      </c>
      <c r="C63" s="23" t="s">
        <v>73</v>
      </c>
      <c r="D63" s="23" t="str">
        <f t="shared" si="0"/>
        <v>Autoimmune</v>
      </c>
      <c r="E63" s="32" t="s">
        <v>195</v>
      </c>
      <c r="F63" s="23" t="s">
        <v>205</v>
      </c>
      <c r="G63" s="69" t="s">
        <v>36</v>
      </c>
      <c r="H63" s="33">
        <v>26843008</v>
      </c>
      <c r="I63" s="23"/>
      <c r="J63" s="23"/>
      <c r="K63" s="23"/>
      <c r="L63" s="23"/>
      <c r="M63" s="23"/>
      <c r="N63" s="22"/>
      <c r="O63" s="23"/>
      <c r="P63" s="23"/>
      <c r="Q63" s="23"/>
      <c r="R63" s="4"/>
      <c r="S63" s="23">
        <v>0</v>
      </c>
      <c r="T63" s="23">
        <v>0</v>
      </c>
      <c r="U63" s="23">
        <v>0</v>
      </c>
      <c r="V63" s="5">
        <v>0</v>
      </c>
      <c r="W63" s="39"/>
      <c r="X63" s="22"/>
      <c r="Y63" s="41"/>
    </row>
    <row r="64" spans="1:25" ht="13.95" customHeight="1">
      <c r="A64" s="23" t="s">
        <v>38</v>
      </c>
      <c r="B64" s="23" t="s">
        <v>22</v>
      </c>
      <c r="C64" s="23" t="s">
        <v>73</v>
      </c>
      <c r="D64" s="23" t="str">
        <f t="shared" si="0"/>
        <v>Autoimmune</v>
      </c>
      <c r="E64" s="32" t="s">
        <v>195</v>
      </c>
      <c r="F64" s="23" t="s">
        <v>206</v>
      </c>
      <c r="G64" s="69" t="s">
        <v>36</v>
      </c>
      <c r="H64" s="33">
        <v>26843008</v>
      </c>
      <c r="I64" s="23"/>
      <c r="J64" s="22" t="s">
        <v>207</v>
      </c>
      <c r="K64" s="2" t="s">
        <v>197</v>
      </c>
      <c r="L64" s="2" t="s">
        <v>198</v>
      </c>
      <c r="M64" s="9" t="s">
        <v>78</v>
      </c>
      <c r="N64" s="22" t="s">
        <v>202</v>
      </c>
      <c r="O64" s="23" t="s">
        <v>199</v>
      </c>
      <c r="P64" s="23">
        <v>40</v>
      </c>
      <c r="Q64" s="23">
        <v>50</v>
      </c>
      <c r="R64" s="4">
        <v>100000</v>
      </c>
      <c r="S64" s="4">
        <f>+(P64/R64)*[1]Population!$C$2</f>
        <v>133320</v>
      </c>
      <c r="T64" s="4">
        <f>IF(ISBLANK(Q64),S64,+(Q64/R64)*[1]Population!$C$2)</f>
        <v>166650</v>
      </c>
      <c r="U64" s="1">
        <f>+AVERAGE(S64:T64)</f>
        <v>149985</v>
      </c>
      <c r="V64" s="5">
        <f>+(U64/[1]Population!$C$2)*100000</f>
        <v>45</v>
      </c>
      <c r="W64" s="23" t="s">
        <v>200</v>
      </c>
      <c r="X64" s="22" t="s">
        <v>201</v>
      </c>
      <c r="Y64" s="22" t="s">
        <v>203</v>
      </c>
    </row>
    <row r="65" spans="1:25" ht="13.95" customHeight="1">
      <c r="A65" s="23" t="s">
        <v>38</v>
      </c>
      <c r="B65" s="23" t="s">
        <v>22</v>
      </c>
      <c r="C65" s="23" t="s">
        <v>73</v>
      </c>
      <c r="D65" s="23" t="str">
        <f t="shared" si="0"/>
        <v>Autoimmune</v>
      </c>
      <c r="E65" s="32" t="s">
        <v>195</v>
      </c>
      <c r="F65" s="23" t="s">
        <v>208</v>
      </c>
      <c r="G65" s="69" t="s">
        <v>36</v>
      </c>
      <c r="H65" s="33">
        <v>26843008</v>
      </c>
      <c r="I65" s="23"/>
      <c r="J65" s="23"/>
      <c r="K65" s="23"/>
      <c r="L65" s="23"/>
      <c r="M65" s="23"/>
      <c r="N65" s="22"/>
      <c r="O65" s="23"/>
      <c r="P65" s="23"/>
      <c r="Q65" s="23"/>
      <c r="R65" s="4"/>
      <c r="S65" s="23">
        <v>0</v>
      </c>
      <c r="T65" s="23">
        <v>0</v>
      </c>
      <c r="U65" s="23">
        <v>0</v>
      </c>
      <c r="V65" s="5">
        <v>0</v>
      </c>
      <c r="W65" s="39"/>
      <c r="X65" s="22"/>
      <c r="Y65" s="41"/>
    </row>
    <row r="66" spans="1:25" ht="13.95" customHeight="1">
      <c r="A66" s="23" t="s">
        <v>112</v>
      </c>
      <c r="B66" s="23" t="s">
        <v>22</v>
      </c>
      <c r="C66" s="23" t="s">
        <v>73</v>
      </c>
      <c r="D66" s="23" t="str">
        <f t="shared" si="0"/>
        <v>Autoimmune</v>
      </c>
      <c r="E66" s="32" t="s">
        <v>209</v>
      </c>
      <c r="F66" s="23" t="s">
        <v>209</v>
      </c>
      <c r="G66" s="69" t="s">
        <v>25</v>
      </c>
      <c r="H66" s="33">
        <v>445187004</v>
      </c>
      <c r="I66" s="23">
        <v>40482477</v>
      </c>
      <c r="J66" s="22" t="s">
        <v>210</v>
      </c>
      <c r="K66" s="2" t="s">
        <v>211</v>
      </c>
      <c r="L66" s="2" t="s">
        <v>212</v>
      </c>
      <c r="M66" s="9" t="s">
        <v>78</v>
      </c>
      <c r="N66" s="22" t="s">
        <v>216</v>
      </c>
      <c r="O66" s="23" t="s">
        <v>213</v>
      </c>
      <c r="P66" s="23">
        <v>3</v>
      </c>
      <c r="Q66" s="23">
        <v>4</v>
      </c>
      <c r="R66" s="4">
        <v>100000</v>
      </c>
      <c r="S66" s="4">
        <f>+(P66/R66)*[1]Population!$C$2</f>
        <v>9999</v>
      </c>
      <c r="T66" s="4">
        <f>IF(ISBLANK(Q66),S66,+(Q66/R66)*[1]Population!$C$2)</f>
        <v>13332.000000000002</v>
      </c>
      <c r="U66" s="1">
        <f>+AVERAGE(S66:T66)</f>
        <v>11665.5</v>
      </c>
      <c r="V66" s="5">
        <f>+(U66/[1]Population!$C$2)*100000</f>
        <v>3.4999999999999996</v>
      </c>
      <c r="W66" s="23" t="s">
        <v>214</v>
      </c>
      <c r="X66" s="22" t="s">
        <v>215</v>
      </c>
      <c r="Y66" s="41"/>
    </row>
    <row r="67" spans="1:25" ht="13.95" customHeight="1">
      <c r="A67" s="23" t="s">
        <v>112</v>
      </c>
      <c r="B67" s="23" t="s">
        <v>22</v>
      </c>
      <c r="C67" s="23" t="s">
        <v>73</v>
      </c>
      <c r="D67" s="23" t="str">
        <f t="shared" si="0"/>
        <v>Autoimmune</v>
      </c>
      <c r="E67" s="32" t="s">
        <v>209</v>
      </c>
      <c r="F67" s="23" t="s">
        <v>217</v>
      </c>
      <c r="G67" s="69" t="s">
        <v>36</v>
      </c>
      <c r="H67" s="33">
        <v>445187004</v>
      </c>
      <c r="I67" s="23"/>
      <c r="J67" s="23"/>
      <c r="K67" s="23"/>
      <c r="L67" s="23"/>
      <c r="M67" s="23"/>
      <c r="N67" s="22"/>
      <c r="O67" s="23"/>
      <c r="P67" s="23"/>
      <c r="Q67" s="23"/>
      <c r="R67" s="4"/>
      <c r="S67" s="23">
        <v>0</v>
      </c>
      <c r="T67" s="23">
        <v>0</v>
      </c>
      <c r="U67" s="23">
        <v>0</v>
      </c>
      <c r="V67" s="5">
        <v>0</v>
      </c>
      <c r="W67" s="39"/>
      <c r="X67" s="22"/>
      <c r="Y67" s="41"/>
    </row>
    <row r="68" spans="1:25" ht="13.95" customHeight="1">
      <c r="A68" s="23" t="s">
        <v>38</v>
      </c>
      <c r="B68" s="23" t="s">
        <v>218</v>
      </c>
      <c r="C68" s="23" t="s">
        <v>73</v>
      </c>
      <c r="D68" s="23" t="str">
        <f t="shared" ref="D68:D133" si="1">+IF(OR(B68="Antibody Suspected",B68="Antibody",B68="TCELL", B68="Immune-mediated",B68="Genetic"),"Autoimmune","Unconfirmed")</f>
        <v>Autoimmune</v>
      </c>
      <c r="E68" s="32" t="s">
        <v>219</v>
      </c>
      <c r="F68" s="23" t="s">
        <v>219</v>
      </c>
      <c r="G68" s="69" t="s">
        <v>25</v>
      </c>
      <c r="H68" s="33">
        <v>306058006</v>
      </c>
      <c r="I68" s="23">
        <v>137829</v>
      </c>
      <c r="J68" s="22" t="s">
        <v>220</v>
      </c>
      <c r="K68" s="2" t="s">
        <v>221</v>
      </c>
      <c r="L68" s="2" t="s">
        <v>222</v>
      </c>
      <c r="M68" s="23" t="s">
        <v>78</v>
      </c>
      <c r="N68" s="22" t="s">
        <v>225</v>
      </c>
      <c r="O68" s="4"/>
      <c r="P68" s="45">
        <v>2.35</v>
      </c>
      <c r="Q68" s="23"/>
      <c r="R68" s="4">
        <v>1000000</v>
      </c>
      <c r="S68" s="4">
        <f>+(P68/R68)*[1]Population!$C$2</f>
        <v>783.255</v>
      </c>
      <c r="T68" s="4">
        <f>IF(ISBLANK(Q68),S68,+(Q68/R68)*[1]Population!$C$2)</f>
        <v>783.255</v>
      </c>
      <c r="U68" s="1">
        <f>+AVERAGE(S68:T68)</f>
        <v>783.255</v>
      </c>
      <c r="V68" s="5">
        <f>+(U68/[1]Population!$C$2)*100000</f>
        <v>0.23499999999999999</v>
      </c>
      <c r="W68" s="23" t="s">
        <v>223</v>
      </c>
      <c r="X68" s="22" t="s">
        <v>224</v>
      </c>
      <c r="Y68" s="41"/>
    </row>
    <row r="69" spans="1:25" ht="13.95" customHeight="1">
      <c r="A69" s="23" t="s">
        <v>21</v>
      </c>
      <c r="B69" s="23" t="s">
        <v>226</v>
      </c>
      <c r="C69" s="23" t="s">
        <v>86</v>
      </c>
      <c r="D69" s="23" t="str">
        <f t="shared" si="1"/>
        <v>Autoimmune</v>
      </c>
      <c r="E69" s="32" t="s">
        <v>227</v>
      </c>
      <c r="F69" s="23" t="s">
        <v>227</v>
      </c>
      <c r="G69" s="69" t="s">
        <v>25</v>
      </c>
      <c r="H69" s="33">
        <v>402401003</v>
      </c>
      <c r="I69" s="23">
        <v>4224624</v>
      </c>
      <c r="J69" s="22" t="s">
        <v>228</v>
      </c>
      <c r="K69" s="2" t="s">
        <v>229</v>
      </c>
      <c r="L69" s="2" t="s">
        <v>230</v>
      </c>
      <c r="M69" s="3" t="s">
        <v>78</v>
      </c>
      <c r="N69" s="22" t="s">
        <v>232</v>
      </c>
      <c r="O69" s="1"/>
      <c r="P69" s="23">
        <v>0.2</v>
      </c>
      <c r="Q69" s="23">
        <v>1</v>
      </c>
      <c r="R69" s="4">
        <v>100000</v>
      </c>
      <c r="S69" s="4">
        <f>+(P69/R69)*[1]Population!$C$2</f>
        <v>666.6</v>
      </c>
      <c r="T69" s="4">
        <f>IF(ISBLANK(Q69),S69,+(Q69/R69)*[1]Population!$C$2)</f>
        <v>3333.0000000000005</v>
      </c>
      <c r="U69" s="1">
        <f>+AVERAGE(S69:T69)</f>
        <v>1999.8000000000002</v>
      </c>
      <c r="V69" s="5">
        <f>+(U69/[1]Population!$C$2)*100000</f>
        <v>0.6</v>
      </c>
      <c r="W69" s="23"/>
      <c r="X69" s="22" t="s">
        <v>231</v>
      </c>
      <c r="Y69" s="41"/>
    </row>
    <row r="70" spans="1:25" ht="13.95" customHeight="1">
      <c r="A70" s="23" t="s">
        <v>21</v>
      </c>
      <c r="B70" s="23" t="s">
        <v>226</v>
      </c>
      <c r="C70" s="23" t="s">
        <v>86</v>
      </c>
      <c r="D70" s="23" t="str">
        <f t="shared" si="1"/>
        <v>Autoimmune</v>
      </c>
      <c r="E70" s="32" t="s">
        <v>227</v>
      </c>
      <c r="F70" s="23" t="s">
        <v>233</v>
      </c>
      <c r="G70" s="69" t="s">
        <v>36</v>
      </c>
      <c r="H70" s="33">
        <v>402401003</v>
      </c>
      <c r="I70" s="23"/>
      <c r="J70" s="23"/>
      <c r="K70" s="23"/>
      <c r="L70" s="23"/>
      <c r="M70" s="23"/>
      <c r="N70" s="22"/>
      <c r="O70" s="23"/>
      <c r="P70" s="23"/>
      <c r="Q70" s="23"/>
      <c r="R70" s="4"/>
      <c r="S70" s="23">
        <v>0</v>
      </c>
      <c r="T70" s="23">
        <v>0</v>
      </c>
      <c r="U70" s="23">
        <v>0</v>
      </c>
      <c r="V70" s="5">
        <v>0</v>
      </c>
      <c r="W70" s="39"/>
      <c r="X70" s="22"/>
      <c r="Y70" s="41"/>
    </row>
    <row r="71" spans="1:25" ht="13.95" customHeight="1">
      <c r="A71" s="23" t="s">
        <v>234</v>
      </c>
      <c r="B71" s="23" t="s">
        <v>22</v>
      </c>
      <c r="C71" s="22" t="s">
        <v>73</v>
      </c>
      <c r="D71" s="23" t="str">
        <f t="shared" si="1"/>
        <v>Autoimmune</v>
      </c>
      <c r="E71" s="32" t="s">
        <v>235</v>
      </c>
      <c r="F71" s="23" t="s">
        <v>235</v>
      </c>
      <c r="G71" s="69" t="s">
        <v>236</v>
      </c>
      <c r="H71" s="33" t="s">
        <v>237</v>
      </c>
      <c r="I71" s="23">
        <v>434621</v>
      </c>
      <c r="J71" s="22"/>
      <c r="K71" s="2"/>
      <c r="L71" s="21"/>
      <c r="M71" s="21"/>
      <c r="N71" s="46"/>
      <c r="O71" s="21"/>
      <c r="P71" s="21"/>
      <c r="Q71" s="21"/>
      <c r="R71" s="1"/>
      <c r="S71" s="21">
        <v>15500000</v>
      </c>
      <c r="T71" s="21">
        <v>15500000</v>
      </c>
      <c r="U71" s="21">
        <f>+(S71+T71)/2</f>
        <v>15500000</v>
      </c>
      <c r="V71" s="5">
        <f>+(U71/[1]Population!$C$2)*100000</f>
        <v>4650.4650465046507</v>
      </c>
      <c r="W71" s="21"/>
      <c r="X71" s="46"/>
      <c r="Y71" s="46"/>
    </row>
    <row r="72" spans="1:25" ht="13.95" customHeight="1">
      <c r="A72" s="23" t="s">
        <v>49</v>
      </c>
      <c r="B72" s="23" t="s">
        <v>238</v>
      </c>
      <c r="C72" s="23" t="s">
        <v>23</v>
      </c>
      <c r="D72" s="23" t="str">
        <f t="shared" si="1"/>
        <v>Autoimmune</v>
      </c>
      <c r="E72" s="32" t="s">
        <v>239</v>
      </c>
      <c r="F72" s="23" t="s">
        <v>240</v>
      </c>
      <c r="G72" s="69" t="s">
        <v>109</v>
      </c>
      <c r="H72" s="33">
        <v>13445001</v>
      </c>
      <c r="I72" s="23">
        <v>79833</v>
      </c>
      <c r="J72" s="22"/>
      <c r="K72" s="23"/>
      <c r="L72" s="23"/>
      <c r="M72" s="23"/>
      <c r="N72" s="22"/>
      <c r="O72" s="23"/>
      <c r="P72" s="23"/>
      <c r="Q72" s="23"/>
      <c r="R72" s="4"/>
      <c r="S72" s="23">
        <v>0</v>
      </c>
      <c r="T72" s="23">
        <v>0</v>
      </c>
      <c r="U72" s="23">
        <v>0</v>
      </c>
      <c r="V72" s="5">
        <v>0</v>
      </c>
      <c r="W72" s="39"/>
      <c r="X72" s="22"/>
      <c r="Y72" s="41"/>
    </row>
    <row r="73" spans="1:25" ht="13.95" customHeight="1">
      <c r="A73" s="23" t="s">
        <v>49</v>
      </c>
      <c r="B73" s="23" t="s">
        <v>238</v>
      </c>
      <c r="C73" s="23" t="s">
        <v>23</v>
      </c>
      <c r="D73" s="23" t="str">
        <f t="shared" si="1"/>
        <v>Autoimmune</v>
      </c>
      <c r="E73" s="32" t="s">
        <v>239</v>
      </c>
      <c r="F73" s="23" t="s">
        <v>239</v>
      </c>
      <c r="G73" s="69" t="s">
        <v>25</v>
      </c>
      <c r="H73" s="33">
        <v>232308006</v>
      </c>
      <c r="I73" s="23">
        <v>4337463</v>
      </c>
      <c r="J73" s="22" t="s">
        <v>241</v>
      </c>
      <c r="K73" s="2" t="s">
        <v>242</v>
      </c>
      <c r="L73" s="2" t="s">
        <v>243</v>
      </c>
      <c r="M73" s="9" t="s">
        <v>78</v>
      </c>
      <c r="N73" s="22" t="s">
        <v>246</v>
      </c>
      <c r="O73" s="4"/>
      <c r="P73" s="23">
        <v>15</v>
      </c>
      <c r="Q73" s="23"/>
      <c r="R73" s="4">
        <v>100000</v>
      </c>
      <c r="S73" s="4">
        <f>+(P73/R73)*[1]Population!$C$2</f>
        <v>49994.999999999993</v>
      </c>
      <c r="T73" s="4">
        <f>IF(ISBLANK(Q73),S73,+(Q73/R73)*[1]Population!$C$2)</f>
        <v>49994.999999999993</v>
      </c>
      <c r="U73" s="1">
        <f>+AVERAGE(S73:T73)</f>
        <v>49994.999999999993</v>
      </c>
      <c r="V73" s="5">
        <f>+(U73/[1]Population!$C$2)*100000</f>
        <v>14.999999999999998</v>
      </c>
      <c r="W73" s="23" t="s">
        <v>244</v>
      </c>
      <c r="X73" s="22" t="s">
        <v>245</v>
      </c>
      <c r="Y73" s="41" t="s">
        <v>247</v>
      </c>
    </row>
    <row r="74" spans="1:25" ht="13.95" customHeight="1">
      <c r="A74" s="23" t="s">
        <v>49</v>
      </c>
      <c r="B74" s="23" t="s">
        <v>22</v>
      </c>
      <c r="C74" s="23" t="s">
        <v>23</v>
      </c>
      <c r="D74" s="23" t="str">
        <f t="shared" si="1"/>
        <v>Autoimmune</v>
      </c>
      <c r="E74" s="32" t="s">
        <v>248</v>
      </c>
      <c r="F74" s="23" t="s">
        <v>248</v>
      </c>
      <c r="G74" s="69" t="s">
        <v>25</v>
      </c>
      <c r="H74" s="33">
        <v>95643007</v>
      </c>
      <c r="I74" s="23">
        <v>4318558</v>
      </c>
      <c r="J74" s="22" t="s">
        <v>249</v>
      </c>
      <c r="K74" s="2" t="s">
        <v>250</v>
      </c>
      <c r="L74" s="2" t="s">
        <v>251</v>
      </c>
      <c r="M74" s="9" t="s">
        <v>78</v>
      </c>
      <c r="N74" s="22" t="s">
        <v>253</v>
      </c>
      <c r="O74" s="4"/>
      <c r="P74" s="23">
        <v>13.7</v>
      </c>
      <c r="Q74" s="23"/>
      <c r="R74" s="4">
        <v>100000</v>
      </c>
      <c r="S74" s="4">
        <f>+(P74/R74)*[1]Population!$C$2</f>
        <v>45662.1</v>
      </c>
      <c r="T74" s="4">
        <f>IF(ISBLANK(Q74),S74,+(Q74/R74)*[1]Population!$C$2)</f>
        <v>45662.1</v>
      </c>
      <c r="U74" s="1">
        <f>+AVERAGE(S74:T74)</f>
        <v>45662.1</v>
      </c>
      <c r="V74" s="5">
        <f>+(U74/[1]Population!$C$2)*100000</f>
        <v>13.7</v>
      </c>
      <c r="W74" s="23"/>
      <c r="X74" s="22" t="s">
        <v>252</v>
      </c>
      <c r="Y74" s="41"/>
    </row>
    <row r="75" spans="1:25" ht="13.95" customHeight="1">
      <c r="A75" s="23" t="s">
        <v>49</v>
      </c>
      <c r="B75" s="23" t="s">
        <v>22</v>
      </c>
      <c r="C75" s="23" t="s">
        <v>23</v>
      </c>
      <c r="D75" s="23" t="str">
        <f t="shared" si="1"/>
        <v>Autoimmune</v>
      </c>
      <c r="E75" s="32" t="s">
        <v>248</v>
      </c>
      <c r="F75" s="23" t="s">
        <v>254</v>
      </c>
      <c r="G75" s="69" t="s">
        <v>52</v>
      </c>
      <c r="H75" s="33" t="s">
        <v>255</v>
      </c>
      <c r="I75" s="23">
        <v>4141686</v>
      </c>
      <c r="J75" s="22"/>
      <c r="K75" s="2" t="s">
        <v>256</v>
      </c>
      <c r="L75" s="2" t="s">
        <v>257</v>
      </c>
      <c r="M75" s="23" t="s">
        <v>78</v>
      </c>
      <c r="N75" s="22" t="s">
        <v>261</v>
      </c>
      <c r="O75" s="11" t="s">
        <v>258</v>
      </c>
      <c r="P75" s="23"/>
      <c r="Q75" s="23"/>
      <c r="R75" s="4">
        <v>0</v>
      </c>
      <c r="S75" s="11">
        <v>50</v>
      </c>
      <c r="T75" s="11">
        <v>50</v>
      </c>
      <c r="U75" s="1">
        <f>+AVERAGE(S75:T75)</f>
        <v>50</v>
      </c>
      <c r="V75" s="5">
        <f>+(U75/[1]Population!$C$2)*100000</f>
        <v>1.5001500150015001E-2</v>
      </c>
      <c r="W75" s="23" t="s">
        <v>259</v>
      </c>
      <c r="X75" s="22" t="s">
        <v>260</v>
      </c>
      <c r="Y75" s="41"/>
    </row>
    <row r="76" spans="1:25" ht="13.95" customHeight="1">
      <c r="A76" s="23" t="s">
        <v>49</v>
      </c>
      <c r="B76" s="23" t="s">
        <v>22</v>
      </c>
      <c r="C76" s="23" t="s">
        <v>23</v>
      </c>
      <c r="D76" s="23" t="str">
        <f t="shared" si="1"/>
        <v>Autoimmune</v>
      </c>
      <c r="E76" s="32" t="s">
        <v>248</v>
      </c>
      <c r="F76" s="23" t="s">
        <v>262</v>
      </c>
      <c r="G76" s="69" t="s">
        <v>36</v>
      </c>
      <c r="H76" s="33" t="s">
        <v>255</v>
      </c>
      <c r="I76" s="23"/>
      <c r="J76" s="23"/>
      <c r="K76" s="23"/>
      <c r="L76" s="23"/>
      <c r="M76" s="23"/>
      <c r="N76" s="22"/>
      <c r="O76" s="23"/>
      <c r="P76" s="23"/>
      <c r="Q76" s="23"/>
      <c r="R76" s="4"/>
      <c r="S76" s="23">
        <v>0</v>
      </c>
      <c r="T76" s="23">
        <v>0</v>
      </c>
      <c r="U76" s="23">
        <v>0</v>
      </c>
      <c r="V76" s="5">
        <v>0</v>
      </c>
      <c r="W76" s="39"/>
      <c r="X76" s="22"/>
      <c r="Y76" s="41"/>
    </row>
    <row r="77" spans="1:25" ht="13.95" customHeight="1">
      <c r="A77" s="23" t="s">
        <v>49</v>
      </c>
      <c r="B77" s="23" t="s">
        <v>22</v>
      </c>
      <c r="C77" s="23" t="s">
        <v>23</v>
      </c>
      <c r="D77" s="23" t="str">
        <f t="shared" si="1"/>
        <v>Autoimmune</v>
      </c>
      <c r="E77" s="32" t="s">
        <v>248</v>
      </c>
      <c r="F77" s="23" t="s">
        <v>263</v>
      </c>
      <c r="G77" s="69" t="s">
        <v>36</v>
      </c>
      <c r="H77" s="33" t="s">
        <v>255</v>
      </c>
      <c r="I77" s="23">
        <v>4141686</v>
      </c>
      <c r="J77" s="22"/>
      <c r="K77" s="2" t="s">
        <v>256</v>
      </c>
      <c r="L77" s="2" t="s">
        <v>257</v>
      </c>
      <c r="M77" s="23" t="s">
        <v>78</v>
      </c>
      <c r="N77" s="22" t="s">
        <v>261</v>
      </c>
      <c r="O77" s="11" t="s">
        <v>258</v>
      </c>
      <c r="P77" s="23"/>
      <c r="Q77" s="23"/>
      <c r="R77" s="4">
        <v>0</v>
      </c>
      <c r="S77" s="11">
        <v>50</v>
      </c>
      <c r="T77" s="11">
        <v>50</v>
      </c>
      <c r="U77" s="1">
        <f>+AVERAGE(S77:T77)</f>
        <v>50</v>
      </c>
      <c r="V77" s="5">
        <f>+(U77/[1]Population!$C$2)*100000</f>
        <v>1.5001500150015001E-2</v>
      </c>
      <c r="W77" s="23" t="s">
        <v>259</v>
      </c>
      <c r="X77" s="22" t="s">
        <v>260</v>
      </c>
      <c r="Y77" s="41"/>
    </row>
    <row r="78" spans="1:25" ht="13.95" customHeight="1">
      <c r="A78" s="23" t="s">
        <v>49</v>
      </c>
      <c r="B78" s="23" t="s">
        <v>22</v>
      </c>
      <c r="C78" s="23" t="s">
        <v>73</v>
      </c>
      <c r="D78" s="23" t="str">
        <f t="shared" si="1"/>
        <v>Autoimmune</v>
      </c>
      <c r="E78" s="32" t="s">
        <v>264</v>
      </c>
      <c r="F78" s="23" t="s">
        <v>265</v>
      </c>
      <c r="G78" s="69" t="s">
        <v>36</v>
      </c>
      <c r="H78" s="33">
        <v>716684004</v>
      </c>
      <c r="I78" s="23">
        <v>37399546</v>
      </c>
      <c r="J78" s="22"/>
      <c r="K78" s="23" t="s">
        <v>184</v>
      </c>
      <c r="L78" s="2" t="s">
        <v>266</v>
      </c>
      <c r="M78" s="9" t="s">
        <v>29</v>
      </c>
      <c r="N78" s="22" t="s">
        <v>269</v>
      </c>
      <c r="O78" s="4"/>
      <c r="P78" s="23">
        <v>1</v>
      </c>
      <c r="Q78" s="23"/>
      <c r="R78" s="4">
        <v>1500000</v>
      </c>
      <c r="S78" s="4">
        <f>+(P78/R78)*[1]Population!$C$2</f>
        <v>222.20000000000002</v>
      </c>
      <c r="T78" s="4">
        <f>IF(ISBLANK(Q78),S78,+(Q78/R78)*[1]Population!$C$2)</f>
        <v>222.20000000000002</v>
      </c>
      <c r="U78" s="1">
        <f>+AVERAGE(S78:T78)</f>
        <v>222.20000000000002</v>
      </c>
      <c r="V78" s="5">
        <f>+(U78/[1]Population!$C$2)*100000</f>
        <v>6.6666666666666666E-2</v>
      </c>
      <c r="W78" s="23" t="s">
        <v>267</v>
      </c>
      <c r="X78" s="22" t="s">
        <v>268</v>
      </c>
      <c r="Y78" s="41"/>
    </row>
    <row r="79" spans="1:25" ht="13.95" customHeight="1">
      <c r="A79" s="23" t="s">
        <v>49</v>
      </c>
      <c r="B79" s="23" t="s">
        <v>22</v>
      </c>
      <c r="C79" s="23" t="s">
        <v>73</v>
      </c>
      <c r="D79" s="23" t="str">
        <f t="shared" si="1"/>
        <v>Autoimmune</v>
      </c>
      <c r="E79" s="32" t="s">
        <v>264</v>
      </c>
      <c r="F79" s="23" t="s">
        <v>270</v>
      </c>
      <c r="G79" s="69" t="s">
        <v>36</v>
      </c>
      <c r="H79" s="33" t="s">
        <v>271</v>
      </c>
      <c r="I79" s="23"/>
      <c r="J79" s="23"/>
      <c r="K79" s="23"/>
      <c r="L79" s="23"/>
      <c r="M79" s="23"/>
      <c r="N79" s="22"/>
      <c r="O79" s="23"/>
      <c r="P79" s="23"/>
      <c r="Q79" s="23"/>
      <c r="R79" s="4"/>
      <c r="S79" s="23">
        <v>0</v>
      </c>
      <c r="T79" s="23">
        <v>0</v>
      </c>
      <c r="U79" s="23">
        <v>0</v>
      </c>
      <c r="V79" s="5">
        <v>0</v>
      </c>
      <c r="W79" s="39"/>
      <c r="X79" s="22"/>
      <c r="Y79" s="41"/>
    </row>
    <row r="80" spans="1:25" ht="13.95" customHeight="1">
      <c r="A80" s="23" t="s">
        <v>49</v>
      </c>
      <c r="B80" s="23" t="s">
        <v>22</v>
      </c>
      <c r="C80" s="23" t="s">
        <v>73</v>
      </c>
      <c r="D80" s="23" t="str">
        <f t="shared" si="1"/>
        <v>Autoimmune</v>
      </c>
      <c r="E80" s="32" t="s">
        <v>264</v>
      </c>
      <c r="F80" s="23" t="s">
        <v>272</v>
      </c>
      <c r="G80" s="69" t="s">
        <v>36</v>
      </c>
      <c r="H80" s="33" t="s">
        <v>271</v>
      </c>
      <c r="I80" s="23"/>
      <c r="J80" s="23"/>
      <c r="K80" s="23"/>
      <c r="L80" s="23"/>
      <c r="M80" s="23"/>
      <c r="N80" s="22"/>
      <c r="O80" s="23"/>
      <c r="P80" s="23"/>
      <c r="Q80" s="23"/>
      <c r="R80" s="4"/>
      <c r="S80" s="23">
        <v>0</v>
      </c>
      <c r="T80" s="23">
        <v>0</v>
      </c>
      <c r="U80" s="23">
        <v>0</v>
      </c>
      <c r="V80" s="5">
        <v>0</v>
      </c>
      <c r="W80" s="39"/>
      <c r="X80" s="22"/>
      <c r="Y80" s="41"/>
    </row>
    <row r="81" spans="1:25" ht="13.95" customHeight="1">
      <c r="A81" s="23" t="s">
        <v>49</v>
      </c>
      <c r="B81" s="23" t="s">
        <v>22</v>
      </c>
      <c r="C81" s="23" t="s">
        <v>73</v>
      </c>
      <c r="D81" s="23" t="str">
        <f t="shared" si="1"/>
        <v>Autoimmune</v>
      </c>
      <c r="E81" s="32" t="s">
        <v>264</v>
      </c>
      <c r="F81" s="23" t="s">
        <v>264</v>
      </c>
      <c r="G81" s="69" t="s">
        <v>25</v>
      </c>
      <c r="H81" s="33" t="s">
        <v>271</v>
      </c>
      <c r="I81" s="23">
        <v>764228</v>
      </c>
      <c r="J81" s="22" t="s">
        <v>273</v>
      </c>
      <c r="K81" s="10" t="s">
        <v>274</v>
      </c>
      <c r="L81" s="2" t="s">
        <v>275</v>
      </c>
      <c r="M81" s="9" t="s">
        <v>29</v>
      </c>
      <c r="N81" s="22" t="s">
        <v>269</v>
      </c>
      <c r="O81" s="4"/>
      <c r="P81" s="23">
        <v>1</v>
      </c>
      <c r="Q81" s="23"/>
      <c r="R81" s="4">
        <v>1500000</v>
      </c>
      <c r="S81" s="4">
        <f>+(P81/R81)*[1]Population!$C$2</f>
        <v>222.20000000000002</v>
      </c>
      <c r="T81" s="4">
        <f>IF(ISBLANK(Q81),S81,+(Q81/R81)*[1]Population!$C$2)</f>
        <v>222.20000000000002</v>
      </c>
      <c r="U81" s="1">
        <f>+AVERAGE(S81:T81)</f>
        <v>222.20000000000002</v>
      </c>
      <c r="V81" s="5">
        <f>+(U81/[1]Population!$C$2)*100000</f>
        <v>6.6666666666666666E-2</v>
      </c>
      <c r="W81" s="23" t="s">
        <v>267</v>
      </c>
      <c r="X81" s="22" t="s">
        <v>268</v>
      </c>
      <c r="Y81" s="41"/>
    </row>
    <row r="82" spans="1:25" ht="13.95" customHeight="1">
      <c r="A82" s="23" t="s">
        <v>49</v>
      </c>
      <c r="B82" s="23" t="s">
        <v>22</v>
      </c>
      <c r="C82" s="23" t="s">
        <v>73</v>
      </c>
      <c r="D82" s="23" t="str">
        <f t="shared" si="1"/>
        <v>Autoimmune</v>
      </c>
      <c r="E82" s="32" t="s">
        <v>264</v>
      </c>
      <c r="F82" s="23" t="s">
        <v>276</v>
      </c>
      <c r="G82" s="69" t="s">
        <v>36</v>
      </c>
      <c r="H82" s="33" t="s">
        <v>271</v>
      </c>
      <c r="I82" s="23"/>
      <c r="J82" s="22"/>
      <c r="K82" s="23" t="s">
        <v>274</v>
      </c>
      <c r="L82" s="2" t="s">
        <v>275</v>
      </c>
      <c r="M82" s="9" t="s">
        <v>29</v>
      </c>
      <c r="N82" s="22" t="s">
        <v>269</v>
      </c>
      <c r="O82" s="4"/>
      <c r="P82" s="23">
        <v>1</v>
      </c>
      <c r="Q82" s="23"/>
      <c r="R82" s="4">
        <v>1500000</v>
      </c>
      <c r="S82" s="4">
        <f>+(P82/R82)*[1]Population!$C$2</f>
        <v>222.20000000000002</v>
      </c>
      <c r="T82" s="4">
        <f>IF(ISBLANK(Q82),S82,+(Q82/R82)*[1]Population!$C$2)</f>
        <v>222.20000000000002</v>
      </c>
      <c r="U82" s="1">
        <f>+AVERAGE(S82:T82)</f>
        <v>222.20000000000002</v>
      </c>
      <c r="V82" s="5">
        <f>+(U82/[1]Population!$C$2)*100000</f>
        <v>6.6666666666666666E-2</v>
      </c>
      <c r="W82" s="23" t="s">
        <v>267</v>
      </c>
      <c r="X82" s="22" t="s">
        <v>268</v>
      </c>
      <c r="Y82" s="41"/>
    </row>
    <row r="83" spans="1:25" ht="13.95" customHeight="1">
      <c r="A83" s="23" t="s">
        <v>21</v>
      </c>
      <c r="B83" s="23" t="s">
        <v>22</v>
      </c>
      <c r="C83" s="23" t="s">
        <v>73</v>
      </c>
      <c r="D83" s="23" t="str">
        <f t="shared" si="1"/>
        <v>Autoimmune</v>
      </c>
      <c r="E83" s="32" t="s">
        <v>277</v>
      </c>
      <c r="F83" s="23" t="s">
        <v>278</v>
      </c>
      <c r="G83" s="69" t="s">
        <v>36</v>
      </c>
      <c r="H83" s="33" t="s">
        <v>279</v>
      </c>
      <c r="I83" s="23"/>
      <c r="J83" s="23"/>
      <c r="K83" s="23"/>
      <c r="L83" s="23"/>
      <c r="M83" s="23"/>
      <c r="N83" s="22"/>
      <c r="O83" s="23"/>
      <c r="P83" s="23"/>
      <c r="Q83" s="23"/>
      <c r="R83" s="4"/>
      <c r="S83" s="23">
        <v>0</v>
      </c>
      <c r="T83" s="23">
        <v>0</v>
      </c>
      <c r="U83" s="23">
        <v>0</v>
      </c>
      <c r="V83" s="5">
        <v>0</v>
      </c>
      <c r="W83" s="39"/>
      <c r="X83" s="22"/>
      <c r="Y83" s="41"/>
    </row>
    <row r="84" spans="1:25" ht="13.95" customHeight="1">
      <c r="A84" s="23" t="s">
        <v>21</v>
      </c>
      <c r="B84" s="23" t="s">
        <v>22</v>
      </c>
      <c r="C84" s="23" t="s">
        <v>73</v>
      </c>
      <c r="D84" s="23" t="str">
        <f t="shared" si="1"/>
        <v>Autoimmune</v>
      </c>
      <c r="E84" s="32" t="s">
        <v>277</v>
      </c>
      <c r="F84" s="23" t="s">
        <v>280</v>
      </c>
      <c r="G84" s="69" t="s">
        <v>36</v>
      </c>
      <c r="H84" s="33" t="s">
        <v>279</v>
      </c>
      <c r="I84" s="23"/>
      <c r="J84" s="23"/>
      <c r="K84" s="23"/>
      <c r="L84" s="23"/>
      <c r="M84" s="23"/>
      <c r="N84" s="22"/>
      <c r="O84" s="23"/>
      <c r="P84" s="23"/>
      <c r="Q84" s="23"/>
      <c r="R84" s="4"/>
      <c r="S84" s="23">
        <v>0</v>
      </c>
      <c r="T84" s="23">
        <v>0</v>
      </c>
      <c r="U84" s="23">
        <v>0</v>
      </c>
      <c r="V84" s="5">
        <v>0</v>
      </c>
      <c r="W84" s="39"/>
      <c r="X84" s="22"/>
      <c r="Y84" s="41"/>
    </row>
    <row r="85" spans="1:25" ht="13.95" customHeight="1">
      <c r="A85" s="23" t="s">
        <v>281</v>
      </c>
      <c r="B85" s="23" t="s">
        <v>22</v>
      </c>
      <c r="C85" s="23" t="s">
        <v>73</v>
      </c>
      <c r="D85" s="23" t="str">
        <f t="shared" si="1"/>
        <v>Autoimmune</v>
      </c>
      <c r="E85" s="32" t="s">
        <v>277</v>
      </c>
      <c r="F85" s="23" t="s">
        <v>282</v>
      </c>
      <c r="G85" s="69" t="s">
        <v>52</v>
      </c>
      <c r="H85" s="33" t="s">
        <v>279</v>
      </c>
      <c r="I85" s="23">
        <v>432295</v>
      </c>
      <c r="J85" s="22"/>
      <c r="K85" s="2" t="s">
        <v>283</v>
      </c>
      <c r="L85" s="2" t="s">
        <v>284</v>
      </c>
      <c r="M85" s="9" t="s">
        <v>78</v>
      </c>
      <c r="N85" s="22" t="s">
        <v>287</v>
      </c>
      <c r="O85" s="23" t="s">
        <v>285</v>
      </c>
      <c r="P85" s="47">
        <v>493.75</v>
      </c>
      <c r="Q85" s="23"/>
      <c r="R85" s="4">
        <v>100000</v>
      </c>
      <c r="S85" s="4">
        <f>+(P85/R85)*[1]Population!$C$2</f>
        <v>1645668.75</v>
      </c>
      <c r="T85" s="4">
        <f>IF(ISBLANK(Q85),S85,+(Q85/R85)*[1]Population!$C$2)</f>
        <v>1645668.75</v>
      </c>
      <c r="U85" s="1">
        <f>+AVERAGE(S85:T85)</f>
        <v>1645668.75</v>
      </c>
      <c r="V85" s="5">
        <f>+(U85/[1]Population!$C$2)*100000</f>
        <v>493.75</v>
      </c>
      <c r="W85" s="23"/>
      <c r="X85" s="22" t="s">
        <v>286</v>
      </c>
      <c r="Y85" s="40"/>
    </row>
    <row r="86" spans="1:25" ht="13.95" customHeight="1">
      <c r="A86" s="23" t="s">
        <v>281</v>
      </c>
      <c r="B86" s="23" t="s">
        <v>22</v>
      </c>
      <c r="C86" s="23" t="s">
        <v>73</v>
      </c>
      <c r="D86" s="23" t="str">
        <f t="shared" si="1"/>
        <v>Autoimmune</v>
      </c>
      <c r="E86" s="32" t="s">
        <v>277</v>
      </c>
      <c r="F86" s="23" t="s">
        <v>277</v>
      </c>
      <c r="G86" s="69" t="s">
        <v>25</v>
      </c>
      <c r="H86" s="33" t="s">
        <v>288</v>
      </c>
      <c r="I86" s="23">
        <v>4341626</v>
      </c>
      <c r="J86" s="22" t="s">
        <v>289</v>
      </c>
      <c r="K86" s="2" t="s">
        <v>290</v>
      </c>
      <c r="L86" s="2" t="s">
        <v>291</v>
      </c>
      <c r="M86" s="23" t="s">
        <v>78</v>
      </c>
      <c r="N86" s="22" t="s">
        <v>261</v>
      </c>
      <c r="O86" s="11" t="s">
        <v>292</v>
      </c>
      <c r="P86" s="23"/>
      <c r="Q86" s="23"/>
      <c r="R86" s="4">
        <v>0</v>
      </c>
      <c r="S86" s="11">
        <v>100</v>
      </c>
      <c r="T86" s="11">
        <v>100</v>
      </c>
      <c r="U86" s="1">
        <f>+AVERAGE(S86:T86)</f>
        <v>100</v>
      </c>
      <c r="V86" s="5">
        <f>+(U86/[1]Population!$C$2)*100000</f>
        <v>3.0003000300030003E-2</v>
      </c>
      <c r="W86" s="23" t="s">
        <v>293</v>
      </c>
      <c r="X86" s="22" t="s">
        <v>294</v>
      </c>
      <c r="Y86" s="41"/>
    </row>
    <row r="87" spans="1:25" ht="13.95" customHeight="1">
      <c r="A87" s="23" t="s">
        <v>281</v>
      </c>
      <c r="B87" s="23" t="s">
        <v>22</v>
      </c>
      <c r="C87" s="23" t="s">
        <v>73</v>
      </c>
      <c r="D87" s="23" t="str">
        <f t="shared" si="1"/>
        <v>Autoimmune</v>
      </c>
      <c r="E87" s="32" t="s">
        <v>277</v>
      </c>
      <c r="F87" s="23" t="s">
        <v>295</v>
      </c>
      <c r="G87" s="69" t="s">
        <v>36</v>
      </c>
      <c r="H87" s="33" t="s">
        <v>288</v>
      </c>
      <c r="I87" s="23">
        <v>192667</v>
      </c>
      <c r="J87" s="23"/>
      <c r="K87" s="23"/>
      <c r="L87" s="23"/>
      <c r="M87" s="23"/>
      <c r="N87" s="22"/>
      <c r="O87" s="23"/>
      <c r="P87" s="23"/>
      <c r="Q87" s="23"/>
      <c r="R87" s="4"/>
      <c r="S87" s="23">
        <v>0</v>
      </c>
      <c r="T87" s="23">
        <v>0</v>
      </c>
      <c r="U87" s="23">
        <v>0</v>
      </c>
      <c r="V87" s="5">
        <v>0</v>
      </c>
      <c r="W87" s="39"/>
      <c r="X87" s="22"/>
      <c r="Y87" s="41"/>
    </row>
    <row r="88" spans="1:25" ht="13.95" customHeight="1">
      <c r="A88" s="23" t="s">
        <v>281</v>
      </c>
      <c r="B88" s="23" t="s">
        <v>22</v>
      </c>
      <c r="C88" s="23" t="s">
        <v>73</v>
      </c>
      <c r="D88" s="23" t="str">
        <f t="shared" si="1"/>
        <v>Autoimmune</v>
      </c>
      <c r="E88" s="32" t="s">
        <v>277</v>
      </c>
      <c r="F88" s="23" t="s">
        <v>296</v>
      </c>
      <c r="G88" s="69" t="s">
        <v>36</v>
      </c>
      <c r="H88" s="33" t="s">
        <v>288</v>
      </c>
      <c r="I88" s="23"/>
      <c r="J88" s="23"/>
      <c r="K88" s="23"/>
      <c r="L88" s="23"/>
      <c r="M88" s="23"/>
      <c r="N88" s="22"/>
      <c r="O88" s="23"/>
      <c r="P88" s="23"/>
      <c r="Q88" s="23"/>
      <c r="R88" s="4"/>
      <c r="S88" s="23">
        <v>0</v>
      </c>
      <c r="T88" s="23">
        <v>0</v>
      </c>
      <c r="U88" s="23">
        <v>0</v>
      </c>
      <c r="V88" s="5">
        <v>0</v>
      </c>
      <c r="W88" s="39"/>
      <c r="X88" s="22"/>
      <c r="Y88" s="41"/>
    </row>
    <row r="89" spans="1:25" ht="13.95" customHeight="1">
      <c r="A89" s="23" t="s">
        <v>281</v>
      </c>
      <c r="B89" s="23" t="s">
        <v>22</v>
      </c>
      <c r="C89" s="23" t="s">
        <v>73</v>
      </c>
      <c r="D89" s="23" t="str">
        <f t="shared" si="1"/>
        <v>Autoimmune</v>
      </c>
      <c r="E89" s="32" t="s">
        <v>277</v>
      </c>
      <c r="F89" s="23" t="s">
        <v>297</v>
      </c>
      <c r="G89" s="69" t="s">
        <v>36</v>
      </c>
      <c r="H89" s="33" t="s">
        <v>288</v>
      </c>
      <c r="I89" s="23"/>
      <c r="J89" s="23"/>
      <c r="K89" s="23"/>
      <c r="L89" s="23"/>
      <c r="M89" s="23"/>
      <c r="N89" s="22"/>
      <c r="O89" s="23"/>
      <c r="P89" s="23"/>
      <c r="Q89" s="23"/>
      <c r="R89" s="4"/>
      <c r="S89" s="23">
        <v>0</v>
      </c>
      <c r="T89" s="23">
        <v>0</v>
      </c>
      <c r="U89" s="23">
        <v>0</v>
      </c>
      <c r="V89" s="5">
        <v>0</v>
      </c>
      <c r="W89" s="39"/>
      <c r="X89" s="22"/>
      <c r="Y89" s="41"/>
    </row>
    <row r="90" spans="1:25" ht="13.95" customHeight="1">
      <c r="A90" s="23" t="s">
        <v>281</v>
      </c>
      <c r="B90" s="23" t="s">
        <v>22</v>
      </c>
      <c r="C90" s="23" t="s">
        <v>73</v>
      </c>
      <c r="D90" s="23" t="str">
        <f t="shared" si="1"/>
        <v>Autoimmune</v>
      </c>
      <c r="E90" s="32" t="s">
        <v>277</v>
      </c>
      <c r="F90" s="23" t="s">
        <v>298</v>
      </c>
      <c r="G90" s="69" t="s">
        <v>36</v>
      </c>
      <c r="H90" s="33">
        <v>235728001</v>
      </c>
      <c r="I90" s="23">
        <v>4341626</v>
      </c>
      <c r="J90" s="22" t="s">
        <v>299</v>
      </c>
      <c r="K90" s="2" t="s">
        <v>290</v>
      </c>
      <c r="L90" s="2" t="s">
        <v>291</v>
      </c>
      <c r="M90" s="23" t="s">
        <v>78</v>
      </c>
      <c r="N90" s="22" t="s">
        <v>261</v>
      </c>
      <c r="O90" s="11" t="s">
        <v>292</v>
      </c>
      <c r="P90" s="23"/>
      <c r="Q90" s="23"/>
      <c r="R90" s="4">
        <v>0</v>
      </c>
      <c r="S90" s="11">
        <v>100</v>
      </c>
      <c r="T90" s="11">
        <v>100</v>
      </c>
      <c r="U90" s="1">
        <f>+AVERAGE(S90:T90)</f>
        <v>100</v>
      </c>
      <c r="V90" s="5">
        <f>+(U90/[1]Population!$C$2)*100000</f>
        <v>3.0003000300030003E-2</v>
      </c>
      <c r="W90" s="23" t="s">
        <v>293</v>
      </c>
      <c r="X90" s="22" t="s">
        <v>294</v>
      </c>
      <c r="Y90" s="41"/>
    </row>
    <row r="91" spans="1:25" ht="13.95" customHeight="1">
      <c r="A91" s="23" t="s">
        <v>38</v>
      </c>
      <c r="B91" s="23" t="s">
        <v>22</v>
      </c>
      <c r="C91" s="23" t="s">
        <v>73</v>
      </c>
      <c r="D91" s="23" t="str">
        <f t="shared" si="1"/>
        <v>Autoimmune</v>
      </c>
      <c r="E91" s="32" t="s">
        <v>300</v>
      </c>
      <c r="F91" s="23" t="s">
        <v>300</v>
      </c>
      <c r="G91" s="69" t="s">
        <v>25</v>
      </c>
      <c r="H91" s="33">
        <v>413603009</v>
      </c>
      <c r="I91" s="23">
        <v>441269</v>
      </c>
      <c r="J91" s="22" t="s">
        <v>301</v>
      </c>
      <c r="K91" s="10" t="s">
        <v>302</v>
      </c>
      <c r="L91" s="23" t="s">
        <v>303</v>
      </c>
      <c r="M91" s="23" t="s">
        <v>78</v>
      </c>
      <c r="N91" s="22"/>
      <c r="O91" s="23" t="s">
        <v>304</v>
      </c>
      <c r="P91" s="23">
        <v>60</v>
      </c>
      <c r="Q91" s="23">
        <v>210</v>
      </c>
      <c r="R91" s="4">
        <v>1000000</v>
      </c>
      <c r="S91" s="4">
        <f>+(P91/R91)*[1]Population!$C$2</f>
        <v>19998</v>
      </c>
      <c r="T91" s="4">
        <f>IF(ISBLANK(Q91),S91,+(Q91/R91)*[1]Population!$C$2)</f>
        <v>69993</v>
      </c>
      <c r="U91" s="1">
        <f>+AVERAGE(S91:T91)</f>
        <v>44995.5</v>
      </c>
      <c r="V91" s="5">
        <f>+(U91/[1]Population!$C$2)*100000</f>
        <v>13.5</v>
      </c>
      <c r="W91" s="39"/>
      <c r="X91" s="22"/>
      <c r="Y91" s="41"/>
    </row>
    <row r="92" spans="1:25" ht="13.95" customHeight="1">
      <c r="A92" s="23" t="s">
        <v>38</v>
      </c>
      <c r="B92" s="23" t="s">
        <v>22</v>
      </c>
      <c r="C92" s="23" t="s">
        <v>73</v>
      </c>
      <c r="D92" s="23" t="str">
        <f t="shared" si="1"/>
        <v>Autoimmune</v>
      </c>
      <c r="E92" s="32" t="s">
        <v>300</v>
      </c>
      <c r="F92" s="23" t="s">
        <v>305</v>
      </c>
      <c r="G92" s="69" t="s">
        <v>52</v>
      </c>
      <c r="H92" s="33" t="s">
        <v>306</v>
      </c>
      <c r="I92" s="23">
        <v>36713763</v>
      </c>
      <c r="J92" s="22" t="s">
        <v>307</v>
      </c>
      <c r="K92" s="23"/>
      <c r="L92" s="23"/>
      <c r="M92" s="23"/>
      <c r="N92" s="22"/>
      <c r="O92" s="23"/>
      <c r="P92" s="23"/>
      <c r="Q92" s="23"/>
      <c r="R92" s="4"/>
      <c r="S92" s="23">
        <v>0</v>
      </c>
      <c r="T92" s="23">
        <v>0</v>
      </c>
      <c r="U92" s="23">
        <v>0</v>
      </c>
      <c r="V92" s="5">
        <v>0</v>
      </c>
      <c r="W92" s="39"/>
      <c r="X92" s="22"/>
      <c r="Y92" s="41"/>
    </row>
    <row r="93" spans="1:25" ht="13.95" customHeight="1">
      <c r="A93" s="23" t="s">
        <v>308</v>
      </c>
      <c r="B93" s="23" t="s">
        <v>22</v>
      </c>
      <c r="C93" s="23" t="s">
        <v>73</v>
      </c>
      <c r="D93" s="23" t="str">
        <f t="shared" si="1"/>
        <v>Autoimmune</v>
      </c>
      <c r="E93" s="32" t="s">
        <v>309</v>
      </c>
      <c r="F93" s="23" t="s">
        <v>309</v>
      </c>
      <c r="G93" s="69" t="s">
        <v>25</v>
      </c>
      <c r="H93" s="33" t="s">
        <v>310</v>
      </c>
      <c r="I93" s="23">
        <v>200762</v>
      </c>
      <c r="J93" s="22" t="s">
        <v>311</v>
      </c>
      <c r="K93" s="2" t="s">
        <v>312</v>
      </c>
      <c r="L93" s="2" t="s">
        <v>313</v>
      </c>
      <c r="M93" s="23" t="s">
        <v>78</v>
      </c>
      <c r="N93" s="22" t="s">
        <v>316</v>
      </c>
      <c r="O93" s="23" t="s">
        <v>314</v>
      </c>
      <c r="P93" s="23">
        <v>16.899999999999999</v>
      </c>
      <c r="Q93" s="23"/>
      <c r="R93" s="4">
        <v>100000</v>
      </c>
      <c r="S93" s="4">
        <f>+(P93/R93)*[1]Population!$C$2</f>
        <v>56327.7</v>
      </c>
      <c r="T93" s="4">
        <f>IF(ISBLANK(Q93),S93,+(Q93/R93)*[1]Population!$C$2)</f>
        <v>56327.7</v>
      </c>
      <c r="U93" s="1">
        <f t="shared" ref="U93:U98" si="2">+AVERAGE(S93:T93)</f>
        <v>56327.7</v>
      </c>
      <c r="V93" s="5">
        <f>+(U93/[1]Population!$C$2)*100000</f>
        <v>16.899999999999999</v>
      </c>
      <c r="W93" s="23" t="s">
        <v>315</v>
      </c>
      <c r="X93" s="22" t="s">
        <v>315</v>
      </c>
      <c r="Y93" s="41"/>
    </row>
    <row r="94" spans="1:25" ht="13.95" customHeight="1">
      <c r="A94" s="23" t="s">
        <v>308</v>
      </c>
      <c r="B94" s="23" t="s">
        <v>22</v>
      </c>
      <c r="C94" s="23" t="s">
        <v>73</v>
      </c>
      <c r="D94" s="23" t="str">
        <f t="shared" si="1"/>
        <v>Autoimmune</v>
      </c>
      <c r="E94" s="32" t="s">
        <v>309</v>
      </c>
      <c r="F94" s="23" t="s">
        <v>317</v>
      </c>
      <c r="G94" s="69" t="s">
        <v>52</v>
      </c>
      <c r="H94" s="33" t="s">
        <v>318</v>
      </c>
      <c r="I94" s="23">
        <v>36715923</v>
      </c>
      <c r="J94" s="22" t="s">
        <v>311</v>
      </c>
      <c r="K94" s="2"/>
      <c r="L94" s="2"/>
      <c r="M94" s="23" t="s">
        <v>78</v>
      </c>
      <c r="N94" s="22" t="s">
        <v>316</v>
      </c>
      <c r="O94" s="23" t="s">
        <v>314</v>
      </c>
      <c r="P94" s="23">
        <v>16.899999999999999</v>
      </c>
      <c r="Q94" s="23"/>
      <c r="R94" s="4">
        <v>100000</v>
      </c>
      <c r="S94" s="4">
        <f>+(P94/R94)*[1]Population!$C$2</f>
        <v>56327.7</v>
      </c>
      <c r="T94" s="4">
        <f>IF(ISBLANK(Q94),S94,+(Q94/R94)*[1]Population!$C$2)</f>
        <v>56327.7</v>
      </c>
      <c r="U94" s="1">
        <f t="shared" si="2"/>
        <v>56327.7</v>
      </c>
      <c r="V94" s="5">
        <f>+(U94/[1]Population!$C$2)*100000</f>
        <v>16.899999999999999</v>
      </c>
      <c r="W94" s="23" t="s">
        <v>315</v>
      </c>
      <c r="X94" s="22" t="s">
        <v>315</v>
      </c>
      <c r="Y94" s="41"/>
    </row>
    <row r="95" spans="1:25" ht="13.95" customHeight="1">
      <c r="A95" s="23" t="s">
        <v>308</v>
      </c>
      <c r="B95" s="23" t="s">
        <v>22</v>
      </c>
      <c r="C95" s="23" t="s">
        <v>73</v>
      </c>
      <c r="D95" s="23" t="str">
        <f t="shared" si="1"/>
        <v>Autoimmune</v>
      </c>
      <c r="E95" s="32" t="s">
        <v>309</v>
      </c>
      <c r="F95" s="23" t="s">
        <v>319</v>
      </c>
      <c r="G95" s="69" t="s">
        <v>52</v>
      </c>
      <c r="H95" s="33" t="s">
        <v>320</v>
      </c>
      <c r="I95" s="23">
        <v>36717496</v>
      </c>
      <c r="J95" s="22" t="s">
        <v>311</v>
      </c>
      <c r="K95" s="2"/>
      <c r="L95" s="2"/>
      <c r="M95" s="23" t="s">
        <v>78</v>
      </c>
      <c r="N95" s="22" t="s">
        <v>316</v>
      </c>
      <c r="O95" s="23" t="s">
        <v>314</v>
      </c>
      <c r="P95" s="23">
        <v>16.899999999999999</v>
      </c>
      <c r="Q95" s="23"/>
      <c r="R95" s="4">
        <v>100000</v>
      </c>
      <c r="S95" s="4">
        <f>+(P95/R95)*[1]Population!$C$2</f>
        <v>56327.7</v>
      </c>
      <c r="T95" s="4">
        <f>IF(ISBLANK(Q95),S95,+(Q95/R95)*[1]Population!$C$2)</f>
        <v>56327.7</v>
      </c>
      <c r="U95" s="1">
        <f t="shared" si="2"/>
        <v>56327.7</v>
      </c>
      <c r="V95" s="5">
        <f>+(U95/[1]Population!$C$2)*100000</f>
        <v>16.899999999999999</v>
      </c>
      <c r="W95" s="23" t="s">
        <v>315</v>
      </c>
      <c r="X95" s="22" t="s">
        <v>315</v>
      </c>
      <c r="Y95" s="41"/>
    </row>
    <row r="96" spans="1:25" ht="13.95" customHeight="1">
      <c r="A96" s="23" t="s">
        <v>308</v>
      </c>
      <c r="B96" s="23" t="s">
        <v>22</v>
      </c>
      <c r="C96" s="23" t="s">
        <v>73</v>
      </c>
      <c r="D96" s="23" t="str">
        <f t="shared" si="1"/>
        <v>Autoimmune</v>
      </c>
      <c r="E96" s="32" t="s">
        <v>309</v>
      </c>
      <c r="F96" s="23" t="s">
        <v>321</v>
      </c>
      <c r="G96" s="69" t="s">
        <v>52</v>
      </c>
      <c r="H96" s="33" t="s">
        <v>322</v>
      </c>
      <c r="I96" s="23">
        <v>36715924</v>
      </c>
      <c r="J96" s="22" t="s">
        <v>311</v>
      </c>
      <c r="K96" s="2"/>
      <c r="L96" s="2"/>
      <c r="M96" s="23" t="s">
        <v>78</v>
      </c>
      <c r="N96" s="22" t="s">
        <v>316</v>
      </c>
      <c r="O96" s="23" t="s">
        <v>314</v>
      </c>
      <c r="P96" s="23">
        <v>16.899999999999999</v>
      </c>
      <c r="Q96" s="23"/>
      <c r="R96" s="4">
        <v>100000</v>
      </c>
      <c r="S96" s="4">
        <f>+(P96/R96)*[1]Population!$C$2</f>
        <v>56327.7</v>
      </c>
      <c r="T96" s="4">
        <f>IF(ISBLANK(Q96),S96,+(Q96/R96)*[1]Population!$C$2)</f>
        <v>56327.7</v>
      </c>
      <c r="U96" s="1">
        <f t="shared" si="2"/>
        <v>56327.7</v>
      </c>
      <c r="V96" s="5">
        <f>+(U96/[1]Population!$C$2)*100000</f>
        <v>16.899999999999999</v>
      </c>
      <c r="W96" s="23" t="s">
        <v>315</v>
      </c>
      <c r="X96" s="22" t="s">
        <v>315</v>
      </c>
      <c r="Y96" s="41"/>
    </row>
    <row r="97" spans="1:25" ht="13.95" customHeight="1">
      <c r="A97" s="23" t="s">
        <v>308</v>
      </c>
      <c r="B97" s="23" t="s">
        <v>22</v>
      </c>
      <c r="C97" s="23" t="s">
        <v>73</v>
      </c>
      <c r="D97" s="23" t="str">
        <f t="shared" si="1"/>
        <v>Autoimmune</v>
      </c>
      <c r="E97" s="32" t="s">
        <v>309</v>
      </c>
      <c r="F97" s="23" t="s">
        <v>323</v>
      </c>
      <c r="G97" s="69" t="s">
        <v>52</v>
      </c>
      <c r="H97" s="33" t="s">
        <v>324</v>
      </c>
      <c r="I97" s="23">
        <v>36687200</v>
      </c>
      <c r="J97" s="22" t="s">
        <v>311</v>
      </c>
      <c r="K97" s="2"/>
      <c r="L97" s="2"/>
      <c r="M97" s="23" t="s">
        <v>78</v>
      </c>
      <c r="N97" s="22" t="s">
        <v>316</v>
      </c>
      <c r="O97" s="23" t="s">
        <v>314</v>
      </c>
      <c r="P97" s="23">
        <v>16.899999999999999</v>
      </c>
      <c r="Q97" s="23"/>
      <c r="R97" s="4">
        <v>100000</v>
      </c>
      <c r="S97" s="4">
        <f>+(P97/R97)*[1]Population!$C$2</f>
        <v>56327.7</v>
      </c>
      <c r="T97" s="4">
        <f>IF(ISBLANK(Q97),S97,+(Q97/R97)*[1]Population!$C$2)</f>
        <v>56327.7</v>
      </c>
      <c r="U97" s="1">
        <f t="shared" si="2"/>
        <v>56327.7</v>
      </c>
      <c r="V97" s="5">
        <f>+(U97/[1]Population!$C$2)*100000</f>
        <v>16.899999999999999</v>
      </c>
      <c r="W97" s="23" t="s">
        <v>315</v>
      </c>
      <c r="X97" s="22" t="s">
        <v>315</v>
      </c>
      <c r="Y97" s="41"/>
    </row>
    <row r="98" spans="1:25" ht="13.95" customHeight="1">
      <c r="A98" s="23" t="s">
        <v>38</v>
      </c>
      <c r="B98" s="23" t="s">
        <v>218</v>
      </c>
      <c r="C98" s="23" t="s">
        <v>73</v>
      </c>
      <c r="D98" s="23" t="str">
        <f t="shared" si="1"/>
        <v>Autoimmune</v>
      </c>
      <c r="E98" s="32" t="s">
        <v>325</v>
      </c>
      <c r="F98" s="23" t="s">
        <v>325</v>
      </c>
      <c r="G98" s="69" t="s">
        <v>25</v>
      </c>
      <c r="H98" s="33">
        <v>702444009</v>
      </c>
      <c r="I98" s="23">
        <v>45765493</v>
      </c>
      <c r="J98" s="22" t="s">
        <v>326</v>
      </c>
      <c r="K98" s="2" t="s">
        <v>327</v>
      </c>
      <c r="L98" s="2" t="s">
        <v>328</v>
      </c>
      <c r="M98" s="23" t="s">
        <v>78</v>
      </c>
      <c r="N98" s="22" t="s">
        <v>329</v>
      </c>
      <c r="O98" s="23" t="s">
        <v>329</v>
      </c>
      <c r="P98" s="23"/>
      <c r="Q98" s="23"/>
      <c r="R98" s="4">
        <v>0</v>
      </c>
      <c r="S98" s="4">
        <v>200</v>
      </c>
      <c r="T98" s="4">
        <v>200</v>
      </c>
      <c r="U98" s="1">
        <f t="shared" si="2"/>
        <v>200</v>
      </c>
      <c r="V98" s="5">
        <f>+(U98/[1]Population!$C$2)*100000</f>
        <v>6.0006000600060005E-2</v>
      </c>
      <c r="W98" s="23"/>
      <c r="X98" s="22" t="s">
        <v>330</v>
      </c>
      <c r="Y98" s="41"/>
    </row>
    <row r="99" spans="1:25" ht="13.95" customHeight="1">
      <c r="A99" s="23" t="s">
        <v>38</v>
      </c>
      <c r="B99" s="23" t="s">
        <v>218</v>
      </c>
      <c r="C99" s="23" t="s">
        <v>73</v>
      </c>
      <c r="D99" s="23" t="str">
        <f t="shared" si="1"/>
        <v>Autoimmune</v>
      </c>
      <c r="E99" s="32" t="s">
        <v>325</v>
      </c>
      <c r="F99" s="23" t="s">
        <v>331</v>
      </c>
      <c r="G99" s="69" t="s">
        <v>36</v>
      </c>
      <c r="H99" s="33">
        <v>702444009</v>
      </c>
      <c r="I99" s="23"/>
      <c r="J99" s="23"/>
      <c r="K99" s="23"/>
      <c r="L99" s="23"/>
      <c r="M99" s="23"/>
      <c r="N99" s="22"/>
      <c r="O99" s="23"/>
      <c r="P99" s="23"/>
      <c r="Q99" s="23"/>
      <c r="R99" s="4"/>
      <c r="S99" s="23">
        <v>0</v>
      </c>
      <c r="T99" s="23">
        <v>0</v>
      </c>
      <c r="U99" s="23">
        <v>0</v>
      </c>
      <c r="V99" s="5">
        <v>0</v>
      </c>
      <c r="W99" s="39"/>
      <c r="X99" s="22"/>
      <c r="Y99" s="41"/>
    </row>
    <row r="100" spans="1:25" ht="13.95" customHeight="1">
      <c r="A100" s="23" t="s">
        <v>38</v>
      </c>
      <c r="B100" s="23" t="s">
        <v>22</v>
      </c>
      <c r="C100" s="23" t="s">
        <v>73</v>
      </c>
      <c r="D100" s="23" t="str">
        <f t="shared" si="1"/>
        <v>Autoimmune</v>
      </c>
      <c r="E100" s="32" t="s">
        <v>332</v>
      </c>
      <c r="F100" s="23" t="s">
        <v>332</v>
      </c>
      <c r="G100" s="69" t="s">
        <v>25</v>
      </c>
      <c r="H100" s="33">
        <v>234425008</v>
      </c>
      <c r="I100" s="23">
        <v>4125635</v>
      </c>
      <c r="J100" s="22" t="s">
        <v>333</v>
      </c>
      <c r="K100" s="2" t="s">
        <v>334</v>
      </c>
      <c r="L100" s="2" t="s">
        <v>335</v>
      </c>
      <c r="M100" s="23" t="s">
        <v>78</v>
      </c>
      <c r="N100" s="22" t="s">
        <v>338</v>
      </c>
      <c r="O100" s="23" t="s">
        <v>336</v>
      </c>
      <c r="P100" s="23">
        <v>5</v>
      </c>
      <c r="Q100" s="23"/>
      <c r="R100" s="4">
        <v>1000000</v>
      </c>
      <c r="S100" s="4">
        <f>+(P100/R100)*[1]Population!$C$2</f>
        <v>1666.5000000000002</v>
      </c>
      <c r="T100" s="4">
        <f>IF(ISBLANK(Q100),S100,+(Q100/R100)*[1]Population!$C$2)</f>
        <v>1666.5000000000002</v>
      </c>
      <c r="U100" s="1">
        <f>+AVERAGE(S100:T100)</f>
        <v>1666.5000000000002</v>
      </c>
      <c r="V100" s="5">
        <f>+(U100/[1]Population!$C$2)*100000</f>
        <v>0.5</v>
      </c>
      <c r="W100" s="23"/>
      <c r="X100" s="22" t="s">
        <v>337</v>
      </c>
      <c r="Y100" s="41"/>
    </row>
    <row r="101" spans="1:25" ht="13.95" customHeight="1">
      <c r="A101" s="23" t="s">
        <v>38</v>
      </c>
      <c r="B101" s="23" t="s">
        <v>22</v>
      </c>
      <c r="C101" s="23" t="s">
        <v>73</v>
      </c>
      <c r="D101" s="23" t="str">
        <f t="shared" si="1"/>
        <v>Autoimmune</v>
      </c>
      <c r="E101" s="32" t="s">
        <v>332</v>
      </c>
      <c r="F101" s="23" t="s">
        <v>339</v>
      </c>
      <c r="G101" s="69" t="s">
        <v>36</v>
      </c>
      <c r="H101" s="33">
        <v>234425008</v>
      </c>
      <c r="I101" s="23"/>
      <c r="J101" s="23"/>
      <c r="K101" s="23"/>
      <c r="L101" s="23"/>
      <c r="M101" s="23"/>
      <c r="N101" s="22"/>
      <c r="O101" s="23"/>
      <c r="P101" s="23"/>
      <c r="Q101" s="23"/>
      <c r="R101" s="4"/>
      <c r="S101" s="23">
        <v>0</v>
      </c>
      <c r="T101" s="23">
        <v>0</v>
      </c>
      <c r="U101" s="23">
        <v>0</v>
      </c>
      <c r="V101" s="5">
        <v>0</v>
      </c>
      <c r="W101" s="39"/>
      <c r="X101" s="22"/>
      <c r="Y101" s="41"/>
    </row>
    <row r="102" spans="1:25" ht="13.95" customHeight="1">
      <c r="A102" s="23" t="s">
        <v>38</v>
      </c>
      <c r="B102" s="23" t="s">
        <v>22</v>
      </c>
      <c r="C102" s="23" t="s">
        <v>73</v>
      </c>
      <c r="D102" s="23" t="str">
        <f t="shared" si="1"/>
        <v>Autoimmune</v>
      </c>
      <c r="E102" s="32" t="s">
        <v>332</v>
      </c>
      <c r="F102" s="23" t="s">
        <v>340</v>
      </c>
      <c r="G102" s="69" t="s">
        <v>36</v>
      </c>
      <c r="H102" s="33">
        <v>234425008</v>
      </c>
      <c r="I102" s="23"/>
      <c r="J102" s="23"/>
      <c r="K102" s="23"/>
      <c r="L102" s="23"/>
      <c r="M102" s="23"/>
      <c r="N102" s="22"/>
      <c r="O102" s="23"/>
      <c r="P102" s="23"/>
      <c r="Q102" s="23"/>
      <c r="R102" s="4"/>
      <c r="S102" s="23">
        <v>0</v>
      </c>
      <c r="T102" s="23">
        <v>0</v>
      </c>
      <c r="U102" s="23">
        <v>0</v>
      </c>
      <c r="V102" s="5">
        <v>0</v>
      </c>
      <c r="W102" s="39"/>
      <c r="X102" s="22"/>
      <c r="Y102" s="41"/>
    </row>
    <row r="103" spans="1:25" ht="13.95" customHeight="1">
      <c r="A103" s="23" t="s">
        <v>98</v>
      </c>
      <c r="B103" s="23" t="s">
        <v>238</v>
      </c>
      <c r="C103" s="23" t="s">
        <v>73</v>
      </c>
      <c r="D103" s="23" t="str">
        <f t="shared" si="1"/>
        <v>Autoimmune</v>
      </c>
      <c r="E103" s="32" t="s">
        <v>341</v>
      </c>
      <c r="F103" s="23" t="s">
        <v>341</v>
      </c>
      <c r="G103" s="69" t="s">
        <v>25</v>
      </c>
      <c r="H103" s="33">
        <v>721198006</v>
      </c>
      <c r="I103" s="23">
        <v>36717453</v>
      </c>
      <c r="J103" s="22" t="s">
        <v>342</v>
      </c>
      <c r="K103" s="2" t="s">
        <v>343</v>
      </c>
      <c r="L103" s="2" t="s">
        <v>344</v>
      </c>
      <c r="M103" s="23" t="s">
        <v>78</v>
      </c>
      <c r="N103" s="22" t="s">
        <v>346</v>
      </c>
      <c r="O103" s="48" t="s">
        <v>345</v>
      </c>
      <c r="P103" s="23">
        <v>0.2</v>
      </c>
      <c r="Q103" s="23"/>
      <c r="R103" s="4">
        <v>100000</v>
      </c>
      <c r="S103" s="4">
        <f>+(P103/R103)*[1]Population!$C$2</f>
        <v>666.6</v>
      </c>
      <c r="T103" s="4">
        <f>IF(ISBLANK(Q103),S103,+(Q103/R103)*[1]Population!$C$2)</f>
        <v>666.6</v>
      </c>
      <c r="U103" s="1">
        <f>+AVERAGE(S103:T103)</f>
        <v>666.6</v>
      </c>
      <c r="V103" s="5">
        <f>+(U103/[1]Population!$C$2)*100000</f>
        <v>0.19999999999999998</v>
      </c>
      <c r="W103" s="23"/>
      <c r="X103" s="22"/>
      <c r="Y103" s="41"/>
    </row>
    <row r="104" spans="1:25" ht="13.95" customHeight="1">
      <c r="A104" s="23" t="s">
        <v>98</v>
      </c>
      <c r="B104" s="23" t="s">
        <v>238</v>
      </c>
      <c r="C104" s="23" t="s">
        <v>73</v>
      </c>
      <c r="D104" s="23" t="str">
        <f t="shared" si="1"/>
        <v>Autoimmune</v>
      </c>
      <c r="E104" s="32" t="s">
        <v>341</v>
      </c>
      <c r="F104" s="23" t="s">
        <v>347</v>
      </c>
      <c r="G104" s="69" t="s">
        <v>36</v>
      </c>
      <c r="H104" s="33">
        <v>721198006</v>
      </c>
      <c r="I104" s="23"/>
      <c r="J104" s="22"/>
      <c r="K104" s="2"/>
      <c r="L104" s="2"/>
      <c r="M104" s="23"/>
      <c r="N104" s="22"/>
      <c r="O104" s="48"/>
      <c r="P104" s="23"/>
      <c r="Q104" s="23"/>
      <c r="R104" s="4"/>
      <c r="S104" s="23">
        <v>0</v>
      </c>
      <c r="T104" s="23">
        <v>0</v>
      </c>
      <c r="U104" s="23">
        <v>0</v>
      </c>
      <c r="V104" s="5">
        <v>0</v>
      </c>
      <c r="W104" s="23"/>
      <c r="X104" s="22"/>
      <c r="Y104" s="41"/>
    </row>
    <row r="105" spans="1:25" ht="13.95" customHeight="1">
      <c r="A105" s="23" t="s">
        <v>348</v>
      </c>
      <c r="B105" s="23" t="s">
        <v>238</v>
      </c>
      <c r="C105" s="23" t="s">
        <v>73</v>
      </c>
      <c r="D105" s="23" t="str">
        <f t="shared" si="1"/>
        <v>Autoimmune</v>
      </c>
      <c r="E105" s="32" t="s">
        <v>349</v>
      </c>
      <c r="F105" s="23" t="s">
        <v>349</v>
      </c>
      <c r="G105" s="69" t="s">
        <v>25</v>
      </c>
      <c r="H105" s="33" t="s">
        <v>350</v>
      </c>
      <c r="I105" s="23">
        <v>40490446</v>
      </c>
      <c r="J105" s="22" t="s">
        <v>351</v>
      </c>
      <c r="K105" s="2" t="s">
        <v>352</v>
      </c>
      <c r="L105" s="2" t="s">
        <v>353</v>
      </c>
      <c r="M105" s="9" t="s">
        <v>78</v>
      </c>
      <c r="N105" s="22" t="s">
        <v>357</v>
      </c>
      <c r="O105" s="23" t="s">
        <v>354</v>
      </c>
      <c r="P105" s="23">
        <v>4.5999999999999996</v>
      </c>
      <c r="Q105" s="23"/>
      <c r="R105" s="4">
        <v>100000</v>
      </c>
      <c r="S105" s="4">
        <f>+(P105/R105)*[1]Population!$C$2</f>
        <v>15331.799999999997</v>
      </c>
      <c r="T105" s="4">
        <f>IF(ISBLANK(Q105),S105,+(Q105/R105)*[1]Population!$C$2)</f>
        <v>15331.799999999997</v>
      </c>
      <c r="U105" s="1">
        <f>+AVERAGE(S105:T105)</f>
        <v>15331.799999999997</v>
      </c>
      <c r="V105" s="5">
        <f>+(U105/[1]Population!$C$2)*100000</f>
        <v>4.5999999999999996</v>
      </c>
      <c r="W105" s="23" t="s">
        <v>355</v>
      </c>
      <c r="X105" s="22" t="s">
        <v>356</v>
      </c>
      <c r="Y105" s="41"/>
    </row>
    <row r="106" spans="1:25" ht="13.95" customHeight="1">
      <c r="A106" s="23" t="s">
        <v>348</v>
      </c>
      <c r="B106" s="23" t="s">
        <v>238</v>
      </c>
      <c r="C106" s="23" t="s">
        <v>73</v>
      </c>
      <c r="D106" s="23" t="str">
        <f t="shared" si="1"/>
        <v>Autoimmune</v>
      </c>
      <c r="E106" s="32" t="s">
        <v>349</v>
      </c>
      <c r="F106" s="23" t="s">
        <v>358</v>
      </c>
      <c r="G106" s="69" t="s">
        <v>36</v>
      </c>
      <c r="H106" s="33" t="s">
        <v>350</v>
      </c>
      <c r="I106" s="23"/>
      <c r="J106" s="23"/>
      <c r="K106" s="23"/>
      <c r="L106" s="23"/>
      <c r="M106" s="23"/>
      <c r="N106" s="22"/>
      <c r="O106" s="23"/>
      <c r="P106" s="23"/>
      <c r="Q106" s="23"/>
      <c r="R106" s="4"/>
      <c r="S106" s="23">
        <v>0</v>
      </c>
      <c r="T106" s="23">
        <v>0</v>
      </c>
      <c r="U106" s="23">
        <v>0</v>
      </c>
      <c r="V106" s="5">
        <v>0</v>
      </c>
      <c r="W106" s="39"/>
      <c r="X106" s="22"/>
      <c r="Y106" s="41"/>
    </row>
    <row r="107" spans="1:25" ht="13.95" customHeight="1">
      <c r="A107" s="23" t="s">
        <v>348</v>
      </c>
      <c r="B107" s="23" t="s">
        <v>238</v>
      </c>
      <c r="C107" s="23" t="s">
        <v>73</v>
      </c>
      <c r="D107" s="23" t="str">
        <f t="shared" si="1"/>
        <v>Autoimmune</v>
      </c>
      <c r="E107" s="32" t="s">
        <v>349</v>
      </c>
      <c r="F107" s="23" t="s">
        <v>359</v>
      </c>
      <c r="G107" s="69" t="s">
        <v>36</v>
      </c>
      <c r="H107" s="33" t="s">
        <v>350</v>
      </c>
      <c r="I107" s="23"/>
      <c r="J107" s="23"/>
      <c r="K107" s="23"/>
      <c r="L107" s="23"/>
      <c r="M107" s="23"/>
      <c r="N107" s="22"/>
      <c r="O107" s="23"/>
      <c r="P107" s="23"/>
      <c r="Q107" s="23"/>
      <c r="R107" s="4"/>
      <c r="S107" s="23">
        <v>0</v>
      </c>
      <c r="T107" s="23">
        <v>0</v>
      </c>
      <c r="U107" s="23">
        <v>0</v>
      </c>
      <c r="V107" s="5">
        <v>0</v>
      </c>
      <c r="W107" s="39"/>
      <c r="X107" s="22"/>
      <c r="Y107" s="41"/>
    </row>
    <row r="108" spans="1:25" ht="13.95" customHeight="1">
      <c r="A108" s="23" t="s">
        <v>348</v>
      </c>
      <c r="B108" s="23" t="s">
        <v>238</v>
      </c>
      <c r="C108" s="23" t="s">
        <v>73</v>
      </c>
      <c r="D108" s="23" t="str">
        <f t="shared" si="1"/>
        <v>Autoimmune</v>
      </c>
      <c r="E108" s="32" t="s">
        <v>349</v>
      </c>
      <c r="F108" s="23" t="s">
        <v>360</v>
      </c>
      <c r="G108" s="69" t="s">
        <v>36</v>
      </c>
      <c r="H108" s="33" t="s">
        <v>350</v>
      </c>
      <c r="I108" s="23"/>
      <c r="J108" s="23"/>
      <c r="K108" s="23"/>
      <c r="L108" s="23"/>
      <c r="M108" s="23"/>
      <c r="N108" s="22"/>
      <c r="O108" s="23"/>
      <c r="P108" s="23"/>
      <c r="Q108" s="23"/>
      <c r="R108" s="4"/>
      <c r="S108" s="23">
        <v>0</v>
      </c>
      <c r="T108" s="23">
        <v>0</v>
      </c>
      <c r="U108" s="23">
        <v>0</v>
      </c>
      <c r="V108" s="5">
        <v>0</v>
      </c>
      <c r="W108" s="39"/>
      <c r="X108" s="22"/>
      <c r="Y108" s="41"/>
    </row>
    <row r="109" spans="1:25" ht="13.95" customHeight="1">
      <c r="A109" s="23" t="s">
        <v>348</v>
      </c>
      <c r="B109" s="23" t="s">
        <v>238</v>
      </c>
      <c r="C109" s="23" t="s">
        <v>73</v>
      </c>
      <c r="D109" s="23" t="str">
        <f t="shared" si="1"/>
        <v>Autoimmune</v>
      </c>
      <c r="E109" s="32" t="s">
        <v>349</v>
      </c>
      <c r="F109" s="23" t="s">
        <v>361</v>
      </c>
      <c r="G109" s="69" t="s">
        <v>52</v>
      </c>
      <c r="H109" s="33">
        <v>722872000</v>
      </c>
      <c r="I109" s="23">
        <v>36716715</v>
      </c>
      <c r="J109" s="22"/>
      <c r="K109" s="2" t="s">
        <v>352</v>
      </c>
      <c r="L109" s="2" t="s">
        <v>353</v>
      </c>
      <c r="M109" s="9" t="s">
        <v>78</v>
      </c>
      <c r="N109" s="22" t="s">
        <v>357</v>
      </c>
      <c r="O109" s="23" t="s">
        <v>354</v>
      </c>
      <c r="P109" s="23">
        <v>4.5999999999999996</v>
      </c>
      <c r="Q109" s="23"/>
      <c r="R109" s="4">
        <v>100000</v>
      </c>
      <c r="S109" s="4">
        <f>+(P109/R109)*[1]Population!$C$2</f>
        <v>15331.799999999997</v>
      </c>
      <c r="T109" s="4">
        <f>IF(ISBLANK(Q109),S109,+(Q109/R109)*[1]Population!$C$2)</f>
        <v>15331.799999999997</v>
      </c>
      <c r="U109" s="1">
        <f>+AVERAGE(S109:T109)</f>
        <v>15331.799999999997</v>
      </c>
      <c r="V109" s="5">
        <f>+(U109/[1]Population!$C$2)*100000</f>
        <v>4.5999999999999996</v>
      </c>
      <c r="W109" s="23" t="s">
        <v>355</v>
      </c>
      <c r="X109" s="22" t="s">
        <v>356</v>
      </c>
      <c r="Y109" s="41"/>
    </row>
    <row r="110" spans="1:25" ht="13.95" customHeight="1">
      <c r="A110" s="23" t="s">
        <v>348</v>
      </c>
      <c r="B110" s="23" t="s">
        <v>238</v>
      </c>
      <c r="C110" s="23" t="s">
        <v>73</v>
      </c>
      <c r="D110" s="23" t="str">
        <f t="shared" si="1"/>
        <v>Autoimmune</v>
      </c>
      <c r="E110" s="32" t="s">
        <v>349</v>
      </c>
      <c r="F110" s="23" t="s">
        <v>362</v>
      </c>
      <c r="G110" s="69" t="s">
        <v>52</v>
      </c>
      <c r="H110" s="33">
        <v>1197740007</v>
      </c>
      <c r="I110" s="23">
        <v>37162896</v>
      </c>
      <c r="J110" s="23"/>
      <c r="K110" s="23"/>
      <c r="L110" s="23"/>
      <c r="M110" s="23"/>
      <c r="N110" s="22"/>
      <c r="O110" s="23"/>
      <c r="P110" s="23"/>
      <c r="Q110" s="23"/>
      <c r="R110" s="4"/>
      <c r="S110" s="23">
        <v>0</v>
      </c>
      <c r="T110" s="23">
        <v>0</v>
      </c>
      <c r="U110" s="23">
        <v>0</v>
      </c>
      <c r="V110" s="5">
        <v>0</v>
      </c>
      <c r="W110" s="39"/>
      <c r="X110" s="22"/>
      <c r="Y110" s="41"/>
    </row>
    <row r="111" spans="1:25" ht="13.95" customHeight="1">
      <c r="A111" s="23" t="s">
        <v>21</v>
      </c>
      <c r="B111" s="23" t="s">
        <v>226</v>
      </c>
      <c r="C111" s="23" t="s">
        <v>73</v>
      </c>
      <c r="D111" s="23" t="str">
        <f t="shared" si="1"/>
        <v>Autoimmune</v>
      </c>
      <c r="E111" s="32" t="s">
        <v>363</v>
      </c>
      <c r="F111" s="23" t="s">
        <v>364</v>
      </c>
      <c r="G111" s="69" t="s">
        <v>34</v>
      </c>
      <c r="H111" s="33">
        <v>838551007</v>
      </c>
      <c r="I111" s="23"/>
      <c r="J111" s="23"/>
      <c r="K111" s="23"/>
      <c r="L111" s="23"/>
      <c r="M111" s="23"/>
      <c r="N111" s="22"/>
      <c r="O111" s="23"/>
      <c r="P111" s="23"/>
      <c r="Q111" s="23"/>
      <c r="R111" s="4"/>
      <c r="S111" s="23">
        <v>0</v>
      </c>
      <c r="T111" s="23">
        <v>0</v>
      </c>
      <c r="U111" s="23">
        <v>0</v>
      </c>
      <c r="V111" s="5">
        <v>0</v>
      </c>
      <c r="W111" s="39"/>
      <c r="X111" s="22"/>
      <c r="Y111" s="41"/>
    </row>
    <row r="112" spans="1:25" ht="13.95" customHeight="1">
      <c r="A112" s="23" t="s">
        <v>21</v>
      </c>
      <c r="B112" s="23" t="s">
        <v>226</v>
      </c>
      <c r="C112" s="23" t="s">
        <v>73</v>
      </c>
      <c r="D112" s="23" t="str">
        <f t="shared" si="1"/>
        <v>Autoimmune</v>
      </c>
      <c r="E112" s="32" t="s">
        <v>363</v>
      </c>
      <c r="F112" s="23" t="s">
        <v>363</v>
      </c>
      <c r="G112" s="69" t="s">
        <v>25</v>
      </c>
      <c r="H112" s="33">
        <v>838551007</v>
      </c>
      <c r="I112" s="23">
        <v>3661498</v>
      </c>
      <c r="J112" s="22" t="s">
        <v>365</v>
      </c>
      <c r="K112" s="2" t="s">
        <v>366</v>
      </c>
      <c r="L112" s="2" t="s">
        <v>367</v>
      </c>
      <c r="M112" s="23" t="s">
        <v>78</v>
      </c>
      <c r="N112" s="22" t="s">
        <v>261</v>
      </c>
      <c r="O112" s="11" t="s">
        <v>258</v>
      </c>
      <c r="P112" s="23"/>
      <c r="Q112" s="23"/>
      <c r="R112" s="4">
        <v>0</v>
      </c>
      <c r="S112" s="11">
        <v>50</v>
      </c>
      <c r="T112" s="11">
        <v>50</v>
      </c>
      <c r="U112" s="1">
        <f>+AVERAGE(S112:T112)</f>
        <v>50</v>
      </c>
      <c r="V112" s="5">
        <f>+(U112/[1]Population!$C$2)*100000</f>
        <v>1.5001500150015001E-2</v>
      </c>
      <c r="W112" s="23"/>
      <c r="X112" s="22" t="s">
        <v>368</v>
      </c>
      <c r="Y112" s="41"/>
    </row>
    <row r="113" spans="1:25" ht="13.95" customHeight="1">
      <c r="A113" s="23" t="s">
        <v>49</v>
      </c>
      <c r="B113" s="23" t="s">
        <v>22</v>
      </c>
      <c r="C113" s="23" t="s">
        <v>73</v>
      </c>
      <c r="D113" s="23" t="str">
        <f t="shared" si="1"/>
        <v>Autoimmune</v>
      </c>
      <c r="E113" s="32" t="s">
        <v>369</v>
      </c>
      <c r="F113" s="23" t="s">
        <v>369</v>
      </c>
      <c r="G113" s="69" t="s">
        <v>25</v>
      </c>
      <c r="H113" s="33">
        <v>724809006</v>
      </c>
      <c r="I113" s="49">
        <v>37110540</v>
      </c>
      <c r="J113" s="22" t="s">
        <v>370</v>
      </c>
      <c r="K113" s="2" t="s">
        <v>371</v>
      </c>
      <c r="L113" s="2" t="s">
        <v>372</v>
      </c>
      <c r="M113" s="23" t="s">
        <v>78</v>
      </c>
      <c r="N113" s="22" t="s">
        <v>261</v>
      </c>
      <c r="O113" s="11" t="s">
        <v>373</v>
      </c>
      <c r="P113" s="23"/>
      <c r="Q113" s="23"/>
      <c r="R113" s="4">
        <v>0</v>
      </c>
      <c r="S113" s="11">
        <v>50</v>
      </c>
      <c r="T113" s="11">
        <v>50</v>
      </c>
      <c r="U113" s="1">
        <f>+AVERAGE(S113:T113)</f>
        <v>50</v>
      </c>
      <c r="V113" s="5">
        <f>+(U113/[1]Population!$C$2)*100000</f>
        <v>1.5001500150015001E-2</v>
      </c>
      <c r="W113" s="23"/>
      <c r="X113" s="22" t="s">
        <v>374</v>
      </c>
      <c r="Y113" s="41"/>
    </row>
    <row r="114" spans="1:25" ht="13.95" customHeight="1">
      <c r="A114" s="23" t="s">
        <v>49</v>
      </c>
      <c r="B114" s="23" t="s">
        <v>218</v>
      </c>
      <c r="C114" s="23" t="s">
        <v>73</v>
      </c>
      <c r="D114" s="23" t="str">
        <f t="shared" si="1"/>
        <v>Autoimmune</v>
      </c>
      <c r="E114" s="23" t="s">
        <v>375</v>
      </c>
      <c r="F114" s="23" t="s">
        <v>375</v>
      </c>
      <c r="G114" s="69" t="s">
        <v>25</v>
      </c>
      <c r="H114" s="33">
        <v>231981005</v>
      </c>
      <c r="I114" s="49">
        <v>4334133</v>
      </c>
      <c r="J114" s="23" t="s">
        <v>376</v>
      </c>
      <c r="K114" s="23"/>
      <c r="L114" s="23"/>
      <c r="M114" s="23"/>
      <c r="N114" s="22"/>
      <c r="O114" s="23"/>
      <c r="P114" s="23"/>
      <c r="Q114" s="23"/>
      <c r="R114" s="4"/>
      <c r="S114" s="23">
        <v>0</v>
      </c>
      <c r="T114" s="23">
        <v>0</v>
      </c>
      <c r="U114" s="23">
        <v>0</v>
      </c>
      <c r="V114" s="5">
        <v>0</v>
      </c>
      <c r="W114" s="39"/>
      <c r="X114" s="22"/>
      <c r="Y114" s="41"/>
    </row>
    <row r="115" spans="1:25" ht="13.95" customHeight="1">
      <c r="A115" s="23" t="s">
        <v>49</v>
      </c>
      <c r="B115" s="23" t="s">
        <v>218</v>
      </c>
      <c r="C115" s="23" t="s">
        <v>73</v>
      </c>
      <c r="D115" s="23" t="str">
        <f t="shared" si="1"/>
        <v>Autoimmune</v>
      </c>
      <c r="E115" s="23" t="s">
        <v>375</v>
      </c>
      <c r="F115" s="23" t="s">
        <v>377</v>
      </c>
      <c r="G115" s="69" t="s">
        <v>36</v>
      </c>
      <c r="H115" s="33">
        <v>231981005</v>
      </c>
      <c r="I115" s="49">
        <v>4334133</v>
      </c>
      <c r="J115" s="23"/>
      <c r="K115" s="23"/>
      <c r="L115" s="23"/>
      <c r="M115" s="23"/>
      <c r="N115" s="22"/>
      <c r="O115" s="23"/>
      <c r="P115" s="23"/>
      <c r="Q115" s="23"/>
      <c r="R115" s="4"/>
      <c r="S115" s="23">
        <v>0</v>
      </c>
      <c r="T115" s="23">
        <v>0</v>
      </c>
      <c r="U115" s="23">
        <v>0</v>
      </c>
      <c r="V115" s="5">
        <v>0</v>
      </c>
      <c r="W115" s="39"/>
      <c r="X115" s="22"/>
      <c r="Y115" s="41"/>
    </row>
    <row r="116" spans="1:25" ht="13.95" customHeight="1">
      <c r="A116" s="23" t="s">
        <v>49</v>
      </c>
      <c r="B116" s="23" t="s">
        <v>218</v>
      </c>
      <c r="C116" s="23" t="s">
        <v>73</v>
      </c>
      <c r="D116" s="23" t="str">
        <f t="shared" si="1"/>
        <v>Autoimmune</v>
      </c>
      <c r="E116" s="23" t="s">
        <v>375</v>
      </c>
      <c r="F116" s="23" t="s">
        <v>378</v>
      </c>
      <c r="G116" s="69" t="s">
        <v>36</v>
      </c>
      <c r="H116" s="33">
        <v>231981005</v>
      </c>
      <c r="I116" s="49">
        <v>4334133</v>
      </c>
      <c r="J116" s="23"/>
      <c r="K116" s="23"/>
      <c r="L116" s="23"/>
      <c r="M116" s="23"/>
      <c r="N116" s="22"/>
      <c r="O116" s="23"/>
      <c r="P116" s="23"/>
      <c r="Q116" s="23"/>
      <c r="R116" s="4"/>
      <c r="S116" s="23">
        <v>0</v>
      </c>
      <c r="T116" s="23">
        <v>0</v>
      </c>
      <c r="U116" s="23">
        <v>0</v>
      </c>
      <c r="V116" s="5">
        <v>0</v>
      </c>
      <c r="W116" s="39"/>
      <c r="X116" s="22"/>
      <c r="Y116" s="41"/>
    </row>
    <row r="117" spans="1:25" ht="13.95" customHeight="1">
      <c r="A117" s="23" t="s">
        <v>98</v>
      </c>
      <c r="B117" s="23" t="s">
        <v>22</v>
      </c>
      <c r="C117" s="23" t="s">
        <v>73</v>
      </c>
      <c r="D117" s="23" t="str">
        <f t="shared" si="1"/>
        <v>Autoimmune</v>
      </c>
      <c r="E117" s="32" t="s">
        <v>379</v>
      </c>
      <c r="F117" s="21" t="s">
        <v>380</v>
      </c>
      <c r="G117" s="69" t="s">
        <v>36</v>
      </c>
      <c r="H117" s="33">
        <v>21983002</v>
      </c>
      <c r="I117" s="49">
        <v>135215</v>
      </c>
      <c r="J117" s="22"/>
      <c r="K117" s="23"/>
      <c r="L117" s="23"/>
      <c r="M117" s="23"/>
      <c r="N117" s="22"/>
      <c r="O117" s="23"/>
      <c r="P117" s="23"/>
      <c r="Q117" s="23"/>
      <c r="R117" s="4"/>
      <c r="S117" s="23">
        <v>0</v>
      </c>
      <c r="T117" s="23">
        <v>0</v>
      </c>
      <c r="U117" s="23">
        <v>0</v>
      </c>
      <c r="V117" s="5">
        <v>0</v>
      </c>
      <c r="W117" s="39"/>
      <c r="X117" s="22"/>
      <c r="Y117" s="41"/>
    </row>
    <row r="118" spans="1:25" ht="13.95" customHeight="1">
      <c r="A118" s="23" t="s">
        <v>98</v>
      </c>
      <c r="B118" s="23" t="s">
        <v>22</v>
      </c>
      <c r="C118" s="23" t="s">
        <v>73</v>
      </c>
      <c r="D118" s="23" t="str">
        <f t="shared" si="1"/>
        <v>Autoimmune</v>
      </c>
      <c r="E118" s="32" t="s">
        <v>379</v>
      </c>
      <c r="F118" s="23" t="s">
        <v>381</v>
      </c>
      <c r="G118" s="69" t="s">
        <v>36</v>
      </c>
      <c r="H118" s="33">
        <v>21983002</v>
      </c>
      <c r="I118" s="23"/>
      <c r="J118" s="23"/>
      <c r="K118" s="23"/>
      <c r="L118" s="23"/>
      <c r="M118" s="23"/>
      <c r="N118" s="22"/>
      <c r="O118" s="23"/>
      <c r="P118" s="23"/>
      <c r="Q118" s="23"/>
      <c r="R118" s="4"/>
      <c r="S118" s="23">
        <v>0</v>
      </c>
      <c r="T118" s="23">
        <v>0</v>
      </c>
      <c r="U118" s="23">
        <v>0</v>
      </c>
      <c r="V118" s="5">
        <v>0</v>
      </c>
      <c r="W118" s="39"/>
      <c r="X118" s="22"/>
      <c r="Y118" s="41"/>
    </row>
    <row r="119" spans="1:25" ht="13.95" customHeight="1">
      <c r="A119" s="23" t="s">
        <v>98</v>
      </c>
      <c r="B119" s="23" t="s">
        <v>22</v>
      </c>
      <c r="C119" s="23" t="s">
        <v>73</v>
      </c>
      <c r="D119" s="23" t="str">
        <f t="shared" si="1"/>
        <v>Autoimmune</v>
      </c>
      <c r="E119" s="32" t="s">
        <v>379</v>
      </c>
      <c r="F119" s="21" t="s">
        <v>382</v>
      </c>
      <c r="G119" s="69" t="s">
        <v>52</v>
      </c>
      <c r="H119" s="33">
        <v>21983002</v>
      </c>
      <c r="I119" s="23">
        <v>135215</v>
      </c>
      <c r="J119" s="22"/>
      <c r="K119" s="23"/>
      <c r="L119" s="23"/>
      <c r="M119" s="23"/>
      <c r="N119" s="22"/>
      <c r="O119" s="23"/>
      <c r="P119" s="23"/>
      <c r="Q119" s="23"/>
      <c r="R119" s="4"/>
      <c r="S119" s="23">
        <v>0</v>
      </c>
      <c r="T119" s="23">
        <v>0</v>
      </c>
      <c r="U119" s="23">
        <v>0</v>
      </c>
      <c r="V119" s="5">
        <v>0</v>
      </c>
      <c r="W119" s="39"/>
      <c r="X119" s="22"/>
      <c r="Y119" s="41"/>
    </row>
    <row r="120" spans="1:25" ht="13.95" customHeight="1">
      <c r="A120" s="23" t="s">
        <v>98</v>
      </c>
      <c r="B120" s="23" t="s">
        <v>22</v>
      </c>
      <c r="C120" s="23" t="s">
        <v>73</v>
      </c>
      <c r="D120" s="23" t="str">
        <f t="shared" si="1"/>
        <v>Autoimmune</v>
      </c>
      <c r="E120" s="32" t="s">
        <v>379</v>
      </c>
      <c r="F120" s="23" t="s">
        <v>379</v>
      </c>
      <c r="G120" s="69" t="s">
        <v>25</v>
      </c>
      <c r="H120" s="33" t="s">
        <v>383</v>
      </c>
      <c r="I120" s="23">
        <v>4281109</v>
      </c>
      <c r="J120" s="22" t="s">
        <v>384</v>
      </c>
      <c r="K120" s="2" t="s">
        <v>385</v>
      </c>
      <c r="L120" s="2" t="s">
        <v>386</v>
      </c>
      <c r="M120" s="9" t="s">
        <v>78</v>
      </c>
      <c r="N120" s="22" t="s">
        <v>388</v>
      </c>
      <c r="O120" s="4"/>
      <c r="P120" s="23">
        <v>0.52</v>
      </c>
      <c r="Q120" s="23">
        <v>0.57999999999999996</v>
      </c>
      <c r="R120" s="4">
        <v>100</v>
      </c>
      <c r="S120" s="4">
        <f>+(P120/R120)*[1]Population!$C$2</f>
        <v>1733160</v>
      </c>
      <c r="T120" s="4">
        <f>IF(ISBLANK(Q120),S120,+(Q120/R120)*[1]Population!$C$2)</f>
        <v>1933139.9999999998</v>
      </c>
      <c r="U120" s="1">
        <f>+AVERAGE(S120:T120)</f>
        <v>1833150</v>
      </c>
      <c r="V120" s="5">
        <f>+(U120/[1]Population!$C$2)*100000</f>
        <v>550</v>
      </c>
      <c r="W120" s="23"/>
      <c r="X120" s="22" t="s">
        <v>387</v>
      </c>
      <c r="Y120" s="41"/>
    </row>
    <row r="121" spans="1:25" ht="13.95" customHeight="1">
      <c r="A121" s="23" t="s">
        <v>98</v>
      </c>
      <c r="B121" s="23" t="s">
        <v>22</v>
      </c>
      <c r="C121" s="23" t="s">
        <v>73</v>
      </c>
      <c r="D121" s="23" t="str">
        <f t="shared" si="1"/>
        <v>Autoimmune</v>
      </c>
      <c r="E121" s="32" t="s">
        <v>379</v>
      </c>
      <c r="F121" s="23" t="s">
        <v>379</v>
      </c>
      <c r="G121" s="69" t="s">
        <v>389</v>
      </c>
      <c r="H121" s="33" t="s">
        <v>383</v>
      </c>
      <c r="I121" s="23">
        <v>4034815</v>
      </c>
      <c r="J121" s="22"/>
      <c r="K121" s="39"/>
      <c r="L121" s="39"/>
      <c r="M121" s="9"/>
      <c r="N121" s="22"/>
      <c r="O121" s="11"/>
      <c r="P121" s="23"/>
      <c r="Q121" s="23"/>
      <c r="R121" s="50"/>
      <c r="S121" s="23">
        <v>0</v>
      </c>
      <c r="T121" s="23">
        <v>0</v>
      </c>
      <c r="U121" s="23">
        <v>0</v>
      </c>
      <c r="V121" s="5">
        <v>0</v>
      </c>
      <c r="W121" s="23"/>
      <c r="X121" s="22"/>
      <c r="Y121" s="41"/>
    </row>
    <row r="122" spans="1:25" ht="13.95" customHeight="1">
      <c r="A122" s="23" t="s">
        <v>98</v>
      </c>
      <c r="B122" s="23" t="s">
        <v>22</v>
      </c>
      <c r="C122" s="23" t="s">
        <v>73</v>
      </c>
      <c r="D122" s="23" t="str">
        <f t="shared" si="1"/>
        <v>Autoimmune</v>
      </c>
      <c r="E122" s="32" t="s">
        <v>379</v>
      </c>
      <c r="F122" s="23" t="s">
        <v>379</v>
      </c>
      <c r="G122" s="69" t="s">
        <v>389</v>
      </c>
      <c r="H122" s="33" t="s">
        <v>383</v>
      </c>
      <c r="I122" s="23">
        <v>4130018</v>
      </c>
      <c r="J122" s="22"/>
      <c r="K122" s="2" t="s">
        <v>385</v>
      </c>
      <c r="L122" s="2" t="s">
        <v>386</v>
      </c>
      <c r="M122" s="9" t="s">
        <v>78</v>
      </c>
      <c r="N122" s="22" t="s">
        <v>388</v>
      </c>
      <c r="O122" s="4"/>
      <c r="P122" s="23">
        <v>0.52</v>
      </c>
      <c r="Q122" s="23">
        <v>0.57999999999999996</v>
      </c>
      <c r="R122" s="4">
        <v>100</v>
      </c>
      <c r="S122" s="4">
        <f>+(P122/R122)*[1]Population!$C$2</f>
        <v>1733160</v>
      </c>
      <c r="T122" s="4">
        <f>IF(ISBLANK(Q122),S122,+(Q122/R122)*[1]Population!$C$2)</f>
        <v>1933139.9999999998</v>
      </c>
      <c r="U122" s="1">
        <f>+AVERAGE(S122:T122)</f>
        <v>1833150</v>
      </c>
      <c r="V122" s="5">
        <f>+(U122/[1]Population!$C$2)*100000</f>
        <v>550</v>
      </c>
      <c r="W122" s="23"/>
      <c r="X122" s="22" t="s">
        <v>387</v>
      </c>
      <c r="Y122" s="41"/>
    </row>
    <row r="123" spans="1:25" ht="13.95" customHeight="1">
      <c r="A123" s="23" t="s">
        <v>98</v>
      </c>
      <c r="B123" s="23" t="s">
        <v>22</v>
      </c>
      <c r="C123" s="23" t="s">
        <v>73</v>
      </c>
      <c r="D123" s="23" t="str">
        <f t="shared" si="1"/>
        <v>Autoimmune</v>
      </c>
      <c r="E123" s="32" t="s">
        <v>379</v>
      </c>
      <c r="F123" s="23" t="s">
        <v>390</v>
      </c>
      <c r="G123" s="69" t="s">
        <v>36</v>
      </c>
      <c r="H123" s="33" t="s">
        <v>383</v>
      </c>
      <c r="I123" s="23"/>
      <c r="J123" s="23"/>
      <c r="K123" s="23"/>
      <c r="L123" s="23"/>
      <c r="M123" s="23"/>
      <c r="N123" s="22"/>
      <c r="O123" s="23"/>
      <c r="P123" s="23"/>
      <c r="Q123" s="23"/>
      <c r="R123" s="4"/>
      <c r="S123" s="23">
        <v>0</v>
      </c>
      <c r="T123" s="23">
        <v>0</v>
      </c>
      <c r="U123" s="23">
        <v>0</v>
      </c>
      <c r="V123" s="5">
        <v>0</v>
      </c>
      <c r="W123" s="39"/>
      <c r="X123" s="22"/>
      <c r="Y123" s="41"/>
    </row>
    <row r="124" spans="1:25" ht="13.95" customHeight="1">
      <c r="A124" s="23" t="s">
        <v>98</v>
      </c>
      <c r="B124" s="23" t="s">
        <v>22</v>
      </c>
      <c r="C124" s="23" t="s">
        <v>73</v>
      </c>
      <c r="D124" s="23" t="str">
        <f t="shared" si="1"/>
        <v>Autoimmune</v>
      </c>
      <c r="E124" s="32" t="s">
        <v>379</v>
      </c>
      <c r="F124" s="23" t="s">
        <v>391</v>
      </c>
      <c r="G124" s="69" t="s">
        <v>36</v>
      </c>
      <c r="H124" s="33">
        <v>21983002</v>
      </c>
      <c r="I124" s="23"/>
      <c r="J124" s="23"/>
      <c r="K124" s="23"/>
      <c r="L124" s="23"/>
      <c r="M124" s="23"/>
      <c r="N124" s="22"/>
      <c r="O124" s="23"/>
      <c r="P124" s="23"/>
      <c r="Q124" s="23"/>
      <c r="R124" s="4"/>
      <c r="S124" s="23">
        <v>0</v>
      </c>
      <c r="T124" s="23">
        <v>0</v>
      </c>
      <c r="U124" s="23">
        <v>0</v>
      </c>
      <c r="V124" s="5">
        <v>0</v>
      </c>
      <c r="W124" s="39"/>
      <c r="X124" s="22"/>
      <c r="Y124" s="41"/>
    </row>
    <row r="125" spans="1:25" ht="13.95" customHeight="1">
      <c r="A125" s="23" t="s">
        <v>21</v>
      </c>
      <c r="B125" s="23" t="s">
        <v>22</v>
      </c>
      <c r="C125" s="23" t="s">
        <v>73</v>
      </c>
      <c r="D125" s="23" t="str">
        <f t="shared" si="1"/>
        <v>Autoimmune</v>
      </c>
      <c r="E125" s="32" t="s">
        <v>392</v>
      </c>
      <c r="F125" s="23" t="s">
        <v>392</v>
      </c>
      <c r="G125" s="69" t="s">
        <v>25</v>
      </c>
      <c r="H125" s="33">
        <v>402397006</v>
      </c>
      <c r="I125" s="23">
        <v>4224623</v>
      </c>
      <c r="J125" s="22" t="s">
        <v>393</v>
      </c>
      <c r="K125" s="2" t="s">
        <v>394</v>
      </c>
      <c r="L125" s="2" t="s">
        <v>395</v>
      </c>
      <c r="M125" s="9" t="s">
        <v>78</v>
      </c>
      <c r="N125" s="22" t="s">
        <v>398</v>
      </c>
      <c r="O125" s="4"/>
      <c r="P125" s="23">
        <v>800</v>
      </c>
      <c r="Q125" s="23"/>
      <c r="R125" s="4">
        <v>100000</v>
      </c>
      <c r="S125" s="4">
        <f>+(P125/R125)*[1]Population!$C$2</f>
        <v>2666400</v>
      </c>
      <c r="T125" s="4">
        <f>IF(ISBLANK(Q125),S125,+(Q125/R125)*[1]Population!$C$2)</f>
        <v>2666400</v>
      </c>
      <c r="U125" s="1">
        <f>+AVERAGE(S125:T125)</f>
        <v>2666400</v>
      </c>
      <c r="V125" s="5">
        <f>+(U125/[1]Population!$C$2)*100000</f>
        <v>800</v>
      </c>
      <c r="W125" s="23" t="s">
        <v>396</v>
      </c>
      <c r="X125" s="22" t="s">
        <v>397</v>
      </c>
      <c r="Y125" s="41"/>
    </row>
    <row r="126" spans="1:25" ht="13.95" customHeight="1">
      <c r="A126" s="23" t="s">
        <v>21</v>
      </c>
      <c r="B126" s="23" t="s">
        <v>22</v>
      </c>
      <c r="C126" s="23" t="s">
        <v>73</v>
      </c>
      <c r="D126" s="23" t="str">
        <f t="shared" si="1"/>
        <v>Autoimmune</v>
      </c>
      <c r="E126" s="32" t="s">
        <v>392</v>
      </c>
      <c r="F126" s="23" t="s">
        <v>399</v>
      </c>
      <c r="G126" s="69" t="s">
        <v>36</v>
      </c>
      <c r="H126" s="33">
        <v>402397006</v>
      </c>
      <c r="I126" s="23"/>
      <c r="J126" s="23"/>
      <c r="K126" s="23"/>
      <c r="L126" s="23"/>
      <c r="M126" s="23"/>
      <c r="N126" s="22"/>
      <c r="O126" s="23"/>
      <c r="P126" s="23"/>
      <c r="Q126" s="23"/>
      <c r="R126" s="4"/>
      <c r="S126" s="23">
        <v>0</v>
      </c>
      <c r="T126" s="23">
        <v>0</v>
      </c>
      <c r="U126" s="23">
        <v>0</v>
      </c>
      <c r="V126" s="5">
        <v>0</v>
      </c>
      <c r="W126" s="39"/>
      <c r="X126" s="22"/>
      <c r="Y126" s="41"/>
    </row>
    <row r="127" spans="1:25" ht="13.95" customHeight="1">
      <c r="A127" s="23" t="s">
        <v>21</v>
      </c>
      <c r="B127" s="23" t="s">
        <v>22</v>
      </c>
      <c r="C127" s="23" t="s">
        <v>73</v>
      </c>
      <c r="D127" s="23" t="str">
        <f t="shared" si="1"/>
        <v>Autoimmune</v>
      </c>
      <c r="E127" s="32" t="s">
        <v>392</v>
      </c>
      <c r="F127" s="23" t="s">
        <v>400</v>
      </c>
      <c r="G127" s="69" t="s">
        <v>36</v>
      </c>
      <c r="H127" s="33">
        <v>402397006</v>
      </c>
      <c r="I127" s="23"/>
      <c r="J127" s="23"/>
      <c r="K127" s="23"/>
      <c r="L127" s="23"/>
      <c r="M127" s="23"/>
      <c r="N127" s="22"/>
      <c r="O127" s="23"/>
      <c r="P127" s="23"/>
      <c r="Q127" s="23"/>
      <c r="R127" s="4"/>
      <c r="S127" s="23">
        <v>0</v>
      </c>
      <c r="T127" s="23">
        <v>0</v>
      </c>
      <c r="U127" s="23">
        <v>0</v>
      </c>
      <c r="V127" s="5">
        <v>0</v>
      </c>
      <c r="W127" s="39"/>
      <c r="X127" s="22"/>
      <c r="Y127" s="41"/>
    </row>
    <row r="128" spans="1:25" ht="13.95" customHeight="1">
      <c r="A128" s="23" t="s">
        <v>21</v>
      </c>
      <c r="B128" s="23" t="s">
        <v>22</v>
      </c>
      <c r="C128" s="23" t="s">
        <v>73</v>
      </c>
      <c r="D128" s="23" t="str">
        <f t="shared" si="1"/>
        <v>Autoimmune</v>
      </c>
      <c r="E128" s="32" t="s">
        <v>392</v>
      </c>
      <c r="F128" s="23" t="s">
        <v>401</v>
      </c>
      <c r="G128" s="69" t="s">
        <v>36</v>
      </c>
      <c r="H128" s="33">
        <v>402397006</v>
      </c>
      <c r="I128" s="23"/>
      <c r="J128" s="23"/>
      <c r="K128" s="23"/>
      <c r="L128" s="23"/>
      <c r="M128" s="23"/>
      <c r="N128" s="22"/>
      <c r="O128" s="23"/>
      <c r="P128" s="23"/>
      <c r="Q128" s="23"/>
      <c r="R128" s="4"/>
      <c r="S128" s="23">
        <v>0</v>
      </c>
      <c r="T128" s="23">
        <v>0</v>
      </c>
      <c r="U128" s="23">
        <v>0</v>
      </c>
      <c r="V128" s="5">
        <v>0</v>
      </c>
      <c r="W128" s="39"/>
      <c r="X128" s="22"/>
      <c r="Y128" s="41"/>
    </row>
    <row r="129" spans="1:25" ht="13.95" customHeight="1">
      <c r="A129" s="23" t="s">
        <v>21</v>
      </c>
      <c r="B129" s="23" t="s">
        <v>22</v>
      </c>
      <c r="C129" s="23" t="s">
        <v>73</v>
      </c>
      <c r="D129" s="23" t="str">
        <f t="shared" si="1"/>
        <v>Autoimmune</v>
      </c>
      <c r="E129" s="32" t="s">
        <v>402</v>
      </c>
      <c r="F129" s="23" t="s">
        <v>402</v>
      </c>
      <c r="G129" s="69" t="s">
        <v>25</v>
      </c>
      <c r="H129" s="33">
        <v>402402005</v>
      </c>
      <c r="I129" s="23">
        <v>4221673</v>
      </c>
      <c r="J129" s="22" t="s">
        <v>403</v>
      </c>
      <c r="K129" s="2" t="s">
        <v>404</v>
      </c>
      <c r="L129" s="2" t="s">
        <v>405</v>
      </c>
      <c r="M129" s="9" t="s">
        <v>78</v>
      </c>
      <c r="N129" s="22" t="s">
        <v>398</v>
      </c>
      <c r="O129" s="4"/>
      <c r="P129" s="23">
        <v>800</v>
      </c>
      <c r="Q129" s="23"/>
      <c r="R129" s="4">
        <v>100000</v>
      </c>
      <c r="S129" s="4">
        <f>+(P129/R129)*[1]Population!$C$2</f>
        <v>2666400</v>
      </c>
      <c r="T129" s="4">
        <f>IF(ISBLANK(Q129),S129,+(Q129/R129)*[1]Population!$C$2)</f>
        <v>2666400</v>
      </c>
      <c r="U129" s="1">
        <f>+AVERAGE(S129:T129)</f>
        <v>2666400</v>
      </c>
      <c r="V129" s="5">
        <f>+(U129/[1]Population!$C$2)*100000</f>
        <v>800</v>
      </c>
      <c r="W129" s="23" t="s">
        <v>396</v>
      </c>
      <c r="X129" s="22" t="s">
        <v>397</v>
      </c>
      <c r="Y129" s="41"/>
    </row>
    <row r="130" spans="1:25" ht="13.95" customHeight="1">
      <c r="A130" s="23" t="s">
        <v>72</v>
      </c>
      <c r="B130" s="23" t="s">
        <v>22</v>
      </c>
      <c r="C130" s="23" t="s">
        <v>73</v>
      </c>
      <c r="D130" s="23" t="str">
        <f t="shared" si="1"/>
        <v>Autoimmune</v>
      </c>
      <c r="E130" s="32" t="s">
        <v>406</v>
      </c>
      <c r="F130" s="23" t="s">
        <v>406</v>
      </c>
      <c r="G130" s="69" t="s">
        <v>25</v>
      </c>
      <c r="H130" s="33">
        <v>427213005</v>
      </c>
      <c r="I130" s="23">
        <v>4146124</v>
      </c>
      <c r="J130" s="22" t="s">
        <v>407</v>
      </c>
      <c r="K130" s="23"/>
      <c r="L130" s="23"/>
      <c r="M130" s="23"/>
      <c r="N130" s="22"/>
      <c r="O130" s="23"/>
      <c r="P130" s="23"/>
      <c r="Q130" s="23"/>
      <c r="R130" s="4"/>
      <c r="S130" s="23">
        <v>0</v>
      </c>
      <c r="T130" s="23">
        <v>0</v>
      </c>
      <c r="U130" s="23">
        <v>0</v>
      </c>
      <c r="V130" s="5">
        <v>0</v>
      </c>
      <c r="W130" s="39"/>
      <c r="X130" s="22"/>
      <c r="Y130" s="41"/>
    </row>
    <row r="131" spans="1:25" ht="13.95" customHeight="1">
      <c r="A131" s="23" t="s">
        <v>49</v>
      </c>
      <c r="B131" s="23" t="s">
        <v>22</v>
      </c>
      <c r="C131" s="23" t="s">
        <v>73</v>
      </c>
      <c r="D131" s="23" t="str">
        <f t="shared" si="1"/>
        <v>Autoimmune</v>
      </c>
      <c r="E131" s="51" t="s">
        <v>408</v>
      </c>
      <c r="F131" s="21" t="s">
        <v>408</v>
      </c>
      <c r="G131" s="69" t="s">
        <v>25</v>
      </c>
      <c r="H131" s="33">
        <v>230380005</v>
      </c>
      <c r="I131" s="23">
        <v>4046110</v>
      </c>
      <c r="J131" s="22" t="s">
        <v>409</v>
      </c>
      <c r="K131" s="39" t="s">
        <v>410</v>
      </c>
      <c r="L131" s="39" t="s">
        <v>411</v>
      </c>
      <c r="M131" s="9" t="s">
        <v>78</v>
      </c>
      <c r="N131" s="22" t="s">
        <v>261</v>
      </c>
      <c r="O131" s="11" t="s">
        <v>258</v>
      </c>
      <c r="P131" s="23"/>
      <c r="Q131" s="23"/>
      <c r="R131" s="50">
        <v>0</v>
      </c>
      <c r="S131" s="11">
        <v>50</v>
      </c>
      <c r="T131" s="11">
        <v>50</v>
      </c>
      <c r="U131" s="1">
        <f>+AVERAGE(S131:T131)</f>
        <v>50</v>
      </c>
      <c r="V131" s="5">
        <f>+(U131/[1]Population!$C$2)*100000</f>
        <v>1.5001500150015001E-2</v>
      </c>
      <c r="W131" s="23" t="s">
        <v>412</v>
      </c>
      <c r="X131" s="22" t="s">
        <v>413</v>
      </c>
      <c r="Y131" s="41"/>
    </row>
    <row r="132" spans="1:25" ht="13.95" customHeight="1">
      <c r="A132" s="23" t="s">
        <v>49</v>
      </c>
      <c r="B132" s="23" t="s">
        <v>22</v>
      </c>
      <c r="C132" s="23" t="s">
        <v>73</v>
      </c>
      <c r="D132" s="23" t="str">
        <f t="shared" si="1"/>
        <v>Autoimmune</v>
      </c>
      <c r="E132" s="51" t="s">
        <v>408</v>
      </c>
      <c r="F132" s="21" t="s">
        <v>414</v>
      </c>
      <c r="G132" s="69" t="s">
        <v>36</v>
      </c>
      <c r="H132" s="33">
        <v>230380005</v>
      </c>
      <c r="I132" s="23"/>
      <c r="J132" s="23"/>
      <c r="K132" s="23"/>
      <c r="L132" s="23"/>
      <c r="M132" s="23"/>
      <c r="N132" s="22"/>
      <c r="O132" s="23"/>
      <c r="P132" s="23"/>
      <c r="Q132" s="23"/>
      <c r="R132" s="4"/>
      <c r="S132" s="23">
        <v>0</v>
      </c>
      <c r="T132" s="23">
        <v>0</v>
      </c>
      <c r="U132" s="23">
        <v>0</v>
      </c>
      <c r="V132" s="5">
        <v>0</v>
      </c>
      <c r="W132" s="39"/>
      <c r="X132" s="22"/>
      <c r="Y132" s="41"/>
    </row>
    <row r="133" spans="1:25" ht="13.95" customHeight="1">
      <c r="A133" s="23" t="s">
        <v>49</v>
      </c>
      <c r="B133" s="23" t="s">
        <v>22</v>
      </c>
      <c r="C133" s="23" t="s">
        <v>73</v>
      </c>
      <c r="D133" s="23" t="str">
        <f t="shared" si="1"/>
        <v>Autoimmune</v>
      </c>
      <c r="E133" s="51" t="s">
        <v>408</v>
      </c>
      <c r="F133" s="21" t="s">
        <v>415</v>
      </c>
      <c r="G133" s="69" t="s">
        <v>36</v>
      </c>
      <c r="H133" s="33">
        <v>230380005</v>
      </c>
      <c r="I133" s="23"/>
      <c r="J133" s="23"/>
      <c r="K133" s="23"/>
      <c r="L133" s="23"/>
      <c r="M133" s="23"/>
      <c r="N133" s="22"/>
      <c r="O133" s="23"/>
      <c r="P133" s="23"/>
      <c r="Q133" s="23"/>
      <c r="R133" s="4"/>
      <c r="S133" s="23">
        <v>0</v>
      </c>
      <c r="T133" s="23">
        <v>0</v>
      </c>
      <c r="U133" s="23">
        <v>0</v>
      </c>
      <c r="V133" s="5">
        <v>0</v>
      </c>
      <c r="W133" s="39"/>
      <c r="X133" s="22"/>
      <c r="Y133" s="41"/>
    </row>
    <row r="134" spans="1:25" ht="13.95" customHeight="1">
      <c r="A134" s="23" t="s">
        <v>49</v>
      </c>
      <c r="B134" s="23" t="s">
        <v>22</v>
      </c>
      <c r="C134" s="23" t="s">
        <v>73</v>
      </c>
      <c r="D134" s="23" t="str">
        <f t="shared" ref="D134:D197" si="3">+IF(OR(B134="Antibody Suspected",B134="Antibody",B134="TCELL", B134="Immune-mediated",B134="Genetic"),"Autoimmune","Unconfirmed")</f>
        <v>Autoimmune</v>
      </c>
      <c r="E134" s="51" t="s">
        <v>408</v>
      </c>
      <c r="F134" s="21" t="s">
        <v>416</v>
      </c>
      <c r="G134" s="69" t="s">
        <v>36</v>
      </c>
      <c r="H134" s="33">
        <v>230380005</v>
      </c>
      <c r="I134" s="23"/>
      <c r="J134" s="23"/>
      <c r="K134" s="23"/>
      <c r="L134" s="23"/>
      <c r="M134" s="23"/>
      <c r="N134" s="22"/>
      <c r="O134" s="23"/>
      <c r="P134" s="23"/>
      <c r="Q134" s="23"/>
      <c r="R134" s="4"/>
      <c r="S134" s="23">
        <v>0</v>
      </c>
      <c r="T134" s="23">
        <v>0</v>
      </c>
      <c r="U134" s="23">
        <v>0</v>
      </c>
      <c r="V134" s="5">
        <v>0</v>
      </c>
      <c r="W134" s="39"/>
      <c r="X134" s="22"/>
      <c r="Y134" s="41"/>
    </row>
    <row r="135" spans="1:25" ht="13.95" customHeight="1">
      <c r="A135" s="23" t="s">
        <v>49</v>
      </c>
      <c r="B135" s="23" t="s">
        <v>22</v>
      </c>
      <c r="C135" s="23" t="s">
        <v>73</v>
      </c>
      <c r="D135" s="23" t="str">
        <f t="shared" si="3"/>
        <v>Autoimmune</v>
      </c>
      <c r="E135" s="51" t="s">
        <v>408</v>
      </c>
      <c r="F135" s="21" t="s">
        <v>417</v>
      </c>
      <c r="G135" s="69" t="s">
        <v>36</v>
      </c>
      <c r="H135" s="33">
        <v>230380005</v>
      </c>
      <c r="I135" s="25"/>
      <c r="J135" s="23"/>
      <c r="K135" s="23"/>
      <c r="L135" s="23"/>
      <c r="M135" s="23"/>
      <c r="N135" s="22"/>
      <c r="O135" s="23"/>
      <c r="P135" s="23"/>
      <c r="Q135" s="23"/>
      <c r="R135" s="4"/>
      <c r="S135" s="23">
        <v>0</v>
      </c>
      <c r="T135" s="23">
        <v>0</v>
      </c>
      <c r="U135" s="23">
        <v>0</v>
      </c>
      <c r="V135" s="5">
        <v>0</v>
      </c>
      <c r="W135" s="39"/>
      <c r="X135" s="22"/>
      <c r="Y135" s="41"/>
    </row>
    <row r="136" spans="1:25" ht="13.95" customHeight="1">
      <c r="A136" s="23" t="s">
        <v>72</v>
      </c>
      <c r="B136" s="23" t="s">
        <v>22</v>
      </c>
      <c r="C136" s="23" t="s">
        <v>73</v>
      </c>
      <c r="D136" s="23" t="str">
        <f t="shared" si="3"/>
        <v>Autoimmune</v>
      </c>
      <c r="E136" s="32" t="s">
        <v>418</v>
      </c>
      <c r="F136" s="23" t="s">
        <v>418</v>
      </c>
      <c r="G136" s="69" t="s">
        <v>25</v>
      </c>
      <c r="H136" s="33">
        <v>310701003</v>
      </c>
      <c r="I136" s="23">
        <v>436642</v>
      </c>
      <c r="J136" s="22" t="s">
        <v>419</v>
      </c>
      <c r="K136" s="2" t="s">
        <v>420</v>
      </c>
      <c r="L136" s="2" t="s">
        <v>421</v>
      </c>
      <c r="M136" s="3" t="s">
        <v>78</v>
      </c>
      <c r="N136" s="22" t="s">
        <v>424</v>
      </c>
      <c r="O136" s="1"/>
      <c r="P136" s="23">
        <v>5.2</v>
      </c>
      <c r="Q136" s="23"/>
      <c r="R136" s="4">
        <v>100000</v>
      </c>
      <c r="S136" s="4">
        <f>+(P136/R136)*[1]Population!$C$2</f>
        <v>17331.600000000002</v>
      </c>
      <c r="T136" s="4">
        <f>IF(ISBLANK(Q136),S136,+(Q136/R136)*[1]Population!$C$2)</f>
        <v>17331.600000000002</v>
      </c>
      <c r="U136" s="1">
        <f>+AVERAGE(S136:T136)</f>
        <v>17331.600000000002</v>
      </c>
      <c r="V136" s="5">
        <f>+(U136/[1]Population!$C$2)*100000</f>
        <v>5.2</v>
      </c>
      <c r="W136" s="23" t="s">
        <v>422</v>
      </c>
      <c r="X136" s="22" t="s">
        <v>423</v>
      </c>
      <c r="Y136" s="41" t="s">
        <v>425</v>
      </c>
    </row>
    <row r="137" spans="1:25" ht="13.95" customHeight="1">
      <c r="A137" s="23" t="s">
        <v>72</v>
      </c>
      <c r="B137" s="23" t="s">
        <v>22</v>
      </c>
      <c r="C137" s="23" t="s">
        <v>73</v>
      </c>
      <c r="D137" s="23" t="str">
        <f t="shared" si="3"/>
        <v>Autoimmune</v>
      </c>
      <c r="E137" s="32" t="s">
        <v>418</v>
      </c>
      <c r="F137" s="23" t="s">
        <v>426</v>
      </c>
      <c r="G137" s="69" t="s">
        <v>427</v>
      </c>
      <c r="H137" s="33">
        <v>310701003</v>
      </c>
      <c r="I137" s="23">
        <v>436642</v>
      </c>
      <c r="J137" s="22" t="s">
        <v>419</v>
      </c>
      <c r="K137" s="2" t="s">
        <v>420</v>
      </c>
      <c r="L137" s="2" t="s">
        <v>421</v>
      </c>
      <c r="M137" s="3" t="s">
        <v>78</v>
      </c>
      <c r="N137" s="22" t="s">
        <v>424</v>
      </c>
      <c r="O137" s="1"/>
      <c r="P137" s="23">
        <v>5.2</v>
      </c>
      <c r="Q137" s="23"/>
      <c r="R137" s="4">
        <v>100000</v>
      </c>
      <c r="S137" s="4">
        <f>+(P137/R137)*[1]Population!$C$2</f>
        <v>17331.600000000002</v>
      </c>
      <c r="T137" s="4">
        <f>IF(ISBLANK(Q137),S137,+(Q137/R137)*[1]Population!$C$2)</f>
        <v>17331.600000000002</v>
      </c>
      <c r="U137" s="1">
        <f>+AVERAGE(S137:T137)</f>
        <v>17331.600000000002</v>
      </c>
      <c r="V137" s="5">
        <f>+(U137/[1]Population!$C$2)*100000</f>
        <v>5.2</v>
      </c>
      <c r="W137" s="23" t="s">
        <v>422</v>
      </c>
      <c r="X137" s="22" t="s">
        <v>423</v>
      </c>
      <c r="Y137" s="41" t="s">
        <v>425</v>
      </c>
    </row>
    <row r="138" spans="1:25" ht="13.95" customHeight="1">
      <c r="A138" s="23" t="s">
        <v>72</v>
      </c>
      <c r="B138" s="23" t="s">
        <v>22</v>
      </c>
      <c r="C138" s="23" t="s">
        <v>73</v>
      </c>
      <c r="D138" s="23" t="str">
        <f t="shared" si="3"/>
        <v>Autoimmune</v>
      </c>
      <c r="E138" s="32" t="s">
        <v>418</v>
      </c>
      <c r="F138" s="23" t="s">
        <v>428</v>
      </c>
      <c r="G138" s="69" t="s">
        <v>36</v>
      </c>
      <c r="H138" s="33">
        <v>310701003</v>
      </c>
      <c r="I138" s="23"/>
      <c r="J138" s="23"/>
      <c r="K138" s="23"/>
      <c r="L138" s="23"/>
      <c r="M138" s="23"/>
      <c r="N138" s="22"/>
      <c r="O138" s="23"/>
      <c r="P138" s="23"/>
      <c r="Q138" s="23"/>
      <c r="R138" s="4"/>
      <c r="S138" s="23">
        <v>0</v>
      </c>
      <c r="T138" s="23">
        <v>0</v>
      </c>
      <c r="U138" s="23">
        <v>0</v>
      </c>
      <c r="V138" s="5">
        <v>0</v>
      </c>
      <c r="W138" s="39"/>
      <c r="X138" s="22"/>
      <c r="Y138" s="41"/>
    </row>
    <row r="139" spans="1:25" ht="13.95" customHeight="1">
      <c r="A139" s="23" t="s">
        <v>72</v>
      </c>
      <c r="B139" s="23" t="s">
        <v>22</v>
      </c>
      <c r="C139" s="23" t="s">
        <v>73</v>
      </c>
      <c r="D139" s="23" t="str">
        <f t="shared" si="3"/>
        <v>Autoimmune</v>
      </c>
      <c r="E139" s="32" t="s">
        <v>418</v>
      </c>
      <c r="F139" s="23" t="s">
        <v>429</v>
      </c>
      <c r="G139" s="69" t="s">
        <v>36</v>
      </c>
      <c r="H139" s="33">
        <v>310701003</v>
      </c>
      <c r="I139" s="23"/>
      <c r="J139" s="23"/>
      <c r="K139" s="23"/>
      <c r="L139" s="23"/>
      <c r="M139" s="23"/>
      <c r="N139" s="22"/>
      <c r="O139" s="23"/>
      <c r="P139" s="23"/>
      <c r="Q139" s="23"/>
      <c r="R139" s="4"/>
      <c r="S139" s="23">
        <v>0</v>
      </c>
      <c r="T139" s="23">
        <v>0</v>
      </c>
      <c r="U139" s="23">
        <v>0</v>
      </c>
      <c r="V139" s="5">
        <v>0</v>
      </c>
      <c r="W139" s="39"/>
      <c r="X139" s="22"/>
      <c r="Y139" s="41"/>
    </row>
    <row r="140" spans="1:25" ht="13.95" customHeight="1">
      <c r="A140" s="23" t="s">
        <v>72</v>
      </c>
      <c r="B140" s="23" t="s">
        <v>22</v>
      </c>
      <c r="C140" s="23" t="s">
        <v>73</v>
      </c>
      <c r="D140" s="23" t="str">
        <f t="shared" si="3"/>
        <v>Autoimmune</v>
      </c>
      <c r="E140" s="32" t="s">
        <v>418</v>
      </c>
      <c r="F140" s="23" t="s">
        <v>430</v>
      </c>
      <c r="G140" s="69" t="s">
        <v>36</v>
      </c>
      <c r="H140" s="33">
        <v>721226005</v>
      </c>
      <c r="I140" s="23">
        <v>36715522</v>
      </c>
      <c r="J140" s="22"/>
      <c r="K140" s="23"/>
      <c r="L140" s="23"/>
      <c r="M140" s="23"/>
      <c r="N140" s="22"/>
      <c r="O140" s="23"/>
      <c r="P140" s="23"/>
      <c r="Q140" s="23"/>
      <c r="R140" s="4"/>
      <c r="S140" s="23">
        <v>0</v>
      </c>
      <c r="T140" s="23">
        <v>0</v>
      </c>
      <c r="U140" s="23">
        <v>0</v>
      </c>
      <c r="V140" s="5">
        <v>0</v>
      </c>
      <c r="W140" s="39"/>
      <c r="X140" s="22"/>
      <c r="Y140" s="41"/>
    </row>
    <row r="141" spans="1:25" ht="13.95" customHeight="1">
      <c r="A141" s="23" t="s">
        <v>72</v>
      </c>
      <c r="B141" s="23" t="s">
        <v>22</v>
      </c>
      <c r="C141" s="23" t="s">
        <v>73</v>
      </c>
      <c r="D141" s="23" t="str">
        <f t="shared" si="3"/>
        <v>Autoimmune</v>
      </c>
      <c r="E141" s="32" t="s">
        <v>418</v>
      </c>
      <c r="F141" s="23" t="s">
        <v>431</v>
      </c>
      <c r="G141" s="69" t="s">
        <v>36</v>
      </c>
      <c r="H141" s="33">
        <v>721226005</v>
      </c>
      <c r="I141" s="23"/>
      <c r="J141" s="23"/>
      <c r="K141" s="23"/>
      <c r="L141" s="23"/>
      <c r="M141" s="23"/>
      <c r="N141" s="22"/>
      <c r="O141" s="23"/>
      <c r="P141" s="23"/>
      <c r="Q141" s="23"/>
      <c r="R141" s="4"/>
      <c r="S141" s="23">
        <v>0</v>
      </c>
      <c r="T141" s="23">
        <v>0</v>
      </c>
      <c r="U141" s="23">
        <v>0</v>
      </c>
      <c r="V141" s="5">
        <v>0</v>
      </c>
      <c r="W141" s="39"/>
      <c r="X141" s="22"/>
      <c r="Y141" s="41"/>
    </row>
    <row r="142" spans="1:25" ht="13.95" customHeight="1">
      <c r="A142" s="23" t="s">
        <v>21</v>
      </c>
      <c r="B142" s="23" t="s">
        <v>22</v>
      </c>
      <c r="C142" s="23" t="s">
        <v>73</v>
      </c>
      <c r="D142" s="23" t="str">
        <f t="shared" si="3"/>
        <v>Autoimmune</v>
      </c>
      <c r="E142" s="32" t="s">
        <v>432</v>
      </c>
      <c r="F142" s="23" t="s">
        <v>432</v>
      </c>
      <c r="G142" s="69" t="s">
        <v>25</v>
      </c>
      <c r="H142" s="33">
        <v>34250006</v>
      </c>
      <c r="I142" s="23">
        <v>4142060</v>
      </c>
      <c r="J142" s="22" t="s">
        <v>433</v>
      </c>
      <c r="K142" s="2" t="s">
        <v>434</v>
      </c>
      <c r="L142" s="2" t="s">
        <v>435</v>
      </c>
      <c r="M142" s="3" t="s">
        <v>29</v>
      </c>
      <c r="N142" s="22" t="s">
        <v>438</v>
      </c>
      <c r="O142" s="1" t="s">
        <v>43</v>
      </c>
      <c r="P142" s="23">
        <v>0.87</v>
      </c>
      <c r="Q142" s="23">
        <v>1.1599999999999999</v>
      </c>
      <c r="R142" s="4">
        <v>1000000</v>
      </c>
      <c r="S142" s="4">
        <f>+(P142/R142)*[1]Population!$C$2</f>
        <v>289.971</v>
      </c>
      <c r="T142" s="4">
        <f>IF(ISBLANK(Q142),S142,+(Q142/R142)*[1]Population!$C$2)</f>
        <v>386.62799999999999</v>
      </c>
      <c r="U142" s="1">
        <f>+AVERAGE(S142:T142)</f>
        <v>338.29949999999997</v>
      </c>
      <c r="V142" s="5">
        <f>+(U142/[1]Population!$C$2)*100000</f>
        <v>0.10149999999999998</v>
      </c>
      <c r="W142" s="23" t="s">
        <v>436</v>
      </c>
      <c r="X142" s="22" t="s">
        <v>437</v>
      </c>
      <c r="Y142" s="41"/>
    </row>
    <row r="143" spans="1:25" ht="13.95" customHeight="1">
      <c r="A143" s="23" t="s">
        <v>21</v>
      </c>
      <c r="B143" s="23" t="s">
        <v>22</v>
      </c>
      <c r="C143" s="23" t="s">
        <v>73</v>
      </c>
      <c r="D143" s="23" t="str">
        <f t="shared" si="3"/>
        <v>Autoimmune</v>
      </c>
      <c r="E143" s="32" t="s">
        <v>432</v>
      </c>
      <c r="F143" s="23" t="s">
        <v>439</v>
      </c>
      <c r="G143" s="69" t="s">
        <v>36</v>
      </c>
      <c r="H143" s="33">
        <v>34250006</v>
      </c>
      <c r="I143" s="23"/>
      <c r="J143" s="22"/>
      <c r="K143" s="2"/>
      <c r="L143" s="2"/>
      <c r="M143" s="3"/>
      <c r="N143" s="22"/>
      <c r="O143" s="1"/>
      <c r="P143" s="23"/>
      <c r="Q143" s="23"/>
      <c r="R143" s="4"/>
      <c r="S143" s="23">
        <v>0</v>
      </c>
      <c r="T143" s="23">
        <v>0</v>
      </c>
      <c r="U143" s="23">
        <v>0</v>
      </c>
      <c r="V143" s="5">
        <v>0</v>
      </c>
      <c r="W143" s="23"/>
      <c r="X143" s="22"/>
      <c r="Y143" s="41"/>
    </row>
    <row r="144" spans="1:25" ht="13.95" customHeight="1">
      <c r="A144" s="23" t="s">
        <v>21</v>
      </c>
      <c r="B144" s="23" t="s">
        <v>22</v>
      </c>
      <c r="C144" s="23" t="s">
        <v>73</v>
      </c>
      <c r="D144" s="23" t="str">
        <f t="shared" si="3"/>
        <v>Autoimmune</v>
      </c>
      <c r="E144" s="32" t="s">
        <v>432</v>
      </c>
      <c r="F144" s="23" t="s">
        <v>440</v>
      </c>
      <c r="G144" s="69" t="s">
        <v>36</v>
      </c>
      <c r="H144" s="33">
        <v>34250006</v>
      </c>
      <c r="I144" s="23"/>
      <c r="J144" s="23"/>
      <c r="K144" s="23"/>
      <c r="L144" s="23"/>
      <c r="M144" s="23"/>
      <c r="N144" s="22"/>
      <c r="O144" s="23"/>
      <c r="P144" s="23"/>
      <c r="Q144" s="23"/>
      <c r="R144" s="4"/>
      <c r="S144" s="23">
        <v>0</v>
      </c>
      <c r="T144" s="23">
        <v>0</v>
      </c>
      <c r="U144" s="23">
        <v>0</v>
      </c>
      <c r="V144" s="5">
        <v>0</v>
      </c>
      <c r="W144" s="39"/>
      <c r="X144" s="22"/>
      <c r="Y144" s="41"/>
    </row>
    <row r="145" spans="1:25" ht="13.95" customHeight="1">
      <c r="A145" s="23" t="s">
        <v>21</v>
      </c>
      <c r="B145" s="23" t="s">
        <v>22</v>
      </c>
      <c r="C145" s="23" t="s">
        <v>73</v>
      </c>
      <c r="D145" s="23" t="str">
        <f t="shared" si="3"/>
        <v>Autoimmune</v>
      </c>
      <c r="E145" s="32" t="s">
        <v>432</v>
      </c>
      <c r="F145" s="23" t="s">
        <v>441</v>
      </c>
      <c r="G145" s="69" t="s">
        <v>36</v>
      </c>
      <c r="H145" s="33">
        <v>34250006</v>
      </c>
      <c r="I145" s="23"/>
      <c r="J145" s="23"/>
      <c r="K145" s="23"/>
      <c r="L145" s="23"/>
      <c r="M145" s="23"/>
      <c r="N145" s="22"/>
      <c r="O145" s="23"/>
      <c r="P145" s="23"/>
      <c r="Q145" s="23"/>
      <c r="R145" s="4"/>
      <c r="S145" s="23">
        <v>0</v>
      </c>
      <c r="T145" s="23">
        <v>0</v>
      </c>
      <c r="U145" s="23">
        <v>0</v>
      </c>
      <c r="V145" s="5">
        <v>0</v>
      </c>
      <c r="W145" s="39"/>
      <c r="X145" s="22"/>
      <c r="Y145" s="41"/>
    </row>
    <row r="146" spans="1:25" ht="13.95" customHeight="1">
      <c r="A146" s="23" t="s">
        <v>21</v>
      </c>
      <c r="B146" s="23" t="s">
        <v>22</v>
      </c>
      <c r="C146" s="23" t="s">
        <v>73</v>
      </c>
      <c r="D146" s="23" t="str">
        <f t="shared" si="3"/>
        <v>Autoimmune</v>
      </c>
      <c r="E146" s="32" t="s">
        <v>432</v>
      </c>
      <c r="F146" s="23" t="s">
        <v>442</v>
      </c>
      <c r="G146" s="69" t="s">
        <v>36</v>
      </c>
      <c r="H146" s="33">
        <v>34250006</v>
      </c>
      <c r="I146" s="23"/>
      <c r="J146" s="23"/>
      <c r="K146" s="23"/>
      <c r="L146" s="23"/>
      <c r="M146" s="23"/>
      <c r="N146" s="22"/>
      <c r="O146" s="23"/>
      <c r="P146" s="23"/>
      <c r="Q146" s="23"/>
      <c r="R146" s="4"/>
      <c r="S146" s="23">
        <v>0</v>
      </c>
      <c r="T146" s="23">
        <v>0</v>
      </c>
      <c r="U146" s="23">
        <v>0</v>
      </c>
      <c r="V146" s="5">
        <v>0</v>
      </c>
      <c r="W146" s="39"/>
      <c r="X146" s="22"/>
      <c r="Y146" s="41"/>
    </row>
    <row r="147" spans="1:25" ht="13.95" customHeight="1">
      <c r="A147" s="23" t="s">
        <v>21</v>
      </c>
      <c r="B147" s="23" t="s">
        <v>22</v>
      </c>
      <c r="C147" s="23" t="s">
        <v>73</v>
      </c>
      <c r="D147" s="23" t="str">
        <f t="shared" si="3"/>
        <v>Autoimmune</v>
      </c>
      <c r="E147" s="32" t="s">
        <v>432</v>
      </c>
      <c r="F147" s="23" t="s">
        <v>443</v>
      </c>
      <c r="G147" s="69" t="s">
        <v>52</v>
      </c>
      <c r="H147" s="33">
        <v>314757003</v>
      </c>
      <c r="I147" s="23">
        <v>4152707</v>
      </c>
      <c r="J147" s="22"/>
      <c r="K147" s="23"/>
      <c r="L147" s="23"/>
      <c r="M147" s="23"/>
      <c r="N147" s="22"/>
      <c r="O147" s="23"/>
      <c r="P147" s="23"/>
      <c r="Q147" s="23"/>
      <c r="R147" s="4"/>
      <c r="S147" s="23">
        <v>0</v>
      </c>
      <c r="T147" s="23">
        <v>0</v>
      </c>
      <c r="U147" s="23">
        <v>0</v>
      </c>
      <c r="V147" s="5">
        <v>0</v>
      </c>
      <c r="W147" s="39"/>
      <c r="X147" s="22"/>
      <c r="Y147" s="41"/>
    </row>
    <row r="148" spans="1:25" ht="13.95" customHeight="1">
      <c r="A148" s="23" t="s">
        <v>21</v>
      </c>
      <c r="B148" s="23" t="s">
        <v>22</v>
      </c>
      <c r="C148" s="23" t="s">
        <v>73</v>
      </c>
      <c r="D148" s="23" t="str">
        <f t="shared" si="3"/>
        <v>Autoimmune</v>
      </c>
      <c r="E148" s="32" t="s">
        <v>444</v>
      </c>
      <c r="F148" s="23" t="s">
        <v>444</v>
      </c>
      <c r="G148" s="69" t="s">
        <v>25</v>
      </c>
      <c r="H148" s="33">
        <v>77090002</v>
      </c>
      <c r="I148" s="23">
        <v>4298692</v>
      </c>
      <c r="J148" s="22" t="s">
        <v>445</v>
      </c>
      <c r="K148" s="2" t="s">
        <v>446</v>
      </c>
      <c r="L148" s="2" t="s">
        <v>447</v>
      </c>
      <c r="M148" s="3" t="s">
        <v>78</v>
      </c>
      <c r="N148" s="22" t="s">
        <v>450</v>
      </c>
      <c r="O148" s="1"/>
      <c r="P148" s="23">
        <v>259</v>
      </c>
      <c r="Q148" s="23"/>
      <c r="R148" s="4">
        <v>1000000</v>
      </c>
      <c r="S148" s="4">
        <f>+(P148/R148)*[1]Population!$C$2</f>
        <v>86324.7</v>
      </c>
      <c r="T148" s="4">
        <f>IF(ISBLANK(Q148),S148,+(Q148/R148)*[1]Population!$C$2)</f>
        <v>86324.7</v>
      </c>
      <c r="U148" s="1">
        <f>+AVERAGE(S148:T148)</f>
        <v>86324.7</v>
      </c>
      <c r="V148" s="5">
        <f>+(U148/[1]Population!$C$2)*100000</f>
        <v>25.900000000000002</v>
      </c>
      <c r="W148" s="23" t="s">
        <v>448</v>
      </c>
      <c r="X148" s="22" t="s">
        <v>449</v>
      </c>
      <c r="Y148" s="41"/>
    </row>
    <row r="149" spans="1:25" ht="13.95" customHeight="1">
      <c r="A149" s="23" t="s">
        <v>21</v>
      </c>
      <c r="B149" s="23" t="s">
        <v>22</v>
      </c>
      <c r="C149" s="23" t="s">
        <v>73</v>
      </c>
      <c r="D149" s="23" t="str">
        <f t="shared" si="3"/>
        <v>Autoimmune</v>
      </c>
      <c r="E149" s="32" t="s">
        <v>444</v>
      </c>
      <c r="F149" s="23" t="s">
        <v>444</v>
      </c>
      <c r="G149" s="69" t="s">
        <v>389</v>
      </c>
      <c r="H149" s="33">
        <v>77090002</v>
      </c>
      <c r="I149" s="23">
        <v>139899</v>
      </c>
      <c r="J149" s="22"/>
      <c r="K149" s="2" t="s">
        <v>446</v>
      </c>
      <c r="L149" s="2" t="s">
        <v>447</v>
      </c>
      <c r="M149" s="3" t="s">
        <v>78</v>
      </c>
      <c r="N149" s="22" t="s">
        <v>450</v>
      </c>
      <c r="O149" s="1"/>
      <c r="P149" s="23">
        <v>259</v>
      </c>
      <c r="Q149" s="23"/>
      <c r="R149" s="4">
        <v>1000000</v>
      </c>
      <c r="S149" s="4">
        <f>+(P149/R149)*[1]Population!$C$2</f>
        <v>86324.7</v>
      </c>
      <c r="T149" s="4">
        <f>IF(ISBLANK(Q149),S149,+(Q149/R149)*[1]Population!$C$2)</f>
        <v>86324.7</v>
      </c>
      <c r="U149" s="1">
        <f>+AVERAGE(S149:T149)</f>
        <v>86324.7</v>
      </c>
      <c r="V149" s="5">
        <f>+(U149/[1]Population!$C$2)*100000</f>
        <v>25.900000000000002</v>
      </c>
      <c r="W149" s="23" t="s">
        <v>448</v>
      </c>
      <c r="X149" s="22" t="s">
        <v>449</v>
      </c>
      <c r="Y149" s="41"/>
    </row>
    <row r="150" spans="1:25" ht="13.95" customHeight="1">
      <c r="A150" s="23" t="s">
        <v>49</v>
      </c>
      <c r="B150" s="23" t="s">
        <v>22</v>
      </c>
      <c r="C150" s="23" t="s">
        <v>23</v>
      </c>
      <c r="D150" s="23" t="str">
        <f t="shared" si="3"/>
        <v>Autoimmune</v>
      </c>
      <c r="E150" s="32" t="s">
        <v>451</v>
      </c>
      <c r="F150" s="23" t="s">
        <v>451</v>
      </c>
      <c r="G150" s="69" t="s">
        <v>25</v>
      </c>
      <c r="H150" s="33">
        <v>193042000</v>
      </c>
      <c r="I150" s="23">
        <v>437854</v>
      </c>
      <c r="J150" s="22" t="s">
        <v>452</v>
      </c>
      <c r="K150" s="2" t="s">
        <v>453</v>
      </c>
      <c r="L150" s="2" t="s">
        <v>454</v>
      </c>
      <c r="M150" s="9" t="s">
        <v>78</v>
      </c>
      <c r="N150" s="22" t="s">
        <v>457</v>
      </c>
      <c r="O150" s="4" t="s">
        <v>455</v>
      </c>
      <c r="P150" s="23">
        <v>14</v>
      </c>
      <c r="Q150" s="23"/>
      <c r="R150" s="4">
        <v>100000</v>
      </c>
      <c r="S150" s="4">
        <f>+(P150/R150)*[1]Population!$C$2</f>
        <v>46661.999999999993</v>
      </c>
      <c r="T150" s="4">
        <f>IF(ISBLANK(Q150),S150,+(Q150/R150)*[1]Population!$C$2)</f>
        <v>46661.999999999993</v>
      </c>
      <c r="U150" s="1">
        <f>+AVERAGE(S150:T150)</f>
        <v>46661.999999999993</v>
      </c>
      <c r="V150" s="5">
        <f>+(U150/[1]Population!$C$2)*100000</f>
        <v>13.999999999999998</v>
      </c>
      <c r="W150" s="23"/>
      <c r="X150" s="22" t="s">
        <v>456</v>
      </c>
      <c r="Y150" s="40" t="s">
        <v>458</v>
      </c>
    </row>
    <row r="151" spans="1:25" ht="13.95" customHeight="1">
      <c r="A151" s="23" t="s">
        <v>49</v>
      </c>
      <c r="B151" s="23" t="s">
        <v>22</v>
      </c>
      <c r="C151" s="23" t="s">
        <v>23</v>
      </c>
      <c r="D151" s="23" t="str">
        <f t="shared" si="3"/>
        <v>Autoimmune</v>
      </c>
      <c r="E151" s="32" t="s">
        <v>451</v>
      </c>
      <c r="F151" s="23" t="s">
        <v>459</v>
      </c>
      <c r="G151" s="69" t="s">
        <v>36</v>
      </c>
      <c r="H151" s="33" t="s">
        <v>460</v>
      </c>
      <c r="I151" s="23">
        <v>42536721</v>
      </c>
      <c r="J151" s="22"/>
      <c r="K151" s="2" t="s">
        <v>453</v>
      </c>
      <c r="L151" s="2" t="s">
        <v>454</v>
      </c>
      <c r="M151" s="9" t="s">
        <v>78</v>
      </c>
      <c r="N151" s="22" t="s">
        <v>457</v>
      </c>
      <c r="O151" s="4" t="s">
        <v>455</v>
      </c>
      <c r="P151" s="23">
        <v>14</v>
      </c>
      <c r="Q151" s="23"/>
      <c r="R151" s="4">
        <v>100000</v>
      </c>
      <c r="S151" s="4">
        <f>+(P151/R151)*[1]Population!$C$2</f>
        <v>46661.999999999993</v>
      </c>
      <c r="T151" s="4">
        <f>IF(ISBLANK(Q151),S151,+(Q151/R151)*[1]Population!$C$2)</f>
        <v>46661.999999999993</v>
      </c>
      <c r="U151" s="1">
        <f>+AVERAGE(S151:T151)</f>
        <v>46661.999999999993</v>
      </c>
      <c r="V151" s="5">
        <f>+(U151/[1]Population!$C$2)*100000</f>
        <v>13.999999999999998</v>
      </c>
      <c r="W151" s="23"/>
      <c r="X151" s="22" t="s">
        <v>456</v>
      </c>
      <c r="Y151" s="40" t="s">
        <v>458</v>
      </c>
    </row>
    <row r="152" spans="1:25" ht="13.95" customHeight="1">
      <c r="A152" s="23" t="s">
        <v>281</v>
      </c>
      <c r="B152" s="23" t="s">
        <v>22</v>
      </c>
      <c r="C152" s="23" t="s">
        <v>73</v>
      </c>
      <c r="D152" s="23" t="str">
        <f t="shared" si="3"/>
        <v>Autoimmune</v>
      </c>
      <c r="E152" s="32" t="s">
        <v>461</v>
      </c>
      <c r="F152" s="23" t="s">
        <v>462</v>
      </c>
      <c r="G152" s="69" t="s">
        <v>52</v>
      </c>
      <c r="H152" s="33">
        <v>91867008</v>
      </c>
      <c r="I152" s="23">
        <v>4241413</v>
      </c>
      <c r="J152" s="22"/>
      <c r="K152" s="23"/>
      <c r="L152" s="23"/>
      <c r="M152" s="23"/>
      <c r="N152" s="22"/>
      <c r="O152" s="23"/>
      <c r="P152" s="23"/>
      <c r="Q152" s="23"/>
      <c r="R152" s="4"/>
      <c r="S152" s="23">
        <v>0</v>
      </c>
      <c r="T152" s="23">
        <v>0</v>
      </c>
      <c r="U152" s="23">
        <v>0</v>
      </c>
      <c r="V152" s="5">
        <v>0</v>
      </c>
      <c r="W152" s="39"/>
      <c r="X152" s="22"/>
      <c r="Y152" s="41"/>
    </row>
    <row r="153" spans="1:25" ht="13.95" customHeight="1">
      <c r="A153" s="23" t="s">
        <v>281</v>
      </c>
      <c r="B153" s="23" t="s">
        <v>22</v>
      </c>
      <c r="C153" s="23" t="s">
        <v>73</v>
      </c>
      <c r="D153" s="23" t="str">
        <f t="shared" si="3"/>
        <v>Autoimmune</v>
      </c>
      <c r="E153" s="32" t="s">
        <v>461</v>
      </c>
      <c r="F153" s="23" t="s">
        <v>461</v>
      </c>
      <c r="G153" s="69" t="s">
        <v>25</v>
      </c>
      <c r="H153" s="33">
        <v>396331005</v>
      </c>
      <c r="I153" s="23">
        <v>194992</v>
      </c>
      <c r="J153" s="22" t="s">
        <v>463</v>
      </c>
      <c r="K153" s="2" t="s">
        <v>464</v>
      </c>
      <c r="L153" s="2" t="s">
        <v>465</v>
      </c>
      <c r="M153" s="23" t="s">
        <v>78</v>
      </c>
      <c r="N153" s="22" t="s">
        <v>468</v>
      </c>
      <c r="O153" s="4"/>
      <c r="P153" s="23">
        <v>0.75</v>
      </c>
      <c r="Q153" s="23">
        <v>1</v>
      </c>
      <c r="R153" s="4">
        <v>100</v>
      </c>
      <c r="S153" s="4">
        <f>+(P153/R153)*[1]Population!$C$2</f>
        <v>2499750</v>
      </c>
      <c r="T153" s="4">
        <f>IF(ISBLANK(Q153),S153,+(Q153/R153)*[1]Population!$C$2)</f>
        <v>3333000</v>
      </c>
      <c r="U153" s="1">
        <f>+AVERAGE(S153:T153)</f>
        <v>2916375</v>
      </c>
      <c r="V153" s="5">
        <f>+(U153/[1]Population!$C$2)*100000</f>
        <v>875.00000000000011</v>
      </c>
      <c r="W153" s="23" t="s">
        <v>466</v>
      </c>
      <c r="X153" s="22" t="s">
        <v>467</v>
      </c>
      <c r="Y153" s="41"/>
    </row>
    <row r="154" spans="1:25" ht="13.95" customHeight="1">
      <c r="A154" s="23" t="s">
        <v>281</v>
      </c>
      <c r="B154" s="23" t="s">
        <v>22</v>
      </c>
      <c r="C154" s="23" t="s">
        <v>73</v>
      </c>
      <c r="D154" s="23" t="str">
        <f t="shared" si="3"/>
        <v>Autoimmune</v>
      </c>
      <c r="E154" s="32" t="s">
        <v>461</v>
      </c>
      <c r="F154" s="23" t="s">
        <v>469</v>
      </c>
      <c r="G154" s="69" t="s">
        <v>36</v>
      </c>
      <c r="H154" s="33">
        <v>396331005</v>
      </c>
      <c r="I154" s="23"/>
      <c r="J154" s="23"/>
      <c r="K154" s="23"/>
      <c r="L154" s="23"/>
      <c r="M154" s="23"/>
      <c r="N154" s="22"/>
      <c r="O154" s="23"/>
      <c r="P154" s="23"/>
      <c r="Q154" s="23"/>
      <c r="R154" s="4"/>
      <c r="S154" s="23">
        <v>0</v>
      </c>
      <c r="T154" s="23">
        <v>0</v>
      </c>
      <c r="U154" s="23">
        <v>0</v>
      </c>
      <c r="V154" s="5">
        <v>0</v>
      </c>
      <c r="W154" s="39"/>
      <c r="X154" s="22"/>
      <c r="Y154" s="41"/>
    </row>
    <row r="155" spans="1:25" ht="13.95" customHeight="1">
      <c r="A155" s="23" t="s">
        <v>281</v>
      </c>
      <c r="B155" s="23" t="s">
        <v>22</v>
      </c>
      <c r="C155" s="23" t="s">
        <v>73</v>
      </c>
      <c r="D155" s="23" t="str">
        <f t="shared" si="3"/>
        <v>Autoimmune</v>
      </c>
      <c r="E155" s="32" t="s">
        <v>461</v>
      </c>
      <c r="F155" s="23" t="s">
        <v>470</v>
      </c>
      <c r="G155" s="69" t="s">
        <v>36</v>
      </c>
      <c r="H155" s="33">
        <v>396331005</v>
      </c>
      <c r="I155" s="23"/>
      <c r="J155" s="23"/>
      <c r="K155" s="23"/>
      <c r="L155" s="23"/>
      <c r="M155" s="23"/>
      <c r="N155" s="22"/>
      <c r="O155" s="23"/>
      <c r="P155" s="23"/>
      <c r="Q155" s="23"/>
      <c r="R155" s="4"/>
      <c r="S155" s="23">
        <v>0</v>
      </c>
      <c r="T155" s="23">
        <v>0</v>
      </c>
      <c r="U155" s="23">
        <v>0</v>
      </c>
      <c r="V155" s="5">
        <v>0</v>
      </c>
      <c r="W155" s="39"/>
      <c r="X155" s="22"/>
      <c r="Y155" s="41"/>
    </row>
    <row r="156" spans="1:25" ht="13.95" customHeight="1">
      <c r="A156" s="23" t="s">
        <v>281</v>
      </c>
      <c r="B156" s="23" t="s">
        <v>22</v>
      </c>
      <c r="C156" s="23" t="s">
        <v>73</v>
      </c>
      <c r="D156" s="23" t="str">
        <f t="shared" si="3"/>
        <v>Autoimmune</v>
      </c>
      <c r="E156" s="32" t="s">
        <v>461</v>
      </c>
      <c r="F156" s="23" t="s">
        <v>471</v>
      </c>
      <c r="G156" s="69" t="s">
        <v>36</v>
      </c>
      <c r="H156" s="33">
        <v>396331005</v>
      </c>
      <c r="I156" s="23"/>
      <c r="J156" s="23"/>
      <c r="K156" s="23"/>
      <c r="L156" s="23"/>
      <c r="M156" s="23"/>
      <c r="N156" s="22"/>
      <c r="O156" s="23"/>
      <c r="P156" s="23"/>
      <c r="Q156" s="23"/>
      <c r="R156" s="4"/>
      <c r="S156" s="23">
        <v>0</v>
      </c>
      <c r="T156" s="23">
        <v>0</v>
      </c>
      <c r="U156" s="23">
        <v>0</v>
      </c>
      <c r="V156" s="5">
        <v>0</v>
      </c>
      <c r="W156" s="39"/>
      <c r="X156" s="22"/>
      <c r="Y156" s="41"/>
    </row>
    <row r="157" spans="1:25" ht="13.95" customHeight="1">
      <c r="A157" s="23" t="s">
        <v>281</v>
      </c>
      <c r="B157" s="23" t="s">
        <v>22</v>
      </c>
      <c r="C157" s="23" t="s">
        <v>73</v>
      </c>
      <c r="D157" s="23" t="str">
        <f t="shared" si="3"/>
        <v>Autoimmune</v>
      </c>
      <c r="E157" s="32" t="s">
        <v>461</v>
      </c>
      <c r="F157" s="23" t="s">
        <v>472</v>
      </c>
      <c r="G157" s="69" t="s">
        <v>36</v>
      </c>
      <c r="H157" s="33">
        <v>396331005</v>
      </c>
      <c r="I157" s="23"/>
      <c r="J157" s="23"/>
      <c r="K157" s="23"/>
      <c r="L157" s="23"/>
      <c r="M157" s="23"/>
      <c r="N157" s="22"/>
      <c r="O157" s="23"/>
      <c r="P157" s="23"/>
      <c r="Q157" s="23"/>
      <c r="R157" s="4"/>
      <c r="S157" s="23">
        <v>0</v>
      </c>
      <c r="T157" s="23">
        <v>0</v>
      </c>
      <c r="U157" s="23">
        <v>0</v>
      </c>
      <c r="V157" s="5">
        <v>0</v>
      </c>
      <c r="W157" s="39"/>
      <c r="X157" s="22"/>
      <c r="Y157" s="41"/>
    </row>
    <row r="158" spans="1:25" ht="13.95" customHeight="1">
      <c r="A158" s="23" t="s">
        <v>281</v>
      </c>
      <c r="B158" s="23" t="s">
        <v>22</v>
      </c>
      <c r="C158" s="23" t="s">
        <v>73</v>
      </c>
      <c r="D158" s="23" t="str">
        <f t="shared" si="3"/>
        <v>Autoimmune</v>
      </c>
      <c r="E158" s="32" t="s">
        <v>461</v>
      </c>
      <c r="F158" s="23" t="s">
        <v>473</v>
      </c>
      <c r="G158" s="69" t="s">
        <v>36</v>
      </c>
      <c r="H158" s="33">
        <v>396331005</v>
      </c>
      <c r="I158" s="23"/>
      <c r="J158" s="23"/>
      <c r="K158" s="23"/>
      <c r="L158" s="23"/>
      <c r="M158" s="23"/>
      <c r="N158" s="22"/>
      <c r="O158" s="23"/>
      <c r="P158" s="23"/>
      <c r="Q158" s="23"/>
      <c r="R158" s="4"/>
      <c r="S158" s="23">
        <v>0</v>
      </c>
      <c r="T158" s="23">
        <v>0</v>
      </c>
      <c r="U158" s="23">
        <v>0</v>
      </c>
      <c r="V158" s="5">
        <v>0</v>
      </c>
      <c r="W158" s="39"/>
      <c r="X158" s="22"/>
      <c r="Y158" s="41"/>
    </row>
    <row r="159" spans="1:25" ht="13.95" customHeight="1">
      <c r="A159" s="23" t="s">
        <v>49</v>
      </c>
      <c r="B159" s="23" t="s">
        <v>86</v>
      </c>
      <c r="C159" s="23" t="s">
        <v>86</v>
      </c>
      <c r="D159" s="23" t="str">
        <f t="shared" si="3"/>
        <v>Unconfirmed</v>
      </c>
      <c r="E159" s="32" t="s">
        <v>474</v>
      </c>
      <c r="F159" s="23" t="s">
        <v>474</v>
      </c>
      <c r="G159" s="69" t="s">
        <v>25</v>
      </c>
      <c r="H159" s="33">
        <v>52702003</v>
      </c>
      <c r="I159" s="23">
        <v>432738</v>
      </c>
      <c r="J159" s="22" t="s">
        <v>475</v>
      </c>
      <c r="K159" s="2" t="s">
        <v>476</v>
      </c>
      <c r="L159" s="2" t="s">
        <v>477</v>
      </c>
      <c r="M159" s="9" t="s">
        <v>78</v>
      </c>
      <c r="N159" s="22" t="s">
        <v>480</v>
      </c>
      <c r="O159" s="45" t="s">
        <v>478</v>
      </c>
      <c r="P159" s="23">
        <v>230</v>
      </c>
      <c r="Q159" s="23">
        <v>4330</v>
      </c>
      <c r="R159" s="4">
        <v>100000</v>
      </c>
      <c r="S159" s="4">
        <f>+(P159/R159)*[1]Population!$C$2</f>
        <v>766590</v>
      </c>
      <c r="T159" s="4">
        <f>IF(ISBLANK(Q159),S159,+(Q159/R159)*[1]Population!$C$2)</f>
        <v>14431890</v>
      </c>
      <c r="U159" s="1">
        <f>+AVERAGE(S159:T159)</f>
        <v>7599240</v>
      </c>
      <c r="V159" s="5">
        <f>+(U159/[1]Population!$C$2)*100000</f>
        <v>2280</v>
      </c>
      <c r="W159" s="23"/>
      <c r="X159" s="22" t="s">
        <v>479</v>
      </c>
      <c r="Y159" s="40"/>
    </row>
    <row r="160" spans="1:25" ht="13.95" customHeight="1">
      <c r="A160" s="23" t="s">
        <v>49</v>
      </c>
      <c r="B160" s="23" t="s">
        <v>86</v>
      </c>
      <c r="C160" s="23" t="s">
        <v>86</v>
      </c>
      <c r="D160" s="23" t="str">
        <f t="shared" si="3"/>
        <v>Unconfirmed</v>
      </c>
      <c r="E160" s="32" t="s">
        <v>474</v>
      </c>
      <c r="F160" s="23" t="s">
        <v>481</v>
      </c>
      <c r="G160" s="69" t="s">
        <v>36</v>
      </c>
      <c r="H160" s="33">
        <v>52702003</v>
      </c>
      <c r="I160" s="23">
        <v>432738</v>
      </c>
      <c r="J160" s="22"/>
      <c r="K160" s="2" t="s">
        <v>476</v>
      </c>
      <c r="L160" s="2" t="s">
        <v>477</v>
      </c>
      <c r="M160" s="9" t="s">
        <v>78</v>
      </c>
      <c r="N160" s="22" t="s">
        <v>480</v>
      </c>
      <c r="O160" s="45" t="s">
        <v>478</v>
      </c>
      <c r="P160" s="23">
        <v>230</v>
      </c>
      <c r="Q160" s="23">
        <v>4330</v>
      </c>
      <c r="R160" s="4">
        <v>100000</v>
      </c>
      <c r="S160" s="4">
        <f>+(P160/R160)*[1]Population!$C$2</f>
        <v>766590</v>
      </c>
      <c r="T160" s="4">
        <f>IF(ISBLANK(Q160),S160,+(Q160/R160)*[1]Population!$C$2)</f>
        <v>14431890</v>
      </c>
      <c r="U160" s="1">
        <f>+AVERAGE(S160:T160)</f>
        <v>7599240</v>
      </c>
      <c r="V160" s="5">
        <f>+(U160/[1]Population!$C$2)*100000</f>
        <v>2280</v>
      </c>
      <c r="W160" s="23"/>
      <c r="X160" s="22" t="s">
        <v>479</v>
      </c>
      <c r="Y160" s="40"/>
    </row>
    <row r="161" spans="1:25" ht="13.95" customHeight="1">
      <c r="A161" s="23" t="s">
        <v>49</v>
      </c>
      <c r="B161" s="23" t="s">
        <v>86</v>
      </c>
      <c r="C161" s="23" t="s">
        <v>86</v>
      </c>
      <c r="D161" s="23" t="str">
        <f t="shared" si="3"/>
        <v>Unconfirmed</v>
      </c>
      <c r="E161" s="32" t="s">
        <v>474</v>
      </c>
      <c r="F161" s="23" t="s">
        <v>482</v>
      </c>
      <c r="G161" s="69" t="s">
        <v>36</v>
      </c>
      <c r="H161" s="33">
        <v>52702003</v>
      </c>
      <c r="I161" s="23"/>
      <c r="J161" s="23"/>
      <c r="K161" s="23"/>
      <c r="L161" s="23"/>
      <c r="M161" s="23"/>
      <c r="N161" s="22"/>
      <c r="O161" s="23"/>
      <c r="P161" s="23"/>
      <c r="Q161" s="23"/>
      <c r="R161" s="4"/>
      <c r="S161" s="23">
        <v>0</v>
      </c>
      <c r="T161" s="23">
        <v>0</v>
      </c>
      <c r="U161" s="23">
        <v>0</v>
      </c>
      <c r="V161" s="5">
        <v>0</v>
      </c>
      <c r="W161" s="39"/>
      <c r="X161" s="22"/>
      <c r="Y161" s="41"/>
    </row>
    <row r="162" spans="1:25" ht="13.95" customHeight="1">
      <c r="A162" s="23" t="s">
        <v>49</v>
      </c>
      <c r="B162" s="23" t="s">
        <v>218</v>
      </c>
      <c r="C162" s="23" t="s">
        <v>73</v>
      </c>
      <c r="D162" s="23" t="str">
        <f t="shared" si="3"/>
        <v>Autoimmune</v>
      </c>
      <c r="E162" s="32" t="s">
        <v>483</v>
      </c>
      <c r="F162" s="23" t="s">
        <v>483</v>
      </c>
      <c r="G162" s="69" t="s">
        <v>25</v>
      </c>
      <c r="H162" s="33">
        <v>128209004</v>
      </c>
      <c r="I162" s="23">
        <v>381009</v>
      </c>
      <c r="J162" s="22" t="s">
        <v>484</v>
      </c>
      <c r="K162" s="2" t="s">
        <v>485</v>
      </c>
      <c r="L162" s="2" t="s">
        <v>486</v>
      </c>
      <c r="M162" s="3" t="s">
        <v>78</v>
      </c>
      <c r="N162" s="22" t="s">
        <v>488</v>
      </c>
      <c r="O162" s="1"/>
      <c r="P162" s="23">
        <v>1.97</v>
      </c>
      <c r="Q162" s="23">
        <v>4.7699999999999996</v>
      </c>
      <c r="R162" s="4">
        <v>100000</v>
      </c>
      <c r="S162" s="4">
        <f>+(P162/R162)*[1]Population!$C$2</f>
        <v>6566.01</v>
      </c>
      <c r="T162" s="4">
        <f>IF(ISBLANK(Q162),S162,+(Q162/R162)*[1]Population!$C$2)</f>
        <v>15898.409999999998</v>
      </c>
      <c r="U162" s="1">
        <f>+AVERAGE(S162:T162)</f>
        <v>11232.21</v>
      </c>
      <c r="V162" s="5">
        <f>+(U162/[1]Population!$C$2)*100000</f>
        <v>3.37</v>
      </c>
      <c r="W162" s="23"/>
      <c r="X162" s="22" t="s">
        <v>487</v>
      </c>
      <c r="Y162" s="41"/>
    </row>
    <row r="163" spans="1:25" ht="13.95" customHeight="1">
      <c r="A163" s="23" t="s">
        <v>49</v>
      </c>
      <c r="B163" s="23" t="s">
        <v>218</v>
      </c>
      <c r="C163" s="23" t="s">
        <v>73</v>
      </c>
      <c r="D163" s="23" t="str">
        <f t="shared" si="3"/>
        <v>Autoimmune</v>
      </c>
      <c r="E163" s="32" t="s">
        <v>483</v>
      </c>
      <c r="F163" s="23" t="s">
        <v>489</v>
      </c>
      <c r="G163" s="69" t="s">
        <v>36</v>
      </c>
      <c r="H163" s="33">
        <v>128209004</v>
      </c>
      <c r="I163" s="23">
        <v>381009</v>
      </c>
      <c r="J163" s="22"/>
      <c r="K163" s="2" t="s">
        <v>485</v>
      </c>
      <c r="L163" s="2" t="s">
        <v>486</v>
      </c>
      <c r="M163" s="3" t="s">
        <v>78</v>
      </c>
      <c r="N163" s="22" t="s">
        <v>488</v>
      </c>
      <c r="O163" s="1"/>
      <c r="P163" s="23">
        <v>1.97</v>
      </c>
      <c r="Q163" s="23">
        <v>4.7699999999999996</v>
      </c>
      <c r="R163" s="4">
        <v>100000</v>
      </c>
      <c r="S163" s="4">
        <f>+(P163/R163)*[1]Population!$C$2</f>
        <v>6566.01</v>
      </c>
      <c r="T163" s="4">
        <f>IF(ISBLANK(Q163),S163,+(Q163/R163)*[1]Population!$C$2)</f>
        <v>15898.409999999998</v>
      </c>
      <c r="U163" s="1">
        <f>+AVERAGE(S163:T163)</f>
        <v>11232.21</v>
      </c>
      <c r="V163" s="5">
        <f>+(U163/[1]Population!$C$2)*100000</f>
        <v>3.37</v>
      </c>
      <c r="W163" s="23"/>
      <c r="X163" s="22" t="s">
        <v>487</v>
      </c>
      <c r="Y163" s="41"/>
    </row>
    <row r="164" spans="1:25" ht="13.95" customHeight="1">
      <c r="A164" s="23" t="s">
        <v>49</v>
      </c>
      <c r="B164" s="23" t="s">
        <v>218</v>
      </c>
      <c r="C164" s="23" t="s">
        <v>73</v>
      </c>
      <c r="D164" s="23" t="str">
        <f t="shared" si="3"/>
        <v>Autoimmune</v>
      </c>
      <c r="E164" s="32" t="s">
        <v>483</v>
      </c>
      <c r="F164" s="23" t="s">
        <v>490</v>
      </c>
      <c r="G164" s="69" t="s">
        <v>36</v>
      </c>
      <c r="H164" s="33">
        <v>128209004</v>
      </c>
      <c r="I164" s="23">
        <v>381009</v>
      </c>
      <c r="J164" s="22"/>
      <c r="K164" s="2" t="s">
        <v>485</v>
      </c>
      <c r="L164" s="2" t="s">
        <v>486</v>
      </c>
      <c r="M164" s="3" t="s">
        <v>78</v>
      </c>
      <c r="N164" s="22" t="s">
        <v>488</v>
      </c>
      <c r="O164" s="1"/>
      <c r="P164" s="23">
        <v>1.97</v>
      </c>
      <c r="Q164" s="23">
        <v>4.7699999999999996</v>
      </c>
      <c r="R164" s="4">
        <v>100000</v>
      </c>
      <c r="S164" s="4">
        <f>+(P164/R164)*[1]Population!$C$2</f>
        <v>6566.01</v>
      </c>
      <c r="T164" s="4">
        <f>IF(ISBLANK(Q164),S164,+(Q164/R164)*[1]Population!$C$2)</f>
        <v>15898.409999999998</v>
      </c>
      <c r="U164" s="1">
        <f>+AVERAGE(S164:T164)</f>
        <v>11232.21</v>
      </c>
      <c r="V164" s="5">
        <f>+(U164/[1]Population!$C$2)*100000</f>
        <v>3.37</v>
      </c>
      <c r="W164" s="23"/>
      <c r="X164" s="22" t="s">
        <v>487</v>
      </c>
      <c r="Y164" s="41"/>
    </row>
    <row r="165" spans="1:25" ht="13.95" customHeight="1">
      <c r="A165" s="23" t="s">
        <v>49</v>
      </c>
      <c r="B165" s="23" t="s">
        <v>218</v>
      </c>
      <c r="C165" s="23" t="s">
        <v>73</v>
      </c>
      <c r="D165" s="23" t="str">
        <f t="shared" si="3"/>
        <v>Autoimmune</v>
      </c>
      <c r="E165" s="32" t="s">
        <v>483</v>
      </c>
      <c r="F165" s="23" t="s">
        <v>491</v>
      </c>
      <c r="G165" s="69" t="s">
        <v>36</v>
      </c>
      <c r="H165" s="33">
        <v>128209004</v>
      </c>
      <c r="I165" s="23"/>
      <c r="J165" s="23"/>
      <c r="K165" s="23"/>
      <c r="L165" s="23"/>
      <c r="M165" s="23"/>
      <c r="N165" s="22"/>
      <c r="O165" s="23"/>
      <c r="P165" s="23"/>
      <c r="Q165" s="23"/>
      <c r="R165" s="4"/>
      <c r="S165" s="23">
        <v>0</v>
      </c>
      <c r="T165" s="23">
        <v>0</v>
      </c>
      <c r="U165" s="23">
        <v>0</v>
      </c>
      <c r="V165" s="5">
        <v>0</v>
      </c>
      <c r="W165" s="39"/>
      <c r="X165" s="22"/>
      <c r="Y165" s="41"/>
    </row>
    <row r="166" spans="1:25" ht="13.95" customHeight="1">
      <c r="A166" s="23" t="s">
        <v>49</v>
      </c>
      <c r="B166" s="23" t="s">
        <v>218</v>
      </c>
      <c r="C166" s="23" t="s">
        <v>73</v>
      </c>
      <c r="D166" s="23" t="str">
        <f t="shared" si="3"/>
        <v>Autoimmune</v>
      </c>
      <c r="E166" s="32" t="s">
        <v>483</v>
      </c>
      <c r="F166" s="23" t="s">
        <v>492</v>
      </c>
      <c r="G166" s="69" t="s">
        <v>36</v>
      </c>
      <c r="H166" s="33" t="s">
        <v>493</v>
      </c>
      <c r="I166" s="23">
        <v>4048024</v>
      </c>
      <c r="J166" s="22"/>
      <c r="K166" s="2"/>
      <c r="L166" s="2"/>
      <c r="M166" s="3"/>
      <c r="N166" s="22"/>
      <c r="O166" s="1"/>
      <c r="P166" s="23"/>
      <c r="Q166" s="23"/>
      <c r="R166" s="4"/>
      <c r="S166" s="23">
        <v>0</v>
      </c>
      <c r="T166" s="23">
        <v>0</v>
      </c>
      <c r="U166" s="23">
        <v>0</v>
      </c>
      <c r="V166" s="5">
        <v>0</v>
      </c>
      <c r="W166" s="23"/>
      <c r="X166" s="22"/>
      <c r="Y166" s="41"/>
    </row>
    <row r="167" spans="1:25" ht="13.95" customHeight="1">
      <c r="A167" s="23" t="s">
        <v>494</v>
      </c>
      <c r="B167" s="23" t="s">
        <v>86</v>
      </c>
      <c r="C167" s="23" t="s">
        <v>23</v>
      </c>
      <c r="D167" s="23" t="str">
        <f t="shared" si="3"/>
        <v>Unconfirmed</v>
      </c>
      <c r="E167" s="32" t="s">
        <v>495</v>
      </c>
      <c r="F167" s="23" t="s">
        <v>495</v>
      </c>
      <c r="G167" s="69" t="s">
        <v>25</v>
      </c>
      <c r="H167" s="33">
        <v>197834003</v>
      </c>
      <c r="I167" s="23">
        <v>75863</v>
      </c>
      <c r="J167" s="22" t="s">
        <v>496</v>
      </c>
      <c r="K167" s="2" t="s">
        <v>497</v>
      </c>
      <c r="L167" s="2" t="s">
        <v>498</v>
      </c>
      <c r="M167" s="3" t="s">
        <v>78</v>
      </c>
      <c r="N167" s="22" t="s">
        <v>500</v>
      </c>
      <c r="O167" s="1"/>
      <c r="P167" s="23">
        <v>10.6</v>
      </c>
      <c r="Q167" s="23">
        <v>22.5</v>
      </c>
      <c r="R167" s="4">
        <v>100000</v>
      </c>
      <c r="S167" s="4">
        <f>+(P167/R167)*[1]Population!$C$2</f>
        <v>35329.800000000003</v>
      </c>
      <c r="T167" s="4">
        <f>IF(ISBLANK(Q167),S167,+(Q167/R167)*[1]Population!$C$2)</f>
        <v>74992.5</v>
      </c>
      <c r="U167" s="1">
        <f>+AVERAGE(S167:T167)</f>
        <v>55161.15</v>
      </c>
      <c r="V167" s="5">
        <f>+(U167/[1]Population!$C$2)*100000</f>
        <v>16.55</v>
      </c>
      <c r="W167" s="23"/>
      <c r="X167" s="22" t="s">
        <v>499</v>
      </c>
      <c r="Y167" s="41" t="s">
        <v>501</v>
      </c>
    </row>
    <row r="168" spans="1:25" ht="13.95" customHeight="1">
      <c r="A168" s="23" t="s">
        <v>494</v>
      </c>
      <c r="B168" s="23" t="s">
        <v>86</v>
      </c>
      <c r="C168" s="23" t="s">
        <v>23</v>
      </c>
      <c r="D168" s="23" t="str">
        <f t="shared" si="3"/>
        <v>Unconfirmed</v>
      </c>
      <c r="E168" s="32" t="s">
        <v>495</v>
      </c>
      <c r="F168" s="23" t="s">
        <v>502</v>
      </c>
      <c r="G168" s="69" t="s">
        <v>34</v>
      </c>
      <c r="H168" s="33">
        <v>197834003</v>
      </c>
      <c r="I168" s="23"/>
      <c r="J168" s="23"/>
      <c r="K168" s="23"/>
      <c r="L168" s="23"/>
      <c r="M168" s="23"/>
      <c r="N168" s="22"/>
      <c r="O168" s="23"/>
      <c r="P168" s="23"/>
      <c r="Q168" s="23"/>
      <c r="R168" s="4"/>
      <c r="S168" s="23">
        <v>0</v>
      </c>
      <c r="T168" s="23">
        <v>0</v>
      </c>
      <c r="U168" s="23">
        <v>0</v>
      </c>
      <c r="V168" s="5">
        <v>0</v>
      </c>
      <c r="W168" s="39"/>
      <c r="X168" s="22"/>
      <c r="Y168" s="41"/>
    </row>
    <row r="169" spans="1:25" ht="13.95" customHeight="1">
      <c r="A169" s="23" t="s">
        <v>494</v>
      </c>
      <c r="B169" s="23" t="s">
        <v>86</v>
      </c>
      <c r="C169" s="23" t="s">
        <v>23</v>
      </c>
      <c r="D169" s="23" t="str">
        <f t="shared" si="3"/>
        <v>Unconfirmed</v>
      </c>
      <c r="E169" s="32" t="s">
        <v>495</v>
      </c>
      <c r="F169" s="23" t="s">
        <v>503</v>
      </c>
      <c r="G169" s="69" t="s">
        <v>34</v>
      </c>
      <c r="H169" s="33">
        <v>197834003</v>
      </c>
      <c r="I169" s="23"/>
      <c r="J169" s="23"/>
      <c r="K169" s="23"/>
      <c r="L169" s="23"/>
      <c r="M169" s="23"/>
      <c r="N169" s="22"/>
      <c r="O169" s="23"/>
      <c r="P169" s="23"/>
      <c r="Q169" s="23"/>
      <c r="R169" s="4"/>
      <c r="S169" s="23">
        <v>0</v>
      </c>
      <c r="T169" s="23">
        <v>0</v>
      </c>
      <c r="U169" s="23">
        <v>0</v>
      </c>
      <c r="V169" s="5">
        <v>0</v>
      </c>
      <c r="W169" s="39"/>
      <c r="X169" s="22"/>
      <c r="Y169" s="41"/>
    </row>
    <row r="170" spans="1:25" ht="13.95" customHeight="1">
      <c r="A170" s="23" t="s">
        <v>494</v>
      </c>
      <c r="B170" s="23" t="s">
        <v>86</v>
      </c>
      <c r="C170" s="23" t="s">
        <v>23</v>
      </c>
      <c r="D170" s="23" t="str">
        <f t="shared" si="3"/>
        <v>Unconfirmed</v>
      </c>
      <c r="E170" s="32" t="s">
        <v>495</v>
      </c>
      <c r="F170" s="23" t="s">
        <v>504</v>
      </c>
      <c r="G170" s="69" t="s">
        <v>36</v>
      </c>
      <c r="H170" s="33">
        <v>197834003</v>
      </c>
      <c r="I170" s="23"/>
      <c r="J170" s="23"/>
      <c r="K170" s="23"/>
      <c r="L170" s="23"/>
      <c r="M170" s="23"/>
      <c r="N170" s="22"/>
      <c r="O170" s="23"/>
      <c r="P170" s="23"/>
      <c r="Q170" s="23"/>
      <c r="R170" s="4"/>
      <c r="S170" s="23">
        <v>0</v>
      </c>
      <c r="T170" s="23">
        <v>0</v>
      </c>
      <c r="U170" s="23">
        <v>0</v>
      </c>
      <c r="V170" s="5">
        <v>0</v>
      </c>
      <c r="W170" s="39"/>
      <c r="X170" s="22"/>
      <c r="Y170" s="41"/>
    </row>
    <row r="171" spans="1:25" ht="13.95" customHeight="1">
      <c r="A171" s="23" t="s">
        <v>494</v>
      </c>
      <c r="B171" s="23" t="s">
        <v>86</v>
      </c>
      <c r="C171" s="23" t="s">
        <v>23</v>
      </c>
      <c r="D171" s="23" t="str">
        <f t="shared" si="3"/>
        <v>Unconfirmed</v>
      </c>
      <c r="E171" s="32" t="s">
        <v>495</v>
      </c>
      <c r="F171" s="23" t="s">
        <v>505</v>
      </c>
      <c r="G171" s="69" t="s">
        <v>36</v>
      </c>
      <c r="H171" s="33">
        <v>197834003</v>
      </c>
      <c r="I171" s="23"/>
      <c r="J171" s="23"/>
      <c r="K171" s="23"/>
      <c r="L171" s="23"/>
      <c r="M171" s="23"/>
      <c r="N171" s="22"/>
      <c r="O171" s="23"/>
      <c r="P171" s="23"/>
      <c r="Q171" s="23"/>
      <c r="R171" s="4"/>
      <c r="S171" s="23">
        <v>0</v>
      </c>
      <c r="T171" s="23">
        <v>0</v>
      </c>
      <c r="U171" s="23">
        <v>0</v>
      </c>
      <c r="V171" s="5">
        <v>0</v>
      </c>
      <c r="W171" s="39"/>
      <c r="X171" s="22"/>
      <c r="Y171" s="41"/>
    </row>
    <row r="172" spans="1:25" ht="13.95" customHeight="1">
      <c r="A172" s="23" t="s">
        <v>146</v>
      </c>
      <c r="B172" s="23" t="s">
        <v>86</v>
      </c>
      <c r="C172" s="23" t="s">
        <v>86</v>
      </c>
      <c r="D172" s="23" t="str">
        <f t="shared" si="3"/>
        <v>Unconfirmed</v>
      </c>
      <c r="E172" s="32" t="s">
        <v>506</v>
      </c>
      <c r="F172" s="23" t="s">
        <v>507</v>
      </c>
      <c r="G172" s="69" t="s">
        <v>109</v>
      </c>
      <c r="H172" s="33">
        <v>23502006</v>
      </c>
      <c r="I172" s="23">
        <v>440638</v>
      </c>
      <c r="J172" s="22" t="s">
        <v>508</v>
      </c>
      <c r="K172" s="39" t="s">
        <v>410</v>
      </c>
      <c r="L172" s="39" t="s">
        <v>411</v>
      </c>
      <c r="M172" s="9" t="s">
        <v>78</v>
      </c>
      <c r="N172" s="22" t="s">
        <v>261</v>
      </c>
      <c r="O172" s="11" t="s">
        <v>258</v>
      </c>
      <c r="P172" s="23"/>
      <c r="Q172" s="23"/>
      <c r="R172" s="50">
        <v>0</v>
      </c>
      <c r="S172" s="11">
        <v>50</v>
      </c>
      <c r="T172" s="11">
        <v>50</v>
      </c>
      <c r="U172" s="1">
        <f>+AVERAGE(S172:T172)</f>
        <v>50</v>
      </c>
      <c r="V172" s="5">
        <f>+(U172/[1]Population!$C$2)*100000</f>
        <v>1.5001500150015001E-2</v>
      </c>
      <c r="W172" s="23"/>
      <c r="X172" s="22" t="s">
        <v>509</v>
      </c>
      <c r="Y172" s="41"/>
    </row>
    <row r="173" spans="1:25" ht="13.95" customHeight="1">
      <c r="A173" s="23" t="s">
        <v>146</v>
      </c>
      <c r="B173" s="23" t="s">
        <v>86</v>
      </c>
      <c r="C173" s="23" t="s">
        <v>86</v>
      </c>
      <c r="D173" s="23" t="str">
        <f t="shared" si="3"/>
        <v>Unconfirmed</v>
      </c>
      <c r="E173" s="32" t="s">
        <v>506</v>
      </c>
      <c r="F173" s="23" t="s">
        <v>506</v>
      </c>
      <c r="G173" s="69" t="s">
        <v>25</v>
      </c>
      <c r="H173" s="33" t="s">
        <v>510</v>
      </c>
      <c r="I173" s="23">
        <v>440638</v>
      </c>
      <c r="J173" s="22" t="s">
        <v>508</v>
      </c>
      <c r="K173" s="39" t="s">
        <v>410</v>
      </c>
      <c r="L173" s="39" t="s">
        <v>411</v>
      </c>
      <c r="M173" s="9" t="s">
        <v>78</v>
      </c>
      <c r="N173" s="22" t="s">
        <v>261</v>
      </c>
      <c r="O173" s="11" t="s">
        <v>258</v>
      </c>
      <c r="P173" s="23"/>
      <c r="Q173" s="23"/>
      <c r="R173" s="50">
        <v>0</v>
      </c>
      <c r="S173" s="11">
        <v>50</v>
      </c>
      <c r="T173" s="11">
        <v>50</v>
      </c>
      <c r="U173" s="1">
        <f>+AVERAGE(S173:T173)</f>
        <v>50</v>
      </c>
      <c r="V173" s="5">
        <f>+(U173/[1]Population!$C$2)*100000</f>
        <v>1.5001500150015001E-2</v>
      </c>
      <c r="W173" s="23"/>
      <c r="X173" s="22" t="s">
        <v>509</v>
      </c>
      <c r="Y173" s="41"/>
    </row>
    <row r="174" spans="1:25" ht="13.95" customHeight="1">
      <c r="A174" s="23" t="s">
        <v>146</v>
      </c>
      <c r="B174" s="23" t="s">
        <v>86</v>
      </c>
      <c r="C174" s="23" t="s">
        <v>86</v>
      </c>
      <c r="D174" s="23" t="str">
        <f t="shared" si="3"/>
        <v>Unconfirmed</v>
      </c>
      <c r="E174" s="32" t="s">
        <v>506</v>
      </c>
      <c r="F174" s="23" t="s">
        <v>511</v>
      </c>
      <c r="G174" s="69" t="s">
        <v>36</v>
      </c>
      <c r="H174" s="33" t="s">
        <v>510</v>
      </c>
      <c r="I174" s="23"/>
      <c r="J174" s="23"/>
      <c r="K174" s="23"/>
      <c r="L174" s="23"/>
      <c r="M174" s="23"/>
      <c r="N174" s="22"/>
      <c r="O174" s="23"/>
      <c r="P174" s="23"/>
      <c r="Q174" s="23"/>
      <c r="R174" s="4"/>
      <c r="S174" s="23">
        <v>0</v>
      </c>
      <c r="T174" s="23">
        <v>0</v>
      </c>
      <c r="U174" s="23">
        <v>0</v>
      </c>
      <c r="V174" s="5">
        <v>0</v>
      </c>
      <c r="W174" s="39"/>
      <c r="X174" s="22"/>
      <c r="Y174" s="41"/>
    </row>
    <row r="175" spans="1:25" ht="13.95" customHeight="1">
      <c r="A175" s="23" t="s">
        <v>146</v>
      </c>
      <c r="B175" s="23" t="s">
        <v>86</v>
      </c>
      <c r="C175" s="23" t="s">
        <v>86</v>
      </c>
      <c r="D175" s="23" t="str">
        <f t="shared" si="3"/>
        <v>Unconfirmed</v>
      </c>
      <c r="E175" s="32" t="s">
        <v>506</v>
      </c>
      <c r="F175" s="23" t="s">
        <v>512</v>
      </c>
      <c r="G175" s="69" t="s">
        <v>36</v>
      </c>
      <c r="H175" s="33" t="s">
        <v>510</v>
      </c>
      <c r="I175" s="43">
        <v>4141757</v>
      </c>
      <c r="J175" s="23"/>
      <c r="K175" s="23"/>
      <c r="L175" s="23"/>
      <c r="M175" s="23"/>
      <c r="N175" s="22"/>
      <c r="O175" s="23"/>
      <c r="P175" s="23"/>
      <c r="Q175" s="23"/>
      <c r="R175" s="4"/>
      <c r="S175" s="23">
        <v>0</v>
      </c>
      <c r="T175" s="23">
        <v>0</v>
      </c>
      <c r="U175" s="23">
        <v>0</v>
      </c>
      <c r="V175" s="5">
        <v>0</v>
      </c>
      <c r="W175" s="39"/>
      <c r="X175" s="22"/>
      <c r="Y175" s="41"/>
    </row>
    <row r="176" spans="1:25" ht="13.95" customHeight="1">
      <c r="A176" s="23" t="s">
        <v>146</v>
      </c>
      <c r="B176" s="23" t="s">
        <v>86</v>
      </c>
      <c r="C176" s="23" t="s">
        <v>86</v>
      </c>
      <c r="D176" s="23" t="str">
        <f t="shared" si="3"/>
        <v>Unconfirmed</v>
      </c>
      <c r="E176" s="32" t="s">
        <v>506</v>
      </c>
      <c r="F176" s="23" t="s">
        <v>513</v>
      </c>
      <c r="G176" s="69" t="s">
        <v>36</v>
      </c>
      <c r="H176" s="33" t="s">
        <v>510</v>
      </c>
      <c r="I176" s="23"/>
      <c r="J176" s="23"/>
      <c r="K176" s="23"/>
      <c r="L176" s="23"/>
      <c r="M176" s="23"/>
      <c r="N176" s="22"/>
      <c r="O176" s="23"/>
      <c r="P176" s="23"/>
      <c r="Q176" s="23"/>
      <c r="R176" s="4"/>
      <c r="S176" s="23">
        <v>0</v>
      </c>
      <c r="T176" s="23">
        <v>0</v>
      </c>
      <c r="U176" s="23">
        <v>0</v>
      </c>
      <c r="V176" s="5">
        <v>0</v>
      </c>
      <c r="W176" s="39"/>
      <c r="X176" s="22"/>
      <c r="Y176" s="41"/>
    </row>
    <row r="177" spans="1:25" ht="13.95" customHeight="1">
      <c r="A177" s="23" t="s">
        <v>146</v>
      </c>
      <c r="B177" s="23" t="s">
        <v>86</v>
      </c>
      <c r="C177" s="23" t="s">
        <v>514</v>
      </c>
      <c r="D177" s="23" t="str">
        <f t="shared" si="3"/>
        <v>Unconfirmed</v>
      </c>
      <c r="E177" s="32" t="s">
        <v>515</v>
      </c>
      <c r="F177" s="23" t="s">
        <v>515</v>
      </c>
      <c r="G177" s="69" t="s">
        <v>25</v>
      </c>
      <c r="H177" s="33">
        <v>240151005</v>
      </c>
      <c r="I177" s="23">
        <v>4344376</v>
      </c>
      <c r="J177" s="22" t="s">
        <v>516</v>
      </c>
      <c r="K177" s="23" t="s">
        <v>517</v>
      </c>
      <c r="L177" s="23" t="s">
        <v>518</v>
      </c>
      <c r="M177" s="23" t="s">
        <v>78</v>
      </c>
      <c r="N177" s="22" t="s">
        <v>519</v>
      </c>
      <c r="O177" s="23"/>
      <c r="P177" s="23">
        <v>1</v>
      </c>
      <c r="Q177" s="23"/>
      <c r="R177" s="4">
        <v>1000000</v>
      </c>
      <c r="S177" s="4">
        <f>+(P177/R177)*[1]Population!$C$2</f>
        <v>333.3</v>
      </c>
      <c r="T177" s="23">
        <f>IF(ISBLANK(Q177),S177,+(Q177/R177)*[1]Population!$C$2)</f>
        <v>333.3</v>
      </c>
      <c r="U177" s="23">
        <f>+AVERAGE(S177:T177)</f>
        <v>333.3</v>
      </c>
      <c r="V177" s="5">
        <f>+(U177/[1]Population!$C$2)*100000</f>
        <v>9.9999999999999992E-2</v>
      </c>
      <c r="W177" s="52" t="s">
        <v>86</v>
      </c>
      <c r="X177" s="26" t="s">
        <v>86</v>
      </c>
      <c r="Y177" s="26" t="s">
        <v>86</v>
      </c>
    </row>
    <row r="178" spans="1:25" ht="13.95" customHeight="1">
      <c r="A178" s="23" t="s">
        <v>112</v>
      </c>
      <c r="B178" s="23" t="s">
        <v>86</v>
      </c>
      <c r="C178" s="23" t="s">
        <v>86</v>
      </c>
      <c r="D178" s="23" t="str">
        <f t="shared" si="3"/>
        <v>Unconfirmed</v>
      </c>
      <c r="E178" s="32" t="s">
        <v>520</v>
      </c>
      <c r="F178" s="23" t="s">
        <v>520</v>
      </c>
      <c r="G178" s="69" t="s">
        <v>25</v>
      </c>
      <c r="H178" s="33" t="s">
        <v>521</v>
      </c>
      <c r="I178" s="23">
        <v>600589</v>
      </c>
      <c r="J178" s="22" t="s">
        <v>522</v>
      </c>
      <c r="K178" s="2" t="s">
        <v>523</v>
      </c>
      <c r="L178" s="10" t="s">
        <v>524</v>
      </c>
      <c r="M178" s="9" t="s">
        <v>78</v>
      </c>
      <c r="N178" s="12" t="s">
        <v>526</v>
      </c>
      <c r="O178" s="4" t="s">
        <v>525</v>
      </c>
      <c r="P178" s="23">
        <v>6.2</v>
      </c>
      <c r="Q178" s="23">
        <v>6.5</v>
      </c>
      <c r="R178" s="4">
        <v>100</v>
      </c>
      <c r="S178" s="4">
        <f>+(P178/R178)*[1]Population!$C$3</f>
        <v>16178315.339999996</v>
      </c>
      <c r="T178" s="4">
        <f>IF(ISBLANK(Q178),S178,+(Q178/R178)*[1]Population!$C$3)</f>
        <v>16961137.049999997</v>
      </c>
      <c r="U178" s="1">
        <f>+AVERAGE(S178:T178)</f>
        <v>16569726.194999997</v>
      </c>
      <c r="V178" s="5">
        <f>+(U178/[1]Population!$C$2)*100000</f>
        <v>4971.4149999999991</v>
      </c>
      <c r="W178" s="23"/>
      <c r="X178" s="22"/>
      <c r="Y178" s="40"/>
    </row>
    <row r="179" spans="1:25" ht="13.95" customHeight="1">
      <c r="A179" s="23" t="s">
        <v>112</v>
      </c>
      <c r="B179" s="23" t="s">
        <v>86</v>
      </c>
      <c r="C179" s="23" t="s">
        <v>86</v>
      </c>
      <c r="D179" s="23" t="str">
        <f t="shared" si="3"/>
        <v>Unconfirmed</v>
      </c>
      <c r="E179" s="32" t="s">
        <v>520</v>
      </c>
      <c r="F179" s="23" t="s">
        <v>527</v>
      </c>
      <c r="G179" s="69" t="s">
        <v>36</v>
      </c>
      <c r="H179" s="33" t="s">
        <v>521</v>
      </c>
      <c r="I179" s="23"/>
      <c r="J179" s="23"/>
      <c r="K179" s="23"/>
      <c r="L179" s="23"/>
      <c r="M179" s="23"/>
      <c r="N179" s="22"/>
      <c r="O179" s="23"/>
      <c r="P179" s="23"/>
      <c r="Q179" s="23"/>
      <c r="R179" s="4"/>
      <c r="S179" s="23"/>
      <c r="T179" s="23"/>
      <c r="U179" s="23"/>
      <c r="V179" s="5"/>
      <c r="W179" s="39"/>
      <c r="X179" s="22"/>
      <c r="Y179" s="41"/>
    </row>
    <row r="180" spans="1:25" ht="13.95" customHeight="1">
      <c r="A180" s="23" t="s">
        <v>112</v>
      </c>
      <c r="B180" s="23" t="s">
        <v>86</v>
      </c>
      <c r="C180" s="23" t="s">
        <v>86</v>
      </c>
      <c r="D180" s="23" t="str">
        <f t="shared" si="3"/>
        <v>Unconfirmed</v>
      </c>
      <c r="E180" s="32" t="s">
        <v>520</v>
      </c>
      <c r="F180" s="23" t="s">
        <v>528</v>
      </c>
      <c r="G180" s="69" t="s">
        <v>36</v>
      </c>
      <c r="H180" s="33" t="s">
        <v>521</v>
      </c>
      <c r="I180" s="23"/>
      <c r="J180" s="22"/>
      <c r="K180" s="2"/>
      <c r="L180" s="39"/>
      <c r="M180" s="9"/>
      <c r="N180" s="22"/>
      <c r="O180" s="4"/>
      <c r="P180" s="23"/>
      <c r="Q180" s="23"/>
      <c r="R180" s="4"/>
      <c r="S180" s="23"/>
      <c r="T180" s="23"/>
      <c r="U180" s="23"/>
      <c r="V180" s="5"/>
      <c r="W180" s="23"/>
      <c r="X180" s="22"/>
      <c r="Y180" s="40"/>
    </row>
    <row r="181" spans="1:25" ht="13.95" customHeight="1">
      <c r="A181" s="23" t="s">
        <v>112</v>
      </c>
      <c r="B181" s="23" t="s">
        <v>86</v>
      </c>
      <c r="C181" s="23" t="s">
        <v>86</v>
      </c>
      <c r="D181" s="23" t="str">
        <f t="shared" si="3"/>
        <v>Unconfirmed</v>
      </c>
      <c r="E181" s="32" t="s">
        <v>520</v>
      </c>
      <c r="F181" s="23" t="s">
        <v>529</v>
      </c>
      <c r="G181" s="69" t="s">
        <v>36</v>
      </c>
      <c r="H181" s="33" t="s">
        <v>521</v>
      </c>
      <c r="I181" s="23"/>
      <c r="J181" s="22"/>
      <c r="K181" s="2"/>
      <c r="L181" s="39"/>
      <c r="M181" s="9"/>
      <c r="N181" s="22"/>
      <c r="O181" s="4"/>
      <c r="P181" s="23"/>
      <c r="Q181" s="23"/>
      <c r="R181" s="4"/>
      <c r="S181" s="23"/>
      <c r="T181" s="23"/>
      <c r="U181" s="23"/>
      <c r="V181" s="5"/>
      <c r="W181" s="23"/>
      <c r="X181" s="22"/>
      <c r="Y181" s="40"/>
    </row>
    <row r="182" spans="1:25" ht="13.95" customHeight="1">
      <c r="A182" s="23" t="s">
        <v>112</v>
      </c>
      <c r="B182" s="23" t="s">
        <v>86</v>
      </c>
      <c r="C182" s="23" t="s">
        <v>86</v>
      </c>
      <c r="D182" s="23" t="str">
        <f t="shared" si="3"/>
        <v>Unconfirmed</v>
      </c>
      <c r="E182" s="32" t="s">
        <v>520</v>
      </c>
      <c r="F182" s="23" t="s">
        <v>530</v>
      </c>
      <c r="G182" s="69" t="s">
        <v>36</v>
      </c>
      <c r="H182" s="33" t="s">
        <v>521</v>
      </c>
      <c r="I182" s="25"/>
      <c r="J182" s="23"/>
      <c r="K182" s="23"/>
      <c r="L182" s="23"/>
      <c r="M182" s="23"/>
      <c r="N182" s="22"/>
      <c r="O182" s="23"/>
      <c r="P182" s="23"/>
      <c r="Q182" s="23"/>
      <c r="R182" s="4"/>
      <c r="S182" s="23"/>
      <c r="T182" s="23"/>
      <c r="U182" s="23"/>
      <c r="V182" s="5"/>
      <c r="W182" s="39"/>
      <c r="X182" s="22"/>
      <c r="Y182" s="41"/>
    </row>
    <row r="183" spans="1:25" ht="13.95" customHeight="1">
      <c r="A183" s="23" t="s">
        <v>49</v>
      </c>
      <c r="B183" s="23" t="s">
        <v>22</v>
      </c>
      <c r="C183" s="23" t="s">
        <v>73</v>
      </c>
      <c r="D183" s="23" t="str">
        <f t="shared" si="3"/>
        <v>Autoimmune</v>
      </c>
      <c r="E183" s="32" t="s">
        <v>531</v>
      </c>
      <c r="F183" s="23" t="s">
        <v>531</v>
      </c>
      <c r="G183" s="69" t="s">
        <v>25</v>
      </c>
      <c r="H183" s="33">
        <v>405810005</v>
      </c>
      <c r="I183" s="23">
        <v>4233620</v>
      </c>
      <c r="J183" s="22" t="s">
        <v>532</v>
      </c>
      <c r="K183" s="39" t="s">
        <v>533</v>
      </c>
      <c r="L183" s="39" t="s">
        <v>534</v>
      </c>
      <c r="M183" s="9" t="s">
        <v>78</v>
      </c>
      <c r="N183" s="22" t="s">
        <v>261</v>
      </c>
      <c r="O183" s="11" t="s">
        <v>258</v>
      </c>
      <c r="P183" s="23"/>
      <c r="Q183" s="23"/>
      <c r="R183" s="50">
        <v>0</v>
      </c>
      <c r="S183" s="11">
        <v>50</v>
      </c>
      <c r="T183" s="11">
        <v>50</v>
      </c>
      <c r="U183" s="1">
        <f>+AVERAGE(S183:T183)</f>
        <v>50</v>
      </c>
      <c r="V183" s="5">
        <f>+(U183/[1]Population!$C$2)*100000</f>
        <v>1.5001500150015001E-2</v>
      </c>
      <c r="W183" s="23" t="s">
        <v>535</v>
      </c>
      <c r="X183" s="22" t="s">
        <v>536</v>
      </c>
      <c r="Y183" s="41"/>
    </row>
    <row r="184" spans="1:25" ht="13.95" customHeight="1">
      <c r="A184" s="23" t="s">
        <v>49</v>
      </c>
      <c r="B184" s="23" t="s">
        <v>22</v>
      </c>
      <c r="C184" s="23" t="s">
        <v>73</v>
      </c>
      <c r="D184" s="23" t="str">
        <f t="shared" si="3"/>
        <v>Autoimmune</v>
      </c>
      <c r="E184" s="32" t="s">
        <v>531</v>
      </c>
      <c r="F184" s="23" t="s">
        <v>537</v>
      </c>
      <c r="G184" s="69" t="s">
        <v>36</v>
      </c>
      <c r="H184" s="33">
        <v>405810005</v>
      </c>
      <c r="I184" s="23"/>
      <c r="J184" s="23"/>
      <c r="K184" s="23"/>
      <c r="L184" s="23"/>
      <c r="M184" s="23"/>
      <c r="N184" s="22"/>
      <c r="O184" s="23"/>
      <c r="P184" s="23"/>
      <c r="Q184" s="23"/>
      <c r="R184" s="4"/>
      <c r="S184" s="23">
        <v>0</v>
      </c>
      <c r="T184" s="23">
        <v>0</v>
      </c>
      <c r="U184" s="23">
        <v>0</v>
      </c>
      <c r="V184" s="5">
        <v>0</v>
      </c>
      <c r="W184" s="39"/>
      <c r="X184" s="22"/>
      <c r="Y184" s="41"/>
    </row>
    <row r="185" spans="1:25" ht="13.95" customHeight="1">
      <c r="A185" s="23" t="s">
        <v>38</v>
      </c>
      <c r="B185" s="23" t="s">
        <v>22</v>
      </c>
      <c r="C185" s="23" t="s">
        <v>73</v>
      </c>
      <c r="D185" s="23" t="str">
        <f t="shared" si="3"/>
        <v>Autoimmune</v>
      </c>
      <c r="E185" s="51" t="s">
        <v>538</v>
      </c>
      <c r="F185" s="21" t="s">
        <v>539</v>
      </c>
      <c r="G185" s="69" t="s">
        <v>34</v>
      </c>
      <c r="H185" s="33">
        <v>127055007</v>
      </c>
      <c r="I185" s="23"/>
      <c r="J185" s="23"/>
      <c r="K185" s="23"/>
      <c r="L185" s="23"/>
      <c r="M185" s="23"/>
      <c r="N185" s="22"/>
      <c r="O185" s="23"/>
      <c r="P185" s="23"/>
      <c r="Q185" s="23"/>
      <c r="R185" s="4"/>
      <c r="S185" s="23">
        <v>0</v>
      </c>
      <c r="T185" s="23">
        <v>0</v>
      </c>
      <c r="U185" s="23">
        <v>0</v>
      </c>
      <c r="V185" s="5">
        <v>0</v>
      </c>
      <c r="W185" s="39"/>
      <c r="X185" s="22"/>
      <c r="Y185" s="41"/>
    </row>
    <row r="186" spans="1:25" ht="13.95" customHeight="1">
      <c r="A186" s="23" t="s">
        <v>38</v>
      </c>
      <c r="B186" s="23" t="s">
        <v>22</v>
      </c>
      <c r="C186" s="23" t="s">
        <v>73</v>
      </c>
      <c r="D186" s="23" t="str">
        <f t="shared" si="3"/>
        <v>Autoimmune</v>
      </c>
      <c r="E186" s="51" t="s">
        <v>538</v>
      </c>
      <c r="F186" s="21" t="s">
        <v>538</v>
      </c>
      <c r="G186" s="69" t="s">
        <v>25</v>
      </c>
      <c r="H186" s="33">
        <v>127055007</v>
      </c>
      <c r="I186" s="23">
        <v>4131128</v>
      </c>
      <c r="J186" s="22" t="s">
        <v>540</v>
      </c>
      <c r="K186" s="2" t="s">
        <v>541</v>
      </c>
      <c r="L186" s="2" t="s">
        <v>542</v>
      </c>
      <c r="M186" s="3" t="s">
        <v>78</v>
      </c>
      <c r="N186" s="22" t="s">
        <v>544</v>
      </c>
      <c r="O186" s="1"/>
      <c r="P186" s="23">
        <v>16.2</v>
      </c>
      <c r="Q186" s="23"/>
      <c r="R186" s="4">
        <v>1000000</v>
      </c>
      <c r="S186" s="4">
        <f>+(P186/R186)*[1]Population!$C$2</f>
        <v>5399.46</v>
      </c>
      <c r="T186" s="4">
        <f>IF(ISBLANK(Q186),S186,+(Q186/R186)*[1]Population!$C$2)</f>
        <v>5399.46</v>
      </c>
      <c r="U186" s="1">
        <f>+AVERAGE(S186:T186)</f>
        <v>5399.46</v>
      </c>
      <c r="V186" s="5">
        <f>+(U186/[1]Population!$C$2)*100000</f>
        <v>1.62</v>
      </c>
      <c r="W186" s="23"/>
      <c r="X186" s="22" t="s">
        <v>543</v>
      </c>
      <c r="Y186" s="41"/>
    </row>
    <row r="187" spans="1:25" ht="13.95" customHeight="1">
      <c r="A187" s="23" t="s">
        <v>38</v>
      </c>
      <c r="B187" s="23" t="s">
        <v>22</v>
      </c>
      <c r="C187" s="23" t="s">
        <v>73</v>
      </c>
      <c r="D187" s="23" t="str">
        <f t="shared" si="3"/>
        <v>Autoimmune</v>
      </c>
      <c r="E187" s="51" t="s">
        <v>538</v>
      </c>
      <c r="F187" s="21" t="s">
        <v>545</v>
      </c>
      <c r="G187" s="69" t="s">
        <v>36</v>
      </c>
      <c r="H187" s="33" t="s">
        <v>546</v>
      </c>
      <c r="I187" s="23"/>
      <c r="J187" s="23"/>
      <c r="K187" s="23"/>
      <c r="L187" s="23"/>
      <c r="M187" s="23"/>
      <c r="N187" s="22"/>
      <c r="O187" s="23"/>
      <c r="P187" s="23"/>
      <c r="Q187" s="23"/>
      <c r="R187" s="4"/>
      <c r="S187" s="23">
        <v>0</v>
      </c>
      <c r="T187" s="23">
        <v>0</v>
      </c>
      <c r="U187" s="23">
        <v>0</v>
      </c>
      <c r="V187" s="5">
        <v>0</v>
      </c>
      <c r="W187" s="39"/>
      <c r="X187" s="22"/>
      <c r="Y187" s="41"/>
    </row>
    <row r="188" spans="1:25" ht="13.95" customHeight="1">
      <c r="A188" s="23" t="s">
        <v>38</v>
      </c>
      <c r="B188" s="23" t="s">
        <v>22</v>
      </c>
      <c r="C188" s="23" t="s">
        <v>73</v>
      </c>
      <c r="D188" s="23" t="str">
        <f t="shared" si="3"/>
        <v>Autoimmune</v>
      </c>
      <c r="E188" s="51" t="s">
        <v>538</v>
      </c>
      <c r="F188" s="21" t="s">
        <v>547</v>
      </c>
      <c r="G188" s="69" t="s">
        <v>36</v>
      </c>
      <c r="H188" s="33" t="s">
        <v>546</v>
      </c>
      <c r="I188" s="23"/>
      <c r="J188" s="23"/>
      <c r="K188" s="23"/>
      <c r="L188" s="23"/>
      <c r="M188" s="23"/>
      <c r="N188" s="22"/>
      <c r="O188" s="23"/>
      <c r="P188" s="23"/>
      <c r="Q188" s="23"/>
      <c r="R188" s="4"/>
      <c r="S188" s="23">
        <v>0</v>
      </c>
      <c r="T188" s="23">
        <v>0</v>
      </c>
      <c r="U188" s="23">
        <v>0</v>
      </c>
      <c r="V188" s="5">
        <v>0</v>
      </c>
      <c r="W188" s="39"/>
      <c r="X188" s="22"/>
      <c r="Y188" s="41"/>
    </row>
    <row r="189" spans="1:25" ht="13.95" customHeight="1">
      <c r="A189" s="23" t="s">
        <v>38</v>
      </c>
      <c r="B189" s="23" t="s">
        <v>22</v>
      </c>
      <c r="C189" s="23" t="s">
        <v>73</v>
      </c>
      <c r="D189" s="23" t="str">
        <f t="shared" si="3"/>
        <v>Autoimmune</v>
      </c>
      <c r="E189" s="51" t="s">
        <v>538</v>
      </c>
      <c r="F189" s="21" t="s">
        <v>548</v>
      </c>
      <c r="G189" s="69" t="s">
        <v>36</v>
      </c>
      <c r="H189" s="33" t="s">
        <v>546</v>
      </c>
      <c r="I189" s="23">
        <v>4160887</v>
      </c>
      <c r="J189" s="23"/>
      <c r="K189" s="23"/>
      <c r="L189" s="23"/>
      <c r="M189" s="23"/>
      <c r="N189" s="22"/>
      <c r="O189" s="23"/>
      <c r="P189" s="23"/>
      <c r="Q189" s="23"/>
      <c r="R189" s="4"/>
      <c r="S189" s="23">
        <v>0</v>
      </c>
      <c r="T189" s="23">
        <v>0</v>
      </c>
      <c r="U189" s="23">
        <v>0</v>
      </c>
      <c r="V189" s="5">
        <v>0</v>
      </c>
      <c r="W189" s="39"/>
      <c r="X189" s="22"/>
      <c r="Y189" s="41"/>
    </row>
    <row r="190" spans="1:25" ht="13.95" customHeight="1">
      <c r="A190" s="23" t="s">
        <v>38</v>
      </c>
      <c r="B190" s="23" t="s">
        <v>22</v>
      </c>
      <c r="C190" s="23" t="s">
        <v>73</v>
      </c>
      <c r="D190" s="23" t="str">
        <f t="shared" si="3"/>
        <v>Autoimmune</v>
      </c>
      <c r="E190" s="51" t="s">
        <v>538</v>
      </c>
      <c r="F190" s="21" t="s">
        <v>549</v>
      </c>
      <c r="G190" s="69" t="s">
        <v>36</v>
      </c>
      <c r="H190" s="33" t="s">
        <v>546</v>
      </c>
      <c r="I190" s="23"/>
      <c r="J190" s="23"/>
      <c r="K190" s="23"/>
      <c r="L190" s="23"/>
      <c r="M190" s="23"/>
      <c r="N190" s="22"/>
      <c r="O190" s="23"/>
      <c r="P190" s="23"/>
      <c r="Q190" s="23"/>
      <c r="R190" s="4"/>
      <c r="S190" s="23">
        <v>0</v>
      </c>
      <c r="T190" s="23">
        <v>0</v>
      </c>
      <c r="U190" s="23">
        <v>0</v>
      </c>
      <c r="V190" s="5">
        <v>0</v>
      </c>
      <c r="W190" s="39"/>
      <c r="X190" s="22"/>
      <c r="Y190" s="41"/>
    </row>
    <row r="191" spans="1:25" ht="13.95" customHeight="1">
      <c r="A191" s="23" t="s">
        <v>49</v>
      </c>
      <c r="B191" s="23" t="s">
        <v>86</v>
      </c>
      <c r="C191" s="23" t="s">
        <v>86</v>
      </c>
      <c r="D191" s="23" t="str">
        <f t="shared" si="3"/>
        <v>Unconfirmed</v>
      </c>
      <c r="E191" s="32" t="s">
        <v>550</v>
      </c>
      <c r="F191" s="23" t="s">
        <v>550</v>
      </c>
      <c r="G191" s="69" t="s">
        <v>25</v>
      </c>
      <c r="H191" s="33">
        <v>128200000</v>
      </c>
      <c r="I191" s="53">
        <v>4134577</v>
      </c>
      <c r="J191" s="22" t="s">
        <v>551</v>
      </c>
      <c r="K191" s="2" t="s">
        <v>552</v>
      </c>
      <c r="L191" s="2" t="s">
        <v>553</v>
      </c>
      <c r="M191" s="9" t="s">
        <v>78</v>
      </c>
      <c r="N191" s="22" t="s">
        <v>554</v>
      </c>
      <c r="O191" s="4"/>
      <c r="P191" s="23">
        <v>20.57</v>
      </c>
      <c r="Q191" s="23"/>
      <c r="R191" s="4">
        <v>100000</v>
      </c>
      <c r="S191" s="4">
        <f>+(P191/R191)*[1]Population!$C$2</f>
        <v>68559.81</v>
      </c>
      <c r="T191" s="4">
        <f>IF(ISBLANK(Q191),S191,+(Q191/R191)*[1]Population!$C$2)</f>
        <v>68559.81</v>
      </c>
      <c r="U191" s="1">
        <f>+AVERAGE(S191:T191)</f>
        <v>68559.81</v>
      </c>
      <c r="V191" s="5">
        <f>+(U191/[1]Population!$C$2)*100000</f>
        <v>20.57</v>
      </c>
      <c r="W191" s="23"/>
      <c r="X191" s="22" t="s">
        <v>368</v>
      </c>
      <c r="Y191" s="41"/>
    </row>
    <row r="192" spans="1:25" ht="13.95" customHeight="1">
      <c r="A192" s="23" t="s">
        <v>49</v>
      </c>
      <c r="B192" s="23" t="s">
        <v>86</v>
      </c>
      <c r="C192" s="23" t="s">
        <v>86</v>
      </c>
      <c r="D192" s="23" t="str">
        <f t="shared" si="3"/>
        <v>Unconfirmed</v>
      </c>
      <c r="E192" s="32" t="s">
        <v>550</v>
      </c>
      <c r="F192" s="23" t="s">
        <v>555</v>
      </c>
      <c r="G192" s="69" t="s">
        <v>36</v>
      </c>
      <c r="H192" s="33">
        <v>128200000</v>
      </c>
      <c r="I192" s="23">
        <v>42536233</v>
      </c>
      <c r="J192" s="22"/>
      <c r="K192" s="23"/>
      <c r="L192" s="23"/>
      <c r="M192" s="23"/>
      <c r="N192" s="22"/>
      <c r="O192" s="23"/>
      <c r="P192" s="23"/>
      <c r="Q192" s="23"/>
      <c r="R192" s="4"/>
      <c r="S192" s="23">
        <v>0</v>
      </c>
      <c r="T192" s="23">
        <v>0</v>
      </c>
      <c r="U192" s="23">
        <v>0</v>
      </c>
      <c r="V192" s="5">
        <v>0</v>
      </c>
      <c r="W192" s="39"/>
      <c r="X192" s="22"/>
      <c r="Y192" s="41"/>
    </row>
    <row r="193" spans="1:25" ht="13.95" customHeight="1">
      <c r="A193" s="23" t="s">
        <v>49</v>
      </c>
      <c r="B193" s="23" t="s">
        <v>86</v>
      </c>
      <c r="C193" s="23" t="s">
        <v>86</v>
      </c>
      <c r="D193" s="23" t="str">
        <f t="shared" si="3"/>
        <v>Unconfirmed</v>
      </c>
      <c r="E193" s="32" t="s">
        <v>550</v>
      </c>
      <c r="F193" s="23" t="s">
        <v>556</v>
      </c>
      <c r="G193" s="69" t="s">
        <v>52</v>
      </c>
      <c r="H193" s="33">
        <v>408751001</v>
      </c>
      <c r="I193" s="23"/>
      <c r="J193" s="23"/>
      <c r="K193" s="23"/>
      <c r="L193" s="23"/>
      <c r="M193" s="23"/>
      <c r="N193" s="22"/>
      <c r="O193" s="23"/>
      <c r="P193" s="23"/>
      <c r="Q193" s="23"/>
      <c r="R193" s="4"/>
      <c r="S193" s="23">
        <v>0</v>
      </c>
      <c r="T193" s="23">
        <v>0</v>
      </c>
      <c r="U193" s="23">
        <v>0</v>
      </c>
      <c r="V193" s="5">
        <v>0</v>
      </c>
      <c r="W193" s="39"/>
      <c r="X193" s="22"/>
      <c r="Y193" s="41"/>
    </row>
    <row r="194" spans="1:25" ht="13.95" customHeight="1">
      <c r="A194" s="23" t="s">
        <v>49</v>
      </c>
      <c r="B194" s="23" t="s">
        <v>86</v>
      </c>
      <c r="C194" s="23" t="s">
        <v>86</v>
      </c>
      <c r="D194" s="23" t="str">
        <f t="shared" si="3"/>
        <v>Unconfirmed</v>
      </c>
      <c r="E194" s="32" t="s">
        <v>550</v>
      </c>
      <c r="F194" s="23" t="s">
        <v>557</v>
      </c>
      <c r="G194" s="69" t="s">
        <v>52</v>
      </c>
      <c r="H194" s="33">
        <v>408751001</v>
      </c>
      <c r="I194" s="23"/>
      <c r="J194" s="23"/>
      <c r="K194" s="23"/>
      <c r="L194" s="23"/>
      <c r="M194" s="23"/>
      <c r="N194" s="22"/>
      <c r="O194" s="23"/>
      <c r="P194" s="23"/>
      <c r="Q194" s="23"/>
      <c r="R194" s="4"/>
      <c r="S194" s="23">
        <v>0</v>
      </c>
      <c r="T194" s="23">
        <v>0</v>
      </c>
      <c r="U194" s="23">
        <v>0</v>
      </c>
      <c r="V194" s="5">
        <v>0</v>
      </c>
      <c r="W194" s="39"/>
      <c r="X194" s="22"/>
      <c r="Y194" s="41"/>
    </row>
    <row r="195" spans="1:25" ht="13.95" customHeight="1">
      <c r="A195" s="23" t="s">
        <v>49</v>
      </c>
      <c r="B195" s="23" t="s">
        <v>86</v>
      </c>
      <c r="C195" s="23" t="s">
        <v>86</v>
      </c>
      <c r="D195" s="23" t="str">
        <f t="shared" si="3"/>
        <v>Unconfirmed</v>
      </c>
      <c r="E195" s="32" t="s">
        <v>550</v>
      </c>
      <c r="F195" s="23" t="s">
        <v>558</v>
      </c>
      <c r="G195" s="69" t="s">
        <v>52</v>
      </c>
      <c r="H195" s="33">
        <v>408751001</v>
      </c>
      <c r="I195" s="23">
        <v>4256912</v>
      </c>
      <c r="J195" s="22"/>
      <c r="K195" s="23"/>
      <c r="L195" s="23"/>
      <c r="M195" s="23"/>
      <c r="N195" s="22"/>
      <c r="O195" s="23"/>
      <c r="P195" s="23"/>
      <c r="Q195" s="23"/>
      <c r="R195" s="4"/>
      <c r="S195" s="23">
        <v>0</v>
      </c>
      <c r="T195" s="23">
        <v>0</v>
      </c>
      <c r="U195" s="23">
        <v>0</v>
      </c>
      <c r="V195" s="5">
        <v>0</v>
      </c>
      <c r="W195" s="39"/>
      <c r="X195" s="22"/>
      <c r="Y195" s="41"/>
    </row>
    <row r="196" spans="1:25" ht="13.95" customHeight="1">
      <c r="A196" s="23" t="s">
        <v>49</v>
      </c>
      <c r="B196" s="23" t="s">
        <v>86</v>
      </c>
      <c r="C196" s="23" t="s">
        <v>86</v>
      </c>
      <c r="D196" s="23" t="str">
        <f t="shared" si="3"/>
        <v>Unconfirmed</v>
      </c>
      <c r="E196" s="32" t="s">
        <v>550</v>
      </c>
      <c r="F196" s="23" t="s">
        <v>559</v>
      </c>
      <c r="G196" s="69" t="s">
        <v>52</v>
      </c>
      <c r="H196" s="33">
        <v>734947007</v>
      </c>
      <c r="I196" s="23"/>
      <c r="J196" s="23"/>
      <c r="K196" s="23"/>
      <c r="L196" s="23"/>
      <c r="M196" s="23"/>
      <c r="N196" s="22"/>
      <c r="O196" s="23"/>
      <c r="P196" s="23"/>
      <c r="Q196" s="23"/>
      <c r="R196" s="4"/>
      <c r="S196" s="23">
        <v>0</v>
      </c>
      <c r="T196" s="23">
        <v>0</v>
      </c>
      <c r="U196" s="23">
        <v>0</v>
      </c>
      <c r="V196" s="5">
        <v>0</v>
      </c>
      <c r="W196" s="39"/>
      <c r="X196" s="22"/>
      <c r="Y196" s="41"/>
    </row>
    <row r="197" spans="1:25" ht="13.95" customHeight="1">
      <c r="A197" s="23" t="s">
        <v>49</v>
      </c>
      <c r="B197" s="23" t="s">
        <v>86</v>
      </c>
      <c r="C197" s="23" t="s">
        <v>86</v>
      </c>
      <c r="D197" s="23" t="str">
        <f t="shared" si="3"/>
        <v>Unconfirmed</v>
      </c>
      <c r="E197" s="32" t="s">
        <v>550</v>
      </c>
      <c r="F197" s="23" t="s">
        <v>560</v>
      </c>
      <c r="G197" s="69" t="s">
        <v>52</v>
      </c>
      <c r="H197" s="33">
        <v>734947007</v>
      </c>
      <c r="I197" s="23">
        <v>42536233</v>
      </c>
      <c r="J197" s="22"/>
      <c r="K197" s="23"/>
      <c r="L197" s="23"/>
      <c r="M197" s="23"/>
      <c r="N197" s="22"/>
      <c r="O197" s="23"/>
      <c r="P197" s="23"/>
      <c r="Q197" s="23"/>
      <c r="R197" s="4"/>
      <c r="S197" s="23">
        <v>0</v>
      </c>
      <c r="T197" s="23">
        <v>0</v>
      </c>
      <c r="U197" s="23">
        <v>0</v>
      </c>
      <c r="V197" s="5">
        <v>0</v>
      </c>
      <c r="W197" s="39"/>
      <c r="X197" s="22"/>
      <c r="Y197" s="41"/>
    </row>
    <row r="198" spans="1:25" ht="13.95" customHeight="1">
      <c r="A198" s="23" t="s">
        <v>49</v>
      </c>
      <c r="B198" s="23" t="s">
        <v>86</v>
      </c>
      <c r="C198" s="23" t="s">
        <v>86</v>
      </c>
      <c r="D198" s="23" t="str">
        <f t="shared" ref="D198:D261" si="4">+IF(OR(B198="Antibody Suspected",B198="Antibody",B198="TCELL", B198="Immune-mediated",B198="Genetic"),"Autoimmune","Unconfirmed")</f>
        <v>Unconfirmed</v>
      </c>
      <c r="E198" s="32" t="s">
        <v>550</v>
      </c>
      <c r="F198" s="23" t="s">
        <v>561</v>
      </c>
      <c r="G198" s="69" t="s">
        <v>52</v>
      </c>
      <c r="H198" s="33">
        <v>734947007</v>
      </c>
      <c r="I198" s="23">
        <v>42536233</v>
      </c>
      <c r="J198" s="22"/>
      <c r="K198" s="23"/>
      <c r="L198" s="23"/>
      <c r="M198" s="23"/>
      <c r="N198" s="22"/>
      <c r="O198" s="23"/>
      <c r="P198" s="23"/>
      <c r="Q198" s="23"/>
      <c r="R198" s="4"/>
      <c r="S198" s="23">
        <v>0</v>
      </c>
      <c r="T198" s="23">
        <v>0</v>
      </c>
      <c r="U198" s="23">
        <v>0</v>
      </c>
      <c r="V198" s="5">
        <v>0</v>
      </c>
      <c r="W198" s="39"/>
      <c r="X198" s="22"/>
      <c r="Y198" s="41"/>
    </row>
    <row r="199" spans="1:25" ht="13.95" customHeight="1">
      <c r="A199" s="23" t="s">
        <v>281</v>
      </c>
      <c r="B199" s="23" t="s">
        <v>218</v>
      </c>
      <c r="C199" s="23" t="s">
        <v>73</v>
      </c>
      <c r="D199" s="23" t="str">
        <f t="shared" si="4"/>
        <v>Autoimmune</v>
      </c>
      <c r="E199" s="32" t="s">
        <v>562</v>
      </c>
      <c r="F199" s="23" t="s">
        <v>562</v>
      </c>
      <c r="G199" s="69" t="s">
        <v>25</v>
      </c>
      <c r="H199" s="33">
        <v>34000006</v>
      </c>
      <c r="I199" s="23">
        <v>201606</v>
      </c>
      <c r="J199" s="22" t="s">
        <v>563</v>
      </c>
      <c r="K199" s="2" t="s">
        <v>564</v>
      </c>
      <c r="L199" s="2" t="s">
        <v>565</v>
      </c>
      <c r="M199" s="3" t="s">
        <v>78</v>
      </c>
      <c r="N199" s="22" t="s">
        <v>567</v>
      </c>
      <c r="O199" s="1"/>
      <c r="P199" s="23">
        <v>599.5</v>
      </c>
      <c r="Q199" s="23">
        <v>770.00000000000011</v>
      </c>
      <c r="R199" s="4">
        <v>100000</v>
      </c>
      <c r="S199" s="4">
        <f>+(P199/R199)*[1]Population!$C$2</f>
        <v>1998133.5</v>
      </c>
      <c r="T199" s="4">
        <f>IF(ISBLANK(Q199),S199,+(Q199/R199)*[1]Population!$C$2)</f>
        <v>2566410.0000000005</v>
      </c>
      <c r="U199" s="1">
        <f>+AVERAGE(S199:T199)</f>
        <v>2282271.75</v>
      </c>
      <c r="V199" s="5">
        <f>+(U199/[1]Population!$C$2)*100000</f>
        <v>684.75</v>
      </c>
      <c r="W199" s="23"/>
      <c r="X199" s="22" t="s">
        <v>566</v>
      </c>
      <c r="Y199" s="41"/>
    </row>
    <row r="200" spans="1:25" ht="13.95" customHeight="1">
      <c r="A200" s="23" t="s">
        <v>281</v>
      </c>
      <c r="B200" s="23" t="s">
        <v>218</v>
      </c>
      <c r="C200" s="23" t="s">
        <v>73</v>
      </c>
      <c r="D200" s="23" t="str">
        <f t="shared" si="4"/>
        <v>Autoimmune</v>
      </c>
      <c r="E200" s="32" t="s">
        <v>562</v>
      </c>
      <c r="F200" s="23" t="s">
        <v>568</v>
      </c>
      <c r="G200" s="69" t="s">
        <v>36</v>
      </c>
      <c r="H200" s="33">
        <v>34000006</v>
      </c>
      <c r="I200" s="23"/>
      <c r="J200" s="23"/>
      <c r="K200" s="23"/>
      <c r="L200" s="23"/>
      <c r="M200" s="23"/>
      <c r="N200" s="22"/>
      <c r="O200" s="23"/>
      <c r="P200" s="23"/>
      <c r="Q200" s="23"/>
      <c r="R200" s="4"/>
      <c r="S200" s="23">
        <v>0</v>
      </c>
      <c r="T200" s="23">
        <v>0</v>
      </c>
      <c r="U200" s="23">
        <v>0</v>
      </c>
      <c r="V200" s="5">
        <v>0</v>
      </c>
      <c r="W200" s="39"/>
      <c r="X200" s="22"/>
      <c r="Y200" s="41"/>
    </row>
    <row r="201" spans="1:25" ht="13.95" customHeight="1">
      <c r="A201" s="23" t="s">
        <v>281</v>
      </c>
      <c r="B201" s="23" t="s">
        <v>218</v>
      </c>
      <c r="C201" s="23" t="s">
        <v>73</v>
      </c>
      <c r="D201" s="23" t="str">
        <f t="shared" si="4"/>
        <v>Autoimmune</v>
      </c>
      <c r="E201" s="32" t="s">
        <v>562</v>
      </c>
      <c r="F201" s="23" t="s">
        <v>569</v>
      </c>
      <c r="G201" s="69" t="s">
        <v>36</v>
      </c>
      <c r="H201" s="33">
        <v>34000006</v>
      </c>
      <c r="I201" s="23"/>
      <c r="J201" s="23"/>
      <c r="K201" s="23"/>
      <c r="L201" s="23"/>
      <c r="M201" s="23"/>
      <c r="N201" s="22"/>
      <c r="O201" s="23"/>
      <c r="P201" s="23"/>
      <c r="Q201" s="23"/>
      <c r="R201" s="4"/>
      <c r="S201" s="23">
        <v>0</v>
      </c>
      <c r="T201" s="23">
        <v>0</v>
      </c>
      <c r="U201" s="23">
        <v>0</v>
      </c>
      <c r="V201" s="5">
        <v>0</v>
      </c>
      <c r="W201" s="39"/>
      <c r="X201" s="22"/>
      <c r="Y201" s="41"/>
    </row>
    <row r="202" spans="1:25" ht="13.95" customHeight="1">
      <c r="A202" s="23" t="s">
        <v>281</v>
      </c>
      <c r="B202" s="23" t="s">
        <v>218</v>
      </c>
      <c r="C202" s="23" t="s">
        <v>73</v>
      </c>
      <c r="D202" s="23" t="str">
        <f t="shared" si="4"/>
        <v>Autoimmune</v>
      </c>
      <c r="E202" s="32" t="s">
        <v>562</v>
      </c>
      <c r="F202" s="23" t="s">
        <v>570</v>
      </c>
      <c r="G202" s="69" t="s">
        <v>36</v>
      </c>
      <c r="H202" s="33">
        <v>34000006</v>
      </c>
      <c r="I202" s="23"/>
      <c r="J202" s="23"/>
      <c r="K202" s="23"/>
      <c r="L202" s="23"/>
      <c r="M202" s="23"/>
      <c r="N202" s="22"/>
      <c r="O202" s="23"/>
      <c r="P202" s="23"/>
      <c r="Q202" s="23"/>
      <c r="R202" s="4"/>
      <c r="S202" s="23">
        <v>0</v>
      </c>
      <c r="T202" s="23">
        <v>0</v>
      </c>
      <c r="U202" s="23">
        <v>0</v>
      </c>
      <c r="V202" s="5">
        <v>0</v>
      </c>
      <c r="W202" s="39"/>
      <c r="X202" s="22"/>
      <c r="Y202" s="41"/>
    </row>
    <row r="203" spans="1:25" ht="13.95" customHeight="1">
      <c r="A203" s="23" t="s">
        <v>281</v>
      </c>
      <c r="B203" s="23" t="s">
        <v>218</v>
      </c>
      <c r="C203" s="23" t="s">
        <v>73</v>
      </c>
      <c r="D203" s="23" t="str">
        <f t="shared" si="4"/>
        <v>Autoimmune</v>
      </c>
      <c r="E203" s="32" t="s">
        <v>562</v>
      </c>
      <c r="F203" s="23" t="s">
        <v>571</v>
      </c>
      <c r="G203" s="69" t="s">
        <v>36</v>
      </c>
      <c r="H203" s="33">
        <v>34000006</v>
      </c>
      <c r="I203" s="23"/>
      <c r="J203" s="23"/>
      <c r="K203" s="23"/>
      <c r="L203" s="23"/>
      <c r="M203" s="23"/>
      <c r="N203" s="22"/>
      <c r="O203" s="23"/>
      <c r="P203" s="23"/>
      <c r="Q203" s="23"/>
      <c r="R203" s="4"/>
      <c r="S203" s="23">
        <v>0</v>
      </c>
      <c r="T203" s="23">
        <v>0</v>
      </c>
      <c r="U203" s="23">
        <v>0</v>
      </c>
      <c r="V203" s="5">
        <v>0</v>
      </c>
      <c r="W203" s="39"/>
      <c r="X203" s="22"/>
      <c r="Y203" s="41"/>
    </row>
    <row r="204" spans="1:25" ht="13.95" customHeight="1">
      <c r="A204" s="23" t="s">
        <v>281</v>
      </c>
      <c r="B204" s="23" t="s">
        <v>218</v>
      </c>
      <c r="C204" s="23" t="s">
        <v>73</v>
      </c>
      <c r="D204" s="23" t="str">
        <f t="shared" si="4"/>
        <v>Autoimmune</v>
      </c>
      <c r="E204" s="32" t="s">
        <v>562</v>
      </c>
      <c r="F204" s="23" t="s">
        <v>572</v>
      </c>
      <c r="G204" s="69" t="s">
        <v>36</v>
      </c>
      <c r="H204" s="33">
        <v>34000006</v>
      </c>
      <c r="I204" s="23"/>
      <c r="J204" s="23"/>
      <c r="K204" s="23"/>
      <c r="L204" s="23"/>
      <c r="M204" s="23"/>
      <c r="N204" s="22"/>
      <c r="O204" s="23"/>
      <c r="P204" s="23"/>
      <c r="Q204" s="23"/>
      <c r="R204" s="4"/>
      <c r="S204" s="23">
        <v>0</v>
      </c>
      <c r="T204" s="23">
        <v>0</v>
      </c>
      <c r="U204" s="23">
        <v>0</v>
      </c>
      <c r="V204" s="5">
        <v>0</v>
      </c>
      <c r="W204" s="39"/>
      <c r="X204" s="22"/>
      <c r="Y204" s="41"/>
    </row>
    <row r="205" spans="1:25" ht="13.95" customHeight="1">
      <c r="A205" s="23" t="s">
        <v>281</v>
      </c>
      <c r="B205" s="23" t="s">
        <v>218</v>
      </c>
      <c r="C205" s="23" t="s">
        <v>73</v>
      </c>
      <c r="D205" s="23" t="str">
        <f t="shared" si="4"/>
        <v>Autoimmune</v>
      </c>
      <c r="E205" s="32" t="s">
        <v>562</v>
      </c>
      <c r="F205" s="23" t="s">
        <v>573</v>
      </c>
      <c r="G205" s="69" t="s">
        <v>52</v>
      </c>
      <c r="H205" s="33">
        <v>34000006</v>
      </c>
      <c r="I205" s="23"/>
      <c r="J205" s="23"/>
      <c r="K205" s="23"/>
      <c r="L205" s="23"/>
      <c r="M205" s="23"/>
      <c r="N205" s="22"/>
      <c r="O205" s="23"/>
      <c r="P205" s="23"/>
      <c r="Q205" s="23"/>
      <c r="R205" s="4"/>
      <c r="S205" s="23">
        <v>0</v>
      </c>
      <c r="T205" s="23">
        <v>0</v>
      </c>
      <c r="U205" s="23">
        <v>0</v>
      </c>
      <c r="V205" s="5">
        <v>0</v>
      </c>
      <c r="W205" s="39"/>
      <c r="X205" s="22"/>
      <c r="Y205" s="41"/>
    </row>
    <row r="206" spans="1:25" ht="13.95" customHeight="1">
      <c r="A206" s="23" t="s">
        <v>574</v>
      </c>
      <c r="B206" s="23" t="s">
        <v>22</v>
      </c>
      <c r="C206" s="23" t="s">
        <v>23</v>
      </c>
      <c r="D206" s="23" t="str">
        <f t="shared" si="4"/>
        <v>Autoimmune</v>
      </c>
      <c r="E206" s="32" t="s">
        <v>575</v>
      </c>
      <c r="F206" s="23" t="s">
        <v>575</v>
      </c>
      <c r="G206" s="69" t="s">
        <v>25</v>
      </c>
      <c r="H206" s="33">
        <v>719218000</v>
      </c>
      <c r="I206" s="23">
        <v>36714118</v>
      </c>
      <c r="J206" s="22" t="s">
        <v>576</v>
      </c>
      <c r="K206" s="2" t="s">
        <v>577</v>
      </c>
      <c r="L206" s="2" t="s">
        <v>578</v>
      </c>
      <c r="M206" s="3" t="s">
        <v>29</v>
      </c>
      <c r="N206" s="22" t="s">
        <v>581</v>
      </c>
      <c r="O206" s="23" t="s">
        <v>579</v>
      </c>
      <c r="P206" s="23">
        <v>1.1000000000000001</v>
      </c>
      <c r="Q206" s="23"/>
      <c r="R206" s="4">
        <v>100000</v>
      </c>
      <c r="S206" s="4">
        <f>+(P206/R206)*[1]Population!$C$2</f>
        <v>3666.3000000000006</v>
      </c>
      <c r="T206" s="4">
        <f>IF(ISBLANK(Q206),S206,+(Q206/R206)*[1]Population!$C$2)</f>
        <v>3666.3000000000006</v>
      </c>
      <c r="U206" s="1">
        <f>+AVERAGE(S206:T206)</f>
        <v>3666.3000000000006</v>
      </c>
      <c r="V206" s="5">
        <f>+(U206/[1]Population!$C$2)*100000</f>
        <v>1.1000000000000001</v>
      </c>
      <c r="W206" s="23"/>
      <c r="X206" s="54" t="s">
        <v>580</v>
      </c>
      <c r="Y206" s="41" t="s">
        <v>582</v>
      </c>
    </row>
    <row r="207" spans="1:25" ht="13.95" customHeight="1">
      <c r="A207" s="23" t="s">
        <v>574</v>
      </c>
      <c r="B207" s="23" t="s">
        <v>22</v>
      </c>
      <c r="C207" s="23" t="s">
        <v>23</v>
      </c>
      <c r="D207" s="23" t="str">
        <f t="shared" si="4"/>
        <v>Autoimmune</v>
      </c>
      <c r="E207" s="32" t="s">
        <v>575</v>
      </c>
      <c r="F207" s="23" t="s">
        <v>583</v>
      </c>
      <c r="G207" s="69" t="s">
        <v>36</v>
      </c>
      <c r="H207" s="33">
        <v>719218000</v>
      </c>
      <c r="I207" s="23"/>
      <c r="J207" s="23"/>
      <c r="K207" s="23"/>
      <c r="L207" s="23"/>
      <c r="M207" s="23"/>
      <c r="N207" s="22"/>
      <c r="O207" s="23"/>
      <c r="P207" s="23"/>
      <c r="Q207" s="23"/>
      <c r="R207" s="4"/>
      <c r="S207" s="23">
        <v>0</v>
      </c>
      <c r="T207" s="23">
        <v>0</v>
      </c>
      <c r="U207" s="23">
        <v>0</v>
      </c>
      <c r="V207" s="5">
        <v>0</v>
      </c>
      <c r="W207" s="39"/>
      <c r="X207" s="22"/>
      <c r="Y207" s="41"/>
    </row>
    <row r="208" spans="1:25" ht="13.95" customHeight="1">
      <c r="A208" s="23" t="s">
        <v>574</v>
      </c>
      <c r="B208" s="23" t="s">
        <v>22</v>
      </c>
      <c r="C208" s="23" t="s">
        <v>23</v>
      </c>
      <c r="D208" s="23" t="str">
        <f t="shared" si="4"/>
        <v>Autoimmune</v>
      </c>
      <c r="E208" s="32" t="s">
        <v>575</v>
      </c>
      <c r="F208" s="23" t="s">
        <v>584</v>
      </c>
      <c r="G208" s="69" t="s">
        <v>36</v>
      </c>
      <c r="H208" s="33">
        <v>719218000</v>
      </c>
      <c r="I208" s="23"/>
      <c r="J208" s="23"/>
      <c r="K208" s="23"/>
      <c r="L208" s="23"/>
      <c r="M208" s="23"/>
      <c r="N208" s="22"/>
      <c r="O208" s="23"/>
      <c r="P208" s="23"/>
      <c r="Q208" s="23"/>
      <c r="R208" s="4"/>
      <c r="S208" s="23">
        <v>0</v>
      </c>
      <c r="T208" s="23">
        <v>0</v>
      </c>
      <c r="U208" s="23">
        <v>0</v>
      </c>
      <c r="V208" s="5">
        <v>0</v>
      </c>
      <c r="W208" s="39"/>
      <c r="X208" s="22"/>
      <c r="Y208" s="41"/>
    </row>
    <row r="209" spans="1:25" ht="13.95" customHeight="1">
      <c r="A209" s="23" t="s">
        <v>574</v>
      </c>
      <c r="B209" s="23" t="s">
        <v>22</v>
      </c>
      <c r="C209" s="23" t="s">
        <v>23</v>
      </c>
      <c r="D209" s="23" t="str">
        <f t="shared" si="4"/>
        <v>Autoimmune</v>
      </c>
      <c r="E209" s="32" t="s">
        <v>575</v>
      </c>
      <c r="F209" s="23" t="s">
        <v>585</v>
      </c>
      <c r="G209" s="69" t="s">
        <v>36</v>
      </c>
      <c r="H209" s="33">
        <v>719218000</v>
      </c>
      <c r="I209" s="23"/>
      <c r="J209" s="23"/>
      <c r="K209" s="23"/>
      <c r="L209" s="23"/>
      <c r="M209" s="23"/>
      <c r="N209" s="22"/>
      <c r="O209" s="23"/>
      <c r="P209" s="23"/>
      <c r="Q209" s="23"/>
      <c r="R209" s="4"/>
      <c r="S209" s="23">
        <v>0</v>
      </c>
      <c r="T209" s="23">
        <v>0</v>
      </c>
      <c r="U209" s="23">
        <v>0</v>
      </c>
      <c r="V209" s="5">
        <v>0</v>
      </c>
      <c r="W209" s="39"/>
      <c r="X209" s="22"/>
      <c r="Y209" s="41"/>
    </row>
    <row r="210" spans="1:25" ht="13.95" customHeight="1">
      <c r="A210" s="23" t="s">
        <v>21</v>
      </c>
      <c r="B210" s="23" t="s">
        <v>22</v>
      </c>
      <c r="C210" s="23" t="s">
        <v>73</v>
      </c>
      <c r="D210" s="23" t="str">
        <f t="shared" si="4"/>
        <v>Autoimmune</v>
      </c>
      <c r="E210" s="32" t="s">
        <v>586</v>
      </c>
      <c r="F210" s="23" t="s">
        <v>586</v>
      </c>
      <c r="G210" s="69" t="s">
        <v>25</v>
      </c>
      <c r="H210" s="33">
        <v>7119001</v>
      </c>
      <c r="I210" s="23">
        <v>4324123</v>
      </c>
      <c r="J210" s="22" t="s">
        <v>587</v>
      </c>
      <c r="K210" s="2" t="s">
        <v>588</v>
      </c>
      <c r="L210" s="2" t="s">
        <v>589</v>
      </c>
      <c r="M210" s="3" t="s">
        <v>590</v>
      </c>
      <c r="N210" s="22" t="s">
        <v>592</v>
      </c>
      <c r="O210" s="1"/>
      <c r="P210" s="23">
        <v>70</v>
      </c>
      <c r="Q210" s="23">
        <v>82</v>
      </c>
      <c r="R210" s="4">
        <v>100000</v>
      </c>
      <c r="S210" s="4">
        <f>+(P210/R210)*[1]Population!$C$2</f>
        <v>233310</v>
      </c>
      <c r="T210" s="4">
        <f>IF(ISBLANK(Q210),S210,+(Q210/R210)*[1]Population!$C$2)</f>
        <v>273306</v>
      </c>
      <c r="U210" s="1">
        <f>+AVERAGE(S210:T210)</f>
        <v>253308</v>
      </c>
      <c r="V210" s="5">
        <f>+(U210/[1]Population!$C$2)*100000</f>
        <v>76</v>
      </c>
      <c r="W210" s="23"/>
      <c r="X210" s="22" t="s">
        <v>591</v>
      </c>
      <c r="Y210" s="41" t="s">
        <v>593</v>
      </c>
    </row>
    <row r="211" spans="1:25" ht="13.95" customHeight="1">
      <c r="A211" s="23" t="s">
        <v>21</v>
      </c>
      <c r="B211" s="23" t="s">
        <v>22</v>
      </c>
      <c r="C211" s="23" t="s">
        <v>73</v>
      </c>
      <c r="D211" s="23" t="str">
        <f t="shared" si="4"/>
        <v>Autoimmune</v>
      </c>
      <c r="E211" s="32" t="s">
        <v>586</v>
      </c>
      <c r="F211" s="23" t="s">
        <v>594</v>
      </c>
      <c r="G211" s="69" t="s">
        <v>36</v>
      </c>
      <c r="H211" s="33">
        <v>7119001</v>
      </c>
      <c r="I211" s="23"/>
      <c r="J211" s="23"/>
      <c r="K211" s="23"/>
      <c r="L211" s="23"/>
      <c r="M211" s="23"/>
      <c r="N211" s="22"/>
      <c r="O211" s="23"/>
      <c r="P211" s="23"/>
      <c r="Q211" s="23"/>
      <c r="R211" s="4"/>
      <c r="S211" s="23">
        <v>0</v>
      </c>
      <c r="T211" s="23">
        <v>0</v>
      </c>
      <c r="U211" s="23">
        <v>0</v>
      </c>
      <c r="V211" s="5">
        <v>0</v>
      </c>
      <c r="W211" s="39"/>
      <c r="X211" s="22"/>
      <c r="Y211" s="41"/>
    </row>
    <row r="212" spans="1:25" ht="13.95" customHeight="1">
      <c r="A212" s="23" t="s">
        <v>21</v>
      </c>
      <c r="B212" s="23" t="s">
        <v>22</v>
      </c>
      <c r="C212" s="23" t="s">
        <v>73</v>
      </c>
      <c r="D212" s="23" t="str">
        <f t="shared" si="4"/>
        <v>Autoimmune</v>
      </c>
      <c r="E212" s="32" t="s">
        <v>586</v>
      </c>
      <c r="F212" s="23" t="s">
        <v>595</v>
      </c>
      <c r="G212" s="69" t="s">
        <v>36</v>
      </c>
      <c r="H212" s="33">
        <v>200938002</v>
      </c>
      <c r="I212" s="23">
        <v>4066824</v>
      </c>
      <c r="J212" s="22"/>
      <c r="K212" s="23"/>
      <c r="L212" s="23"/>
      <c r="M212" s="23"/>
      <c r="N212" s="22"/>
      <c r="O212" s="23"/>
      <c r="P212" s="23"/>
      <c r="Q212" s="23"/>
      <c r="R212" s="4"/>
      <c r="S212" s="23">
        <v>0</v>
      </c>
      <c r="T212" s="23">
        <v>0</v>
      </c>
      <c r="U212" s="23">
        <v>0</v>
      </c>
      <c r="V212" s="5">
        <v>0</v>
      </c>
      <c r="W212" s="39"/>
      <c r="X212" s="22"/>
      <c r="Y212" s="41"/>
    </row>
    <row r="213" spans="1:25" ht="13.95" customHeight="1">
      <c r="A213" s="23" t="s">
        <v>21</v>
      </c>
      <c r="B213" s="23" t="s">
        <v>22</v>
      </c>
      <c r="C213" s="23" t="s">
        <v>73</v>
      </c>
      <c r="D213" s="23" t="str">
        <f t="shared" si="4"/>
        <v>Autoimmune</v>
      </c>
      <c r="E213" s="32" t="s">
        <v>586</v>
      </c>
      <c r="F213" s="23" t="s">
        <v>596</v>
      </c>
      <c r="G213" s="69" t="s">
        <v>52</v>
      </c>
      <c r="H213" s="33">
        <v>200941006</v>
      </c>
      <c r="I213" s="23">
        <v>4066481</v>
      </c>
      <c r="J213" s="22"/>
      <c r="K213" s="23"/>
      <c r="L213" s="23"/>
      <c r="M213" s="23"/>
      <c r="N213" s="22"/>
      <c r="O213" s="23"/>
      <c r="P213" s="23"/>
      <c r="Q213" s="23"/>
      <c r="R213" s="4"/>
      <c r="S213" s="23">
        <v>0</v>
      </c>
      <c r="T213" s="23">
        <v>0</v>
      </c>
      <c r="U213" s="23">
        <v>0</v>
      </c>
      <c r="V213" s="5">
        <v>0</v>
      </c>
      <c r="W213" s="39"/>
      <c r="X213" s="22"/>
      <c r="Y213" s="41"/>
    </row>
    <row r="214" spans="1:25" ht="13.95" customHeight="1">
      <c r="A214" s="23" t="s">
        <v>21</v>
      </c>
      <c r="B214" s="23" t="s">
        <v>22</v>
      </c>
      <c r="C214" s="23" t="s">
        <v>73</v>
      </c>
      <c r="D214" s="23" t="str">
        <f t="shared" si="4"/>
        <v>Autoimmune</v>
      </c>
      <c r="E214" s="32" t="s">
        <v>586</v>
      </c>
      <c r="F214" s="23" t="s">
        <v>597</v>
      </c>
      <c r="G214" s="69" t="s">
        <v>52</v>
      </c>
      <c r="H214" s="33">
        <v>238927000</v>
      </c>
      <c r="I214" s="23">
        <v>4081248</v>
      </c>
      <c r="J214" s="22"/>
      <c r="K214" s="23"/>
      <c r="L214" s="23"/>
      <c r="M214" s="23"/>
      <c r="N214" s="22"/>
      <c r="O214" s="23"/>
      <c r="P214" s="23"/>
      <c r="Q214" s="23"/>
      <c r="R214" s="4"/>
      <c r="S214" s="23">
        <v>0</v>
      </c>
      <c r="T214" s="23">
        <v>0</v>
      </c>
      <c r="U214" s="23">
        <v>0</v>
      </c>
      <c r="V214" s="5">
        <v>0</v>
      </c>
      <c r="W214" s="39"/>
      <c r="X214" s="22"/>
      <c r="Y214" s="41"/>
    </row>
    <row r="215" spans="1:25" ht="13.95" customHeight="1">
      <c r="A215" s="23" t="s">
        <v>21</v>
      </c>
      <c r="B215" s="23" t="s">
        <v>22</v>
      </c>
      <c r="C215" s="23" t="s">
        <v>73</v>
      </c>
      <c r="D215" s="23" t="str">
        <f t="shared" si="4"/>
        <v>Autoimmune</v>
      </c>
      <c r="E215" s="32" t="s">
        <v>586</v>
      </c>
      <c r="F215" s="23" t="s">
        <v>598</v>
      </c>
      <c r="G215" s="69" t="s">
        <v>52</v>
      </c>
      <c r="H215" s="33">
        <v>239891002</v>
      </c>
      <c r="I215" s="23">
        <v>4343923</v>
      </c>
      <c r="J215" s="22"/>
      <c r="K215" s="23"/>
      <c r="L215" s="23"/>
      <c r="M215" s="23"/>
      <c r="N215" s="22"/>
      <c r="O215" s="23"/>
      <c r="P215" s="23"/>
      <c r="Q215" s="23"/>
      <c r="R215" s="4"/>
      <c r="S215" s="23">
        <v>0</v>
      </c>
      <c r="T215" s="23">
        <v>0</v>
      </c>
      <c r="U215" s="23">
        <v>0</v>
      </c>
      <c r="V215" s="5">
        <v>0</v>
      </c>
      <c r="W215" s="39"/>
      <c r="X215" s="22"/>
      <c r="Y215" s="41"/>
    </row>
    <row r="216" spans="1:25" ht="13.95" customHeight="1">
      <c r="A216" s="23" t="s">
        <v>21</v>
      </c>
      <c r="B216" s="23" t="s">
        <v>22</v>
      </c>
      <c r="C216" s="23" t="s">
        <v>73</v>
      </c>
      <c r="D216" s="23" t="str">
        <f t="shared" si="4"/>
        <v>Autoimmune</v>
      </c>
      <c r="E216" s="32" t="s">
        <v>586</v>
      </c>
      <c r="F216" s="23" t="s">
        <v>599</v>
      </c>
      <c r="G216" s="69" t="s">
        <v>36</v>
      </c>
      <c r="H216" s="33">
        <v>403495008</v>
      </c>
      <c r="I216" s="23">
        <v>4295301</v>
      </c>
      <c r="J216" s="22"/>
      <c r="K216" s="23"/>
      <c r="L216" s="23"/>
      <c r="M216" s="23"/>
      <c r="N216" s="22"/>
      <c r="O216" s="23"/>
      <c r="P216" s="23"/>
      <c r="Q216" s="23"/>
      <c r="R216" s="4"/>
      <c r="S216" s="23">
        <v>0</v>
      </c>
      <c r="T216" s="23">
        <v>0</v>
      </c>
      <c r="U216" s="23">
        <v>0</v>
      </c>
      <c r="V216" s="5">
        <v>0</v>
      </c>
      <c r="W216" s="39"/>
      <c r="X216" s="22"/>
      <c r="Y216" s="41"/>
    </row>
    <row r="217" spans="1:25" ht="13.95" customHeight="1">
      <c r="A217" s="23" t="s">
        <v>21</v>
      </c>
      <c r="B217" s="23" t="s">
        <v>86</v>
      </c>
      <c r="C217" s="23" t="s">
        <v>600</v>
      </c>
      <c r="D217" s="23" t="str">
        <f t="shared" si="4"/>
        <v>Unconfirmed</v>
      </c>
      <c r="E217" s="32" t="s">
        <v>601</v>
      </c>
      <c r="F217" s="23" t="s">
        <v>601</v>
      </c>
      <c r="G217" s="69" t="s">
        <v>25</v>
      </c>
      <c r="H217" s="33">
        <v>397012002</v>
      </c>
      <c r="I217" s="23">
        <v>4246283</v>
      </c>
      <c r="J217" s="22" t="s">
        <v>602</v>
      </c>
      <c r="K217" s="2" t="s">
        <v>603</v>
      </c>
      <c r="L217" s="2" t="s">
        <v>604</v>
      </c>
      <c r="M217" s="9" t="s">
        <v>78</v>
      </c>
      <c r="N217" s="22" t="s">
        <v>606</v>
      </c>
      <c r="O217" s="23" t="s">
        <v>605</v>
      </c>
      <c r="P217" s="23">
        <v>1</v>
      </c>
      <c r="Q217" s="23">
        <v>1</v>
      </c>
      <c r="R217" s="4">
        <v>10000</v>
      </c>
      <c r="S217" s="4">
        <f>+(P217/R217)*[1]Population!$C$2</f>
        <v>33330</v>
      </c>
      <c r="T217" s="4">
        <f>IF(ISBLANK(Q217),S217,+(Q217/R217)*[1]Population!$C$2)</f>
        <v>33330</v>
      </c>
      <c r="U217" s="1">
        <f>+AVERAGE(S217:T217)</f>
        <v>33330</v>
      </c>
      <c r="V217" s="5">
        <f>+(U217/[1]Population!$C$2)*100000</f>
        <v>10</v>
      </c>
      <c r="W217" s="23"/>
      <c r="X217" s="22" t="s">
        <v>368</v>
      </c>
      <c r="Y217" s="41"/>
    </row>
    <row r="218" spans="1:25" ht="13.95" customHeight="1">
      <c r="A218" s="23" t="s">
        <v>21</v>
      </c>
      <c r="B218" s="23" t="s">
        <v>22</v>
      </c>
      <c r="C218" s="23" t="s">
        <v>73</v>
      </c>
      <c r="D218" s="23" t="str">
        <f t="shared" si="4"/>
        <v>Autoimmune</v>
      </c>
      <c r="E218" s="32" t="s">
        <v>607</v>
      </c>
      <c r="F218" s="23" t="s">
        <v>607</v>
      </c>
      <c r="G218" s="69" t="s">
        <v>25</v>
      </c>
      <c r="H218" s="33">
        <v>111196000</v>
      </c>
      <c r="I218" s="23">
        <v>140487</v>
      </c>
      <c r="J218" s="22" t="s">
        <v>608</v>
      </c>
      <c r="K218" s="2" t="s">
        <v>609</v>
      </c>
      <c r="L218" s="2" t="s">
        <v>610</v>
      </c>
      <c r="M218" s="3" t="s">
        <v>78</v>
      </c>
      <c r="N218" s="22" t="s">
        <v>613</v>
      </c>
      <c r="O218" s="44" t="s">
        <v>611</v>
      </c>
      <c r="P218" s="23">
        <v>7.5</v>
      </c>
      <c r="Q218" s="23">
        <v>11.2</v>
      </c>
      <c r="R218" s="4">
        <v>100000</v>
      </c>
      <c r="S218" s="4">
        <f>+(P218/R218)*[1]Population!$C$2</f>
        <v>24997.499999999996</v>
      </c>
      <c r="T218" s="4">
        <f>IF(ISBLANK(Q218),S218,+(Q218/R218)*[1]Population!$C$2)</f>
        <v>37329.599999999999</v>
      </c>
      <c r="U218" s="1">
        <f>+AVERAGE(S218:T218)</f>
        <v>31163.549999999996</v>
      </c>
      <c r="V218" s="5">
        <f>+(U218/[1]Population!$C$2)*100000</f>
        <v>9.3499999999999979</v>
      </c>
      <c r="W218" s="23"/>
      <c r="X218" s="22" t="s">
        <v>612</v>
      </c>
      <c r="Y218" s="41"/>
    </row>
    <row r="219" spans="1:25" ht="13.95" customHeight="1">
      <c r="A219" s="23" t="s">
        <v>21</v>
      </c>
      <c r="B219" s="23" t="s">
        <v>22</v>
      </c>
      <c r="C219" s="23" t="s">
        <v>73</v>
      </c>
      <c r="D219" s="23" t="str">
        <f t="shared" si="4"/>
        <v>Autoimmune</v>
      </c>
      <c r="E219" s="32" t="s">
        <v>607</v>
      </c>
      <c r="F219" s="23" t="s">
        <v>614</v>
      </c>
      <c r="G219" s="69" t="s">
        <v>34</v>
      </c>
      <c r="H219" s="33">
        <v>111196000</v>
      </c>
      <c r="I219" s="23"/>
      <c r="J219" s="23"/>
      <c r="K219" s="23"/>
      <c r="L219" s="23"/>
      <c r="M219" s="23"/>
      <c r="N219" s="22"/>
      <c r="O219" s="23"/>
      <c r="P219" s="23"/>
      <c r="Q219" s="23"/>
      <c r="R219" s="4"/>
      <c r="S219" s="23">
        <v>0</v>
      </c>
      <c r="T219" s="23">
        <v>0</v>
      </c>
      <c r="U219" s="23">
        <v>0</v>
      </c>
      <c r="V219" s="5">
        <v>0</v>
      </c>
      <c r="W219" s="39"/>
      <c r="X219" s="22"/>
      <c r="Y219" s="41"/>
    </row>
    <row r="220" spans="1:25" ht="13.95" customHeight="1">
      <c r="A220" s="23" t="s">
        <v>21</v>
      </c>
      <c r="B220" s="23" t="s">
        <v>22</v>
      </c>
      <c r="C220" s="23" t="s">
        <v>73</v>
      </c>
      <c r="D220" s="23" t="str">
        <f t="shared" si="4"/>
        <v>Autoimmune</v>
      </c>
      <c r="E220" s="32" t="s">
        <v>607</v>
      </c>
      <c r="F220" s="23" t="s">
        <v>615</v>
      </c>
      <c r="G220" s="69" t="s">
        <v>36</v>
      </c>
      <c r="H220" s="33">
        <v>111196000</v>
      </c>
      <c r="I220" s="23"/>
      <c r="J220" s="23"/>
      <c r="K220" s="23"/>
      <c r="L220" s="23"/>
      <c r="M220" s="23"/>
      <c r="N220" s="22"/>
      <c r="O220" s="23"/>
      <c r="P220" s="23"/>
      <c r="Q220" s="23"/>
      <c r="R220" s="4"/>
      <c r="S220" s="23">
        <v>0</v>
      </c>
      <c r="T220" s="23">
        <v>0</v>
      </c>
      <c r="U220" s="23">
        <v>0</v>
      </c>
      <c r="V220" s="5">
        <v>0</v>
      </c>
      <c r="W220" s="39"/>
      <c r="X220" s="22"/>
      <c r="Y220" s="41"/>
    </row>
    <row r="221" spans="1:25" ht="13.95" customHeight="1">
      <c r="A221" s="23" t="s">
        <v>21</v>
      </c>
      <c r="B221" s="23" t="s">
        <v>22</v>
      </c>
      <c r="C221" s="23" t="s">
        <v>73</v>
      </c>
      <c r="D221" s="23" t="str">
        <f t="shared" si="4"/>
        <v>Autoimmune</v>
      </c>
      <c r="E221" s="32" t="s">
        <v>607</v>
      </c>
      <c r="F221" s="23" t="s">
        <v>616</v>
      </c>
      <c r="G221" s="69" t="s">
        <v>36</v>
      </c>
      <c r="H221" s="33">
        <v>111196000</v>
      </c>
      <c r="I221" s="23"/>
      <c r="J221" s="23"/>
      <c r="K221" s="23"/>
      <c r="L221" s="23"/>
      <c r="M221" s="23"/>
      <c r="N221" s="22"/>
      <c r="O221" s="23"/>
      <c r="P221" s="23"/>
      <c r="Q221" s="23"/>
      <c r="R221" s="4"/>
      <c r="S221" s="23">
        <v>0</v>
      </c>
      <c r="T221" s="23">
        <v>0</v>
      </c>
      <c r="U221" s="23">
        <v>0</v>
      </c>
      <c r="V221" s="5">
        <v>0</v>
      </c>
      <c r="W221" s="39"/>
      <c r="X221" s="22"/>
      <c r="Y221" s="41"/>
    </row>
    <row r="222" spans="1:25" ht="13.95" customHeight="1">
      <c r="A222" s="23" t="s">
        <v>21</v>
      </c>
      <c r="B222" s="23" t="s">
        <v>22</v>
      </c>
      <c r="C222" s="23" t="s">
        <v>73</v>
      </c>
      <c r="D222" s="23" t="str">
        <f t="shared" si="4"/>
        <v>Autoimmune</v>
      </c>
      <c r="E222" s="32" t="s">
        <v>607</v>
      </c>
      <c r="F222" s="23" t="s">
        <v>617</v>
      </c>
      <c r="G222" s="69" t="s">
        <v>36</v>
      </c>
      <c r="H222" s="33">
        <v>111196000</v>
      </c>
      <c r="I222" s="23"/>
      <c r="J222" s="23"/>
      <c r="K222" s="23"/>
      <c r="L222" s="23"/>
      <c r="M222" s="23"/>
      <c r="N222" s="22"/>
      <c r="O222" s="23"/>
      <c r="P222" s="23"/>
      <c r="Q222" s="23"/>
      <c r="R222" s="4"/>
      <c r="S222" s="23">
        <v>0</v>
      </c>
      <c r="T222" s="23">
        <v>0</v>
      </c>
      <c r="U222" s="23">
        <v>0</v>
      </c>
      <c r="V222" s="5">
        <v>0</v>
      </c>
      <c r="W222" s="39"/>
      <c r="X222" s="22"/>
      <c r="Y222" s="41"/>
    </row>
    <row r="223" spans="1:25" ht="13.95" customHeight="1">
      <c r="A223" s="23" t="s">
        <v>21</v>
      </c>
      <c r="B223" s="23" t="s">
        <v>22</v>
      </c>
      <c r="C223" s="23" t="s">
        <v>73</v>
      </c>
      <c r="D223" s="23" t="str">
        <f t="shared" si="4"/>
        <v>Autoimmune</v>
      </c>
      <c r="E223" s="32" t="s">
        <v>618</v>
      </c>
      <c r="F223" s="23" t="s">
        <v>619</v>
      </c>
      <c r="G223" s="69" t="s">
        <v>52</v>
      </c>
      <c r="H223" s="33">
        <v>1212005</v>
      </c>
      <c r="I223" s="23">
        <v>4005037</v>
      </c>
      <c r="J223" s="22"/>
      <c r="K223" s="2" t="s">
        <v>620</v>
      </c>
      <c r="L223" s="2" t="s">
        <v>621</v>
      </c>
      <c r="M223" s="23" t="s">
        <v>78</v>
      </c>
      <c r="N223" s="22" t="s">
        <v>624</v>
      </c>
      <c r="O223" s="23" t="s">
        <v>622</v>
      </c>
      <c r="P223" s="23">
        <v>2.2000000000000002</v>
      </c>
      <c r="Q223" s="23"/>
      <c r="R223" s="4">
        <v>100000</v>
      </c>
      <c r="S223" s="4">
        <f>+(P223/R223)*[1]Population!$C$2</f>
        <v>7332.6000000000013</v>
      </c>
      <c r="T223" s="4">
        <f>IF(ISBLANK(Q223),S223,+(Q223/R223)*[1]Population!$C$2)</f>
        <v>7332.6000000000013</v>
      </c>
      <c r="U223" s="1">
        <f>+AVERAGE(S223:T223)</f>
        <v>7332.6000000000013</v>
      </c>
      <c r="V223" s="5">
        <f>+(U223/[1]Population!$C$2)*100000</f>
        <v>2.2000000000000002</v>
      </c>
      <c r="W223" s="23"/>
      <c r="X223" s="54" t="s">
        <v>623</v>
      </c>
      <c r="Y223" s="41"/>
    </row>
    <row r="224" spans="1:25" ht="13.95" customHeight="1">
      <c r="A224" s="23" t="s">
        <v>21</v>
      </c>
      <c r="B224" s="23" t="s">
        <v>22</v>
      </c>
      <c r="C224" s="23" t="s">
        <v>73</v>
      </c>
      <c r="D224" s="23" t="str">
        <f t="shared" si="4"/>
        <v>Autoimmune</v>
      </c>
      <c r="E224" s="32" t="s">
        <v>618</v>
      </c>
      <c r="F224" s="23" t="s">
        <v>618</v>
      </c>
      <c r="G224" s="69" t="s">
        <v>25</v>
      </c>
      <c r="H224" s="33">
        <v>396230008</v>
      </c>
      <c r="I224" s="23">
        <v>80182</v>
      </c>
      <c r="J224" s="22" t="s">
        <v>625</v>
      </c>
      <c r="K224" s="2" t="s">
        <v>620</v>
      </c>
      <c r="L224" s="2" t="s">
        <v>621</v>
      </c>
      <c r="M224" s="3" t="s">
        <v>78</v>
      </c>
      <c r="N224" s="22" t="s">
        <v>628</v>
      </c>
      <c r="O224" s="45" t="s">
        <v>626</v>
      </c>
      <c r="P224" s="23">
        <v>21.42</v>
      </c>
      <c r="Q224" s="23"/>
      <c r="R224" s="4">
        <v>100000</v>
      </c>
      <c r="S224" s="4">
        <f>+(P224/R224)*[1]Population!$C$2</f>
        <v>71392.860000000015</v>
      </c>
      <c r="T224" s="4">
        <f>IF(ISBLANK(Q224),S224,+(Q224/R224)*[1]Population!$C$2)</f>
        <v>71392.860000000015</v>
      </c>
      <c r="U224" s="1">
        <f>+AVERAGE(S224:T224)</f>
        <v>71392.860000000015</v>
      </c>
      <c r="V224" s="5">
        <f>+(U224/[1]Population!$C$2)*100000</f>
        <v>21.420000000000005</v>
      </c>
      <c r="W224" s="23"/>
      <c r="X224" s="54" t="s">
        <v>627</v>
      </c>
      <c r="Y224" s="41"/>
    </row>
    <row r="225" spans="1:25" ht="13.95" customHeight="1">
      <c r="A225" s="23" t="s">
        <v>348</v>
      </c>
      <c r="B225" s="23" t="s">
        <v>22</v>
      </c>
      <c r="C225" s="23" t="s">
        <v>73</v>
      </c>
      <c r="D225" s="23" t="str">
        <f t="shared" si="4"/>
        <v>Autoimmune</v>
      </c>
      <c r="E225" s="32" t="s">
        <v>629</v>
      </c>
      <c r="F225" s="23" t="s">
        <v>629</v>
      </c>
      <c r="G225" s="69" t="s">
        <v>25</v>
      </c>
      <c r="H225" s="33">
        <v>46635009</v>
      </c>
      <c r="I225" s="23">
        <v>201254</v>
      </c>
      <c r="J225" s="22" t="s">
        <v>630</v>
      </c>
      <c r="K225" s="2" t="s">
        <v>631</v>
      </c>
      <c r="L225" s="2" t="s">
        <v>632</v>
      </c>
      <c r="M225" s="3" t="s">
        <v>78</v>
      </c>
      <c r="N225" s="22" t="s">
        <v>635</v>
      </c>
      <c r="O225" s="55" t="s">
        <v>633</v>
      </c>
      <c r="P225" s="23">
        <v>2.6</v>
      </c>
      <c r="Q225" s="23">
        <v>3.4</v>
      </c>
      <c r="R225" s="4">
        <v>1000</v>
      </c>
      <c r="S225" s="4">
        <f>+(P225/R225)*[1]Population!$C$2</f>
        <v>866580</v>
      </c>
      <c r="T225" s="4">
        <f>IF(ISBLANK(Q225),S225,+(Q225/R225)*[1]Population!$C$2)</f>
        <v>1133220</v>
      </c>
      <c r="U225" s="1">
        <f>+AVERAGE(S225:T225)</f>
        <v>999900</v>
      </c>
      <c r="V225" s="5">
        <f>+(U225/[1]Population!$C$2)*100000</f>
        <v>300</v>
      </c>
      <c r="W225" s="23"/>
      <c r="X225" s="22" t="s">
        <v>634</v>
      </c>
      <c r="Y225" s="13"/>
    </row>
    <row r="226" spans="1:25" ht="13.95" customHeight="1">
      <c r="A226" s="23" t="s">
        <v>348</v>
      </c>
      <c r="B226" s="23" t="s">
        <v>22</v>
      </c>
      <c r="C226" s="23" t="s">
        <v>73</v>
      </c>
      <c r="D226" s="23" t="str">
        <f t="shared" si="4"/>
        <v>Autoimmune</v>
      </c>
      <c r="E226" s="32" t="s">
        <v>629</v>
      </c>
      <c r="F226" s="23" t="s">
        <v>636</v>
      </c>
      <c r="G226" s="69" t="s">
        <v>36</v>
      </c>
      <c r="H226" s="33">
        <v>46635009</v>
      </c>
      <c r="I226" s="23"/>
      <c r="J226" s="23"/>
      <c r="K226" s="23"/>
      <c r="L226" s="23"/>
      <c r="M226" s="23"/>
      <c r="N226" s="22"/>
      <c r="O226" s="23"/>
      <c r="P226" s="23"/>
      <c r="Q226" s="23"/>
      <c r="R226" s="4"/>
      <c r="S226" s="23">
        <v>0</v>
      </c>
      <c r="T226" s="23">
        <v>0</v>
      </c>
      <c r="U226" s="23">
        <v>0</v>
      </c>
      <c r="V226" s="5">
        <v>0</v>
      </c>
      <c r="W226" s="39"/>
      <c r="X226" s="22"/>
      <c r="Y226" s="41"/>
    </row>
    <row r="227" spans="1:25" ht="13.95" customHeight="1">
      <c r="A227" s="23" t="s">
        <v>348</v>
      </c>
      <c r="B227" s="23" t="s">
        <v>22</v>
      </c>
      <c r="C227" s="23" t="s">
        <v>73</v>
      </c>
      <c r="D227" s="23" t="str">
        <f t="shared" si="4"/>
        <v>Autoimmune</v>
      </c>
      <c r="E227" s="32" t="s">
        <v>629</v>
      </c>
      <c r="F227" s="23" t="s">
        <v>637</v>
      </c>
      <c r="G227" s="69" t="s">
        <v>36</v>
      </c>
      <c r="H227" s="33">
        <v>46635009</v>
      </c>
      <c r="I227" s="23"/>
      <c r="J227" s="23"/>
      <c r="K227" s="23"/>
      <c r="L227" s="23"/>
      <c r="M227" s="23"/>
      <c r="N227" s="22"/>
      <c r="O227" s="23"/>
      <c r="P227" s="23"/>
      <c r="Q227" s="23"/>
      <c r="R227" s="4"/>
      <c r="S227" s="23">
        <v>0</v>
      </c>
      <c r="T227" s="23">
        <v>0</v>
      </c>
      <c r="U227" s="23">
        <v>0</v>
      </c>
      <c r="V227" s="5">
        <v>0</v>
      </c>
      <c r="W227" s="39"/>
      <c r="X227" s="22"/>
      <c r="Y227" s="41"/>
    </row>
    <row r="228" spans="1:25" ht="13.95" customHeight="1">
      <c r="A228" s="23" t="s">
        <v>348</v>
      </c>
      <c r="B228" s="23" t="s">
        <v>22</v>
      </c>
      <c r="C228" s="23" t="s">
        <v>73</v>
      </c>
      <c r="D228" s="23" t="str">
        <f t="shared" si="4"/>
        <v>Autoimmune</v>
      </c>
      <c r="E228" s="32" t="s">
        <v>629</v>
      </c>
      <c r="F228" s="23" t="s">
        <v>638</v>
      </c>
      <c r="G228" s="69" t="s">
        <v>36</v>
      </c>
      <c r="H228" s="33">
        <v>46635009</v>
      </c>
      <c r="I228" s="23"/>
      <c r="J228" s="23"/>
      <c r="K228" s="23"/>
      <c r="L228" s="23"/>
      <c r="M228" s="23"/>
      <c r="N228" s="22"/>
      <c r="O228" s="23"/>
      <c r="P228" s="23"/>
      <c r="Q228" s="23"/>
      <c r="R228" s="4"/>
      <c r="S228" s="23">
        <v>0</v>
      </c>
      <c r="T228" s="23">
        <v>0</v>
      </c>
      <c r="U228" s="23">
        <v>0</v>
      </c>
      <c r="V228" s="5">
        <v>0</v>
      </c>
      <c r="W228" s="39"/>
      <c r="X228" s="22"/>
      <c r="Y228" s="41"/>
    </row>
    <row r="229" spans="1:25" ht="13.95" customHeight="1">
      <c r="A229" s="23" t="s">
        <v>348</v>
      </c>
      <c r="B229" s="23" t="s">
        <v>22</v>
      </c>
      <c r="C229" s="23" t="s">
        <v>73</v>
      </c>
      <c r="D229" s="23" t="str">
        <f t="shared" si="4"/>
        <v>Autoimmune</v>
      </c>
      <c r="E229" s="32" t="s">
        <v>629</v>
      </c>
      <c r="F229" s="23" t="s">
        <v>639</v>
      </c>
      <c r="G229" s="69" t="s">
        <v>36</v>
      </c>
      <c r="H229" s="33">
        <v>46635009</v>
      </c>
      <c r="I229" s="23">
        <v>201254</v>
      </c>
      <c r="J229" s="22"/>
      <c r="K229" s="2" t="s">
        <v>631</v>
      </c>
      <c r="L229" s="2" t="s">
        <v>632</v>
      </c>
      <c r="M229" s="3" t="s">
        <v>78</v>
      </c>
      <c r="N229" s="22" t="s">
        <v>635</v>
      </c>
      <c r="O229" s="55" t="s">
        <v>633</v>
      </c>
      <c r="P229" s="23">
        <v>2.6</v>
      </c>
      <c r="Q229" s="23">
        <v>3.4</v>
      </c>
      <c r="R229" s="4">
        <v>1000</v>
      </c>
      <c r="S229" s="4">
        <f>+(P229/R229)*[1]Population!$C$2</f>
        <v>866580</v>
      </c>
      <c r="T229" s="4">
        <f>IF(ISBLANK(Q229),S229,+(Q229/R229)*[1]Population!$C$2)</f>
        <v>1133220</v>
      </c>
      <c r="U229" s="1">
        <f>+AVERAGE(S229:T229)</f>
        <v>999900</v>
      </c>
      <c r="V229" s="5">
        <f>+(U229/[1]Population!$C$2)*100000</f>
        <v>300</v>
      </c>
      <c r="W229" s="23"/>
      <c r="X229" s="22" t="s">
        <v>634</v>
      </c>
      <c r="Y229" s="13"/>
    </row>
    <row r="230" spans="1:25" ht="13.95" customHeight="1">
      <c r="A230" s="23" t="s">
        <v>112</v>
      </c>
      <c r="B230" s="23" t="s">
        <v>22</v>
      </c>
      <c r="C230" s="23" t="s">
        <v>73</v>
      </c>
      <c r="D230" s="23" t="str">
        <f t="shared" si="4"/>
        <v>Autoimmune</v>
      </c>
      <c r="E230" s="32" t="s">
        <v>640</v>
      </c>
      <c r="F230" s="23" t="s">
        <v>640</v>
      </c>
      <c r="G230" s="69" t="s">
        <v>25</v>
      </c>
      <c r="H230" s="33">
        <v>56989000</v>
      </c>
      <c r="I230" s="23">
        <v>4237155</v>
      </c>
      <c r="J230" s="22" t="s">
        <v>641</v>
      </c>
      <c r="K230" s="2" t="s">
        <v>642</v>
      </c>
      <c r="L230" s="2" t="s">
        <v>643</v>
      </c>
      <c r="M230" s="9" t="s">
        <v>78</v>
      </c>
      <c r="N230" s="22" t="s">
        <v>646</v>
      </c>
      <c r="O230" s="44" t="s">
        <v>644</v>
      </c>
      <c r="P230" s="23">
        <v>0.26</v>
      </c>
      <c r="Q230" s="23">
        <v>0.33</v>
      </c>
      <c r="R230" s="4">
        <v>100000</v>
      </c>
      <c r="S230" s="4">
        <f>+(P230/R230)*[1]Population!$C$2</f>
        <v>866.58</v>
      </c>
      <c r="T230" s="4">
        <f>IF(ISBLANK(Q230),S230,+(Q230/R230)*[1]Population!$C$2)</f>
        <v>1099.8900000000001</v>
      </c>
      <c r="U230" s="1">
        <f>+AVERAGE(S230:T230)</f>
        <v>983.23500000000013</v>
      </c>
      <c r="V230" s="5">
        <f>+(U230/[1]Population!$C$2)*100000</f>
        <v>0.29500000000000004</v>
      </c>
      <c r="W230" s="23"/>
      <c r="X230" s="22" t="s">
        <v>645</v>
      </c>
      <c r="Y230" s="40"/>
    </row>
    <row r="231" spans="1:25" ht="13.95" customHeight="1">
      <c r="A231" s="23" t="s">
        <v>146</v>
      </c>
      <c r="B231" s="23" t="s">
        <v>22</v>
      </c>
      <c r="C231" s="23" t="s">
        <v>514</v>
      </c>
      <c r="D231" s="23" t="str">
        <f t="shared" si="4"/>
        <v>Autoimmune</v>
      </c>
      <c r="E231" s="32" t="s">
        <v>640</v>
      </c>
      <c r="F231" s="23" t="s">
        <v>647</v>
      </c>
      <c r="G231" s="69" t="s">
        <v>34</v>
      </c>
      <c r="H231" s="33">
        <v>56989000</v>
      </c>
      <c r="I231" s="23"/>
      <c r="J231" s="23"/>
      <c r="K231" s="23"/>
      <c r="L231" s="23"/>
      <c r="M231" s="23"/>
      <c r="N231" s="22"/>
      <c r="O231" s="23"/>
      <c r="P231" s="23"/>
      <c r="Q231" s="23"/>
      <c r="R231" s="4"/>
      <c r="S231" s="23">
        <v>0</v>
      </c>
      <c r="T231" s="23">
        <v>0</v>
      </c>
      <c r="U231" s="23">
        <v>0</v>
      </c>
      <c r="V231" s="5">
        <v>0</v>
      </c>
      <c r="W231" s="39"/>
      <c r="X231" s="22"/>
      <c r="Y231" s="41"/>
    </row>
    <row r="232" spans="1:25" ht="13.95" customHeight="1">
      <c r="A232" s="23" t="s">
        <v>112</v>
      </c>
      <c r="B232" s="23" t="s">
        <v>22</v>
      </c>
      <c r="C232" s="23" t="s">
        <v>73</v>
      </c>
      <c r="D232" s="23" t="str">
        <f t="shared" si="4"/>
        <v>Autoimmune</v>
      </c>
      <c r="E232" s="32" t="s">
        <v>640</v>
      </c>
      <c r="F232" s="23" t="s">
        <v>648</v>
      </c>
      <c r="G232" s="69" t="s">
        <v>36</v>
      </c>
      <c r="H232" s="33">
        <v>56989000</v>
      </c>
      <c r="I232" s="23">
        <v>4237155</v>
      </c>
      <c r="J232" s="22"/>
      <c r="K232" s="2" t="s">
        <v>642</v>
      </c>
      <c r="L232" s="2" t="s">
        <v>643</v>
      </c>
      <c r="M232" s="9" t="s">
        <v>78</v>
      </c>
      <c r="N232" s="22" t="s">
        <v>646</v>
      </c>
      <c r="O232" s="44" t="s">
        <v>644</v>
      </c>
      <c r="P232" s="23">
        <v>0.26</v>
      </c>
      <c r="Q232" s="23">
        <v>0.33</v>
      </c>
      <c r="R232" s="4">
        <v>100000</v>
      </c>
      <c r="S232" s="4">
        <f>+(P232/R232)*[1]Population!$C$2</f>
        <v>866.58</v>
      </c>
      <c r="T232" s="4">
        <f>IF(ISBLANK(Q232),S232,+(Q232/R232)*[1]Population!$C$2)</f>
        <v>1099.8900000000001</v>
      </c>
      <c r="U232" s="1">
        <f>+AVERAGE(S232:T232)</f>
        <v>983.23500000000013</v>
      </c>
      <c r="V232" s="5">
        <f>+(U232/[1]Population!$C$2)*100000</f>
        <v>0.29500000000000004</v>
      </c>
      <c r="W232" s="23"/>
      <c r="X232" s="22" t="s">
        <v>645</v>
      </c>
      <c r="Y232" s="40"/>
    </row>
    <row r="233" spans="1:25" ht="13.95" customHeight="1">
      <c r="A233" s="23" t="s">
        <v>146</v>
      </c>
      <c r="B233" s="23" t="s">
        <v>22</v>
      </c>
      <c r="C233" s="23" t="s">
        <v>514</v>
      </c>
      <c r="D233" s="23" t="str">
        <f t="shared" si="4"/>
        <v>Autoimmune</v>
      </c>
      <c r="E233" s="32" t="s">
        <v>640</v>
      </c>
      <c r="F233" s="23" t="s">
        <v>649</v>
      </c>
      <c r="G233" s="69" t="s">
        <v>36</v>
      </c>
      <c r="H233" s="33">
        <v>56989000</v>
      </c>
      <c r="I233" s="23"/>
      <c r="J233" s="23"/>
      <c r="K233" s="23"/>
      <c r="L233" s="23"/>
      <c r="M233" s="23"/>
      <c r="N233" s="22"/>
      <c r="O233" s="23"/>
      <c r="P233" s="23"/>
      <c r="Q233" s="23"/>
      <c r="R233" s="4"/>
      <c r="S233" s="23">
        <v>0</v>
      </c>
      <c r="T233" s="23">
        <v>0</v>
      </c>
      <c r="U233" s="23">
        <v>0</v>
      </c>
      <c r="V233" s="5">
        <v>0</v>
      </c>
      <c r="W233" s="39"/>
      <c r="X233" s="22"/>
      <c r="Y233" s="41"/>
    </row>
    <row r="234" spans="1:25" ht="13.95" customHeight="1">
      <c r="A234" s="23" t="s">
        <v>112</v>
      </c>
      <c r="B234" s="23" t="s">
        <v>86</v>
      </c>
      <c r="C234" s="23" t="s">
        <v>86</v>
      </c>
      <c r="D234" s="23" t="str">
        <f t="shared" si="4"/>
        <v>Unconfirmed</v>
      </c>
      <c r="E234" s="32" t="s">
        <v>650</v>
      </c>
      <c r="F234" s="23" t="s">
        <v>650</v>
      </c>
      <c r="G234" s="69" t="s">
        <v>25</v>
      </c>
      <c r="H234" s="33">
        <v>129103003</v>
      </c>
      <c r="I234" s="23">
        <v>433527</v>
      </c>
      <c r="J234" s="22" t="s">
        <v>651</v>
      </c>
      <c r="K234" s="2" t="s">
        <v>652</v>
      </c>
      <c r="L234" s="2" t="s">
        <v>653</v>
      </c>
      <c r="M234" s="3" t="s">
        <v>78</v>
      </c>
      <c r="N234" s="22" t="s">
        <v>656</v>
      </c>
      <c r="O234" s="1" t="s">
        <v>654</v>
      </c>
      <c r="P234" s="23">
        <v>1050</v>
      </c>
      <c r="Q234" s="23">
        <v>1100</v>
      </c>
      <c r="R234" s="4">
        <v>100000</v>
      </c>
      <c r="S234" s="4">
        <f>+(P234/R234)*75000000</f>
        <v>787500</v>
      </c>
      <c r="T234" s="4">
        <f>+(Q234/R234)*75000000</f>
        <v>825000</v>
      </c>
      <c r="U234" s="1">
        <f>+AVERAGE(S234:T234)</f>
        <v>806250</v>
      </c>
      <c r="V234" s="5">
        <f>+(U234/[1]Population!$C$2)*100000</f>
        <v>241.89918991899188</v>
      </c>
      <c r="W234" s="23"/>
      <c r="X234" s="22" t="s">
        <v>655</v>
      </c>
      <c r="Y234" s="41"/>
    </row>
    <row r="235" spans="1:25" ht="13.95" customHeight="1">
      <c r="A235" s="23" t="s">
        <v>112</v>
      </c>
      <c r="B235" s="23" t="s">
        <v>86</v>
      </c>
      <c r="C235" s="23" t="s">
        <v>86</v>
      </c>
      <c r="D235" s="23" t="str">
        <f t="shared" si="4"/>
        <v>Unconfirmed</v>
      </c>
      <c r="E235" s="32" t="s">
        <v>650</v>
      </c>
      <c r="F235" s="23" t="s">
        <v>657</v>
      </c>
      <c r="G235" s="69" t="s">
        <v>36</v>
      </c>
      <c r="H235" s="33">
        <v>129103003</v>
      </c>
      <c r="I235" s="23"/>
      <c r="J235" s="23"/>
      <c r="K235" s="23"/>
      <c r="L235" s="23"/>
      <c r="M235" s="23"/>
      <c r="N235" s="22"/>
      <c r="O235" s="23"/>
      <c r="P235" s="23"/>
      <c r="Q235" s="23"/>
      <c r="R235" s="4"/>
      <c r="S235" s="23">
        <v>0</v>
      </c>
      <c r="T235" s="23">
        <v>0</v>
      </c>
      <c r="U235" s="23">
        <v>0</v>
      </c>
      <c r="V235" s="5">
        <v>0</v>
      </c>
      <c r="W235" s="39"/>
      <c r="X235" s="22"/>
      <c r="Y235" s="41"/>
    </row>
    <row r="236" spans="1:25" ht="13.95" customHeight="1">
      <c r="A236" s="23" t="s">
        <v>112</v>
      </c>
      <c r="B236" s="23" t="s">
        <v>86</v>
      </c>
      <c r="C236" s="23" t="s">
        <v>86</v>
      </c>
      <c r="D236" s="23" t="str">
        <f t="shared" si="4"/>
        <v>Unconfirmed</v>
      </c>
      <c r="E236" s="32" t="s">
        <v>650</v>
      </c>
      <c r="F236" s="23" t="s">
        <v>658</v>
      </c>
      <c r="G236" s="69" t="s">
        <v>36</v>
      </c>
      <c r="H236" s="33">
        <v>129103003</v>
      </c>
      <c r="I236" s="23"/>
      <c r="J236" s="23"/>
      <c r="K236" s="23"/>
      <c r="L236" s="23"/>
      <c r="M236" s="23"/>
      <c r="N236" s="22"/>
      <c r="O236" s="23"/>
      <c r="P236" s="23"/>
      <c r="Q236" s="23"/>
      <c r="R236" s="4"/>
      <c r="S236" s="23">
        <v>0</v>
      </c>
      <c r="T236" s="23">
        <v>0</v>
      </c>
      <c r="U236" s="23">
        <v>0</v>
      </c>
      <c r="V236" s="5">
        <v>0</v>
      </c>
      <c r="W236" s="39"/>
      <c r="X236" s="22"/>
      <c r="Y236" s="41"/>
    </row>
    <row r="237" spans="1:25" ht="13.95" customHeight="1">
      <c r="A237" s="23" t="s">
        <v>112</v>
      </c>
      <c r="B237" s="23" t="s">
        <v>86</v>
      </c>
      <c r="C237" s="23" t="s">
        <v>86</v>
      </c>
      <c r="D237" s="23" t="str">
        <f t="shared" si="4"/>
        <v>Unconfirmed</v>
      </c>
      <c r="E237" s="32" t="s">
        <v>650</v>
      </c>
      <c r="F237" s="23" t="s">
        <v>659</v>
      </c>
      <c r="G237" s="69" t="s">
        <v>36</v>
      </c>
      <c r="H237" s="33">
        <v>129103003</v>
      </c>
      <c r="I237" s="23"/>
      <c r="J237" s="23"/>
      <c r="K237" s="23"/>
      <c r="L237" s="23"/>
      <c r="M237" s="23"/>
      <c r="N237" s="22"/>
      <c r="O237" s="23"/>
      <c r="P237" s="23"/>
      <c r="Q237" s="23"/>
      <c r="R237" s="4"/>
      <c r="S237" s="23">
        <v>0</v>
      </c>
      <c r="T237" s="23">
        <v>0</v>
      </c>
      <c r="U237" s="23">
        <v>0</v>
      </c>
      <c r="V237" s="5">
        <v>0</v>
      </c>
      <c r="W237" s="39"/>
      <c r="X237" s="22"/>
      <c r="Y237" s="41"/>
    </row>
    <row r="238" spans="1:25" ht="13.95" customHeight="1">
      <c r="A238" s="23" t="s">
        <v>112</v>
      </c>
      <c r="B238" s="23" t="s">
        <v>86</v>
      </c>
      <c r="C238" s="23" t="s">
        <v>86</v>
      </c>
      <c r="D238" s="23" t="str">
        <f t="shared" si="4"/>
        <v>Unconfirmed</v>
      </c>
      <c r="E238" s="32" t="s">
        <v>650</v>
      </c>
      <c r="F238" s="23" t="s">
        <v>660</v>
      </c>
      <c r="G238" s="69" t="s">
        <v>36</v>
      </c>
      <c r="H238" s="33">
        <v>129103003</v>
      </c>
      <c r="I238" s="23"/>
      <c r="J238" s="23"/>
      <c r="K238" s="23"/>
      <c r="L238" s="23"/>
      <c r="M238" s="23"/>
      <c r="N238" s="22"/>
      <c r="O238" s="23"/>
      <c r="P238" s="23"/>
      <c r="Q238" s="23"/>
      <c r="R238" s="4"/>
      <c r="S238" s="23">
        <v>0</v>
      </c>
      <c r="T238" s="23">
        <v>0</v>
      </c>
      <c r="U238" s="23">
        <v>0</v>
      </c>
      <c r="V238" s="5">
        <v>0</v>
      </c>
      <c r="W238" s="39"/>
      <c r="X238" s="22"/>
      <c r="Y238" s="41"/>
    </row>
    <row r="239" spans="1:25" ht="13.95" customHeight="1">
      <c r="A239" s="23" t="s">
        <v>146</v>
      </c>
      <c r="B239" s="23" t="s">
        <v>22</v>
      </c>
      <c r="C239" s="23" t="s">
        <v>73</v>
      </c>
      <c r="D239" s="23" t="str">
        <f t="shared" si="4"/>
        <v>Autoimmune</v>
      </c>
      <c r="E239" s="32" t="s">
        <v>661</v>
      </c>
      <c r="F239" s="23" t="s">
        <v>661</v>
      </c>
      <c r="G239" s="69" t="s">
        <v>25</v>
      </c>
      <c r="H239" s="33">
        <v>359643005</v>
      </c>
      <c r="I239" s="23">
        <v>4231746</v>
      </c>
      <c r="J239" s="22" t="s">
        <v>662</v>
      </c>
      <c r="K239" s="39" t="s">
        <v>410</v>
      </c>
      <c r="L239" s="39" t="s">
        <v>411</v>
      </c>
      <c r="M239" s="9" t="s">
        <v>78</v>
      </c>
      <c r="N239" s="22" t="s">
        <v>261</v>
      </c>
      <c r="O239" s="11" t="s">
        <v>258</v>
      </c>
      <c r="P239" s="50"/>
      <c r="Q239" s="50"/>
      <c r="R239" s="50">
        <v>0</v>
      </c>
      <c r="S239" s="11">
        <v>50</v>
      </c>
      <c r="T239" s="11">
        <v>50</v>
      </c>
      <c r="U239" s="1">
        <f>+AVERAGE(S239:T239)</f>
        <v>50</v>
      </c>
      <c r="V239" s="5">
        <f>+(U239/[1]Population!$C$2)*100000</f>
        <v>1.5001500150015001E-2</v>
      </c>
      <c r="W239" s="23"/>
      <c r="X239" s="22" t="s">
        <v>663</v>
      </c>
      <c r="Y239" s="41"/>
    </row>
    <row r="240" spans="1:25" ht="13.95" customHeight="1">
      <c r="A240" s="23" t="s">
        <v>146</v>
      </c>
      <c r="B240" s="23" t="s">
        <v>22</v>
      </c>
      <c r="C240" s="23" t="s">
        <v>73</v>
      </c>
      <c r="D240" s="23" t="str">
        <f t="shared" si="4"/>
        <v>Autoimmune</v>
      </c>
      <c r="E240" s="32" t="s">
        <v>661</v>
      </c>
      <c r="F240" s="23" t="s">
        <v>664</v>
      </c>
      <c r="G240" s="69" t="s">
        <v>36</v>
      </c>
      <c r="H240" s="33">
        <v>359643005</v>
      </c>
      <c r="I240" s="23"/>
      <c r="J240" s="23"/>
      <c r="K240" s="23"/>
      <c r="L240" s="23"/>
      <c r="M240" s="23"/>
      <c r="N240" s="22"/>
      <c r="O240" s="23"/>
      <c r="P240" s="23"/>
      <c r="Q240" s="23"/>
      <c r="R240" s="4"/>
      <c r="S240" s="23">
        <v>0</v>
      </c>
      <c r="T240" s="23">
        <v>0</v>
      </c>
      <c r="U240" s="23">
        <v>0</v>
      </c>
      <c r="V240" s="5">
        <v>0</v>
      </c>
      <c r="W240" s="39"/>
      <c r="X240" s="22"/>
      <c r="Y240" s="41"/>
    </row>
    <row r="241" spans="1:25" ht="13.95" customHeight="1">
      <c r="A241" s="23" t="s">
        <v>146</v>
      </c>
      <c r="B241" s="23" t="s">
        <v>22</v>
      </c>
      <c r="C241" s="23" t="s">
        <v>73</v>
      </c>
      <c r="D241" s="23" t="str">
        <f t="shared" si="4"/>
        <v>Autoimmune</v>
      </c>
      <c r="E241" s="32" t="s">
        <v>661</v>
      </c>
      <c r="F241" s="23" t="s">
        <v>665</v>
      </c>
      <c r="G241" s="69" t="s">
        <v>36</v>
      </c>
      <c r="H241" s="33">
        <v>359643005</v>
      </c>
      <c r="I241" s="23"/>
      <c r="J241" s="23"/>
      <c r="K241" s="23"/>
      <c r="L241" s="23"/>
      <c r="M241" s="23"/>
      <c r="N241" s="22"/>
      <c r="O241" s="23"/>
      <c r="P241" s="23"/>
      <c r="Q241" s="23"/>
      <c r="R241" s="4"/>
      <c r="S241" s="23">
        <v>0</v>
      </c>
      <c r="T241" s="23">
        <v>0</v>
      </c>
      <c r="U241" s="23">
        <v>0</v>
      </c>
      <c r="V241" s="5">
        <v>0</v>
      </c>
      <c r="W241" s="39"/>
      <c r="X241" s="22"/>
      <c r="Y241" s="41"/>
    </row>
    <row r="242" spans="1:25" ht="13.95" customHeight="1">
      <c r="A242" s="23" t="s">
        <v>281</v>
      </c>
      <c r="B242" s="23" t="s">
        <v>86</v>
      </c>
      <c r="C242" s="23" t="s">
        <v>600</v>
      </c>
      <c r="D242" s="23" t="str">
        <f t="shared" si="4"/>
        <v>Unconfirmed</v>
      </c>
      <c r="E242" s="32" t="s">
        <v>666</v>
      </c>
      <c r="F242" s="23" t="s">
        <v>666</v>
      </c>
      <c r="G242" s="69" t="s">
        <v>25</v>
      </c>
      <c r="H242" s="33">
        <v>235599003</v>
      </c>
      <c r="I242" s="23">
        <v>27918</v>
      </c>
      <c r="J242" s="22" t="s">
        <v>667</v>
      </c>
      <c r="K242" s="2" t="s">
        <v>668</v>
      </c>
      <c r="L242" s="2" t="s">
        <v>669</v>
      </c>
      <c r="M242" s="3" t="s">
        <v>78</v>
      </c>
      <c r="N242" s="22" t="s">
        <v>670</v>
      </c>
      <c r="O242" s="1"/>
      <c r="P242" s="23">
        <v>10</v>
      </c>
      <c r="Q242" s="23">
        <v>57</v>
      </c>
      <c r="R242" s="4">
        <v>100000</v>
      </c>
      <c r="S242" s="4">
        <f>+(P242/R242)*[1]Population!$C$2</f>
        <v>33330</v>
      </c>
      <c r="T242" s="4">
        <f>IF(ISBLANK(Q242),S242,+(Q242/R242)*[1]Population!$C$2)</f>
        <v>189981</v>
      </c>
      <c r="U242" s="1">
        <f>+AVERAGE(S242:T242)</f>
        <v>111655.5</v>
      </c>
      <c r="V242" s="5">
        <f>+(U242/[1]Population!$C$2)*100000</f>
        <v>33.5</v>
      </c>
      <c r="W242" s="23"/>
      <c r="X242" s="22" t="s">
        <v>368</v>
      </c>
      <c r="Y242" s="41"/>
    </row>
    <row r="243" spans="1:25" ht="13.95" customHeight="1">
      <c r="A243" s="23" t="s">
        <v>281</v>
      </c>
      <c r="B243" s="23" t="s">
        <v>86</v>
      </c>
      <c r="C243" s="23" t="s">
        <v>600</v>
      </c>
      <c r="D243" s="23" t="str">
        <f t="shared" si="4"/>
        <v>Unconfirmed</v>
      </c>
      <c r="E243" s="32" t="s">
        <v>671</v>
      </c>
      <c r="F243" s="23" t="s">
        <v>672</v>
      </c>
      <c r="G243" s="69" t="s">
        <v>36</v>
      </c>
      <c r="H243" s="33">
        <v>235599003</v>
      </c>
      <c r="I243" s="23"/>
      <c r="J243" s="23"/>
      <c r="K243" s="23"/>
      <c r="L243" s="23"/>
      <c r="M243" s="23"/>
      <c r="N243" s="22"/>
      <c r="O243" s="23"/>
      <c r="P243" s="23"/>
      <c r="Q243" s="23"/>
      <c r="R243" s="4"/>
      <c r="S243" s="23">
        <v>0</v>
      </c>
      <c r="T243" s="23">
        <v>0</v>
      </c>
      <c r="U243" s="23">
        <v>0</v>
      </c>
      <c r="V243" s="5">
        <v>0</v>
      </c>
      <c r="W243" s="39"/>
      <c r="X243" s="22"/>
      <c r="Y243" s="41"/>
    </row>
    <row r="244" spans="1:25" ht="13.95" customHeight="1">
      <c r="A244" s="23" t="s">
        <v>49</v>
      </c>
      <c r="B244" s="23" t="s">
        <v>86</v>
      </c>
      <c r="C244" s="23" t="s">
        <v>86</v>
      </c>
      <c r="D244" s="23" t="str">
        <f t="shared" si="4"/>
        <v>Unconfirmed</v>
      </c>
      <c r="E244" s="32" t="s">
        <v>673</v>
      </c>
      <c r="F244" s="23" t="s">
        <v>673</v>
      </c>
      <c r="G244" s="69" t="s">
        <v>25</v>
      </c>
      <c r="H244" s="33">
        <v>84757009</v>
      </c>
      <c r="I244" s="23">
        <v>380378</v>
      </c>
      <c r="J244" s="24" t="s">
        <v>674</v>
      </c>
      <c r="K244" s="2" t="s">
        <v>675</v>
      </c>
      <c r="L244" s="2" t="s">
        <v>676</v>
      </c>
      <c r="M244" s="9" t="s">
        <v>78</v>
      </c>
      <c r="N244" s="22" t="s">
        <v>679</v>
      </c>
      <c r="O244" s="1" t="s">
        <v>677</v>
      </c>
      <c r="P244" s="23">
        <v>1.6</v>
      </c>
      <c r="Q244" s="23">
        <v>2.1</v>
      </c>
      <c r="R244" s="4">
        <v>100</v>
      </c>
      <c r="S244" s="4">
        <f>+(P244/R244)*[1]Population!$C$3</f>
        <v>4175049.1199999992</v>
      </c>
      <c r="T244" s="4">
        <f>IF(ISBLANK(Q244),S244,+(Q244/R244)*[1]Population!$C$3)</f>
        <v>5479751.9699999988</v>
      </c>
      <c r="U244" s="1">
        <f>+AVERAGE(S244:T244)</f>
        <v>4827400.544999999</v>
      </c>
      <c r="V244" s="5">
        <f>+(U244/[1]Population!$C$3)*100000</f>
        <v>1850</v>
      </c>
      <c r="W244" s="23"/>
      <c r="X244" s="22" t="s">
        <v>678</v>
      </c>
      <c r="Y244" s="40"/>
    </row>
    <row r="245" spans="1:25" ht="13.95" customHeight="1">
      <c r="A245" s="23" t="s">
        <v>49</v>
      </c>
      <c r="B245" s="23" t="s">
        <v>22</v>
      </c>
      <c r="C245" s="23" t="s">
        <v>23</v>
      </c>
      <c r="D245" s="23" t="str">
        <f t="shared" si="4"/>
        <v>Autoimmune</v>
      </c>
      <c r="E245" s="32" t="s">
        <v>680</v>
      </c>
      <c r="F245" s="23" t="s">
        <v>680</v>
      </c>
      <c r="G245" s="69" t="s">
        <v>25</v>
      </c>
      <c r="H245" s="33">
        <v>815008</v>
      </c>
      <c r="I245" s="23">
        <v>4218083</v>
      </c>
      <c r="J245" s="22" t="s">
        <v>681</v>
      </c>
      <c r="K245" s="2" t="s">
        <v>682</v>
      </c>
      <c r="L245" s="2" t="s">
        <v>683</v>
      </c>
      <c r="M245" s="3" t="s">
        <v>78</v>
      </c>
      <c r="N245" s="22" t="s">
        <v>685</v>
      </c>
      <c r="O245" s="1"/>
      <c r="P245" s="23">
        <v>52.6</v>
      </c>
      <c r="Q245" s="23"/>
      <c r="R245" s="4">
        <v>100000</v>
      </c>
      <c r="S245" s="4">
        <f>+(P245/R245)*[1]Population!$C$2</f>
        <v>175315.8</v>
      </c>
      <c r="T245" s="4">
        <f>IF(ISBLANK(Q245),S245,+(Q245/R245)*[1]Population!$C$2)</f>
        <v>175315.8</v>
      </c>
      <c r="U245" s="1">
        <f>+AVERAGE(S245:T245)</f>
        <v>175315.8</v>
      </c>
      <c r="V245" s="5">
        <f>+(U245/[1]Population!$C$2)*100000</f>
        <v>52.6</v>
      </c>
      <c r="W245" s="23"/>
      <c r="X245" s="22" t="s">
        <v>684</v>
      </c>
      <c r="Y245" s="41" t="s">
        <v>686</v>
      </c>
    </row>
    <row r="246" spans="1:25" ht="13.95" customHeight="1">
      <c r="A246" s="23" t="s">
        <v>21</v>
      </c>
      <c r="B246" s="23" t="s">
        <v>86</v>
      </c>
      <c r="C246" s="23" t="s">
        <v>86</v>
      </c>
      <c r="D246" s="23" t="str">
        <f t="shared" si="4"/>
        <v>Unconfirmed</v>
      </c>
      <c r="E246" s="32" t="s">
        <v>687</v>
      </c>
      <c r="F246" s="23" t="s">
        <v>688</v>
      </c>
      <c r="G246" s="69" t="s">
        <v>34</v>
      </c>
      <c r="H246" s="33">
        <v>32861005</v>
      </c>
      <c r="I246" s="23"/>
      <c r="J246" s="23"/>
      <c r="K246" s="23"/>
      <c r="L246" s="23"/>
      <c r="M246" s="23"/>
      <c r="N246" s="22"/>
      <c r="O246" s="23"/>
      <c r="P246" s="23"/>
      <c r="Q246" s="23"/>
      <c r="R246" s="4"/>
      <c r="S246" s="23">
        <v>0</v>
      </c>
      <c r="T246" s="23">
        <v>0</v>
      </c>
      <c r="U246" s="23">
        <v>0</v>
      </c>
      <c r="V246" s="5">
        <v>0</v>
      </c>
      <c r="W246" s="39"/>
      <c r="X246" s="22"/>
      <c r="Y246" s="41"/>
    </row>
    <row r="247" spans="1:25" ht="13.95" customHeight="1">
      <c r="A247" s="23" t="s">
        <v>21</v>
      </c>
      <c r="B247" s="23" t="s">
        <v>86</v>
      </c>
      <c r="C247" s="23" t="s">
        <v>86</v>
      </c>
      <c r="D247" s="23" t="str">
        <f t="shared" si="4"/>
        <v>Unconfirmed</v>
      </c>
      <c r="E247" s="32" t="s">
        <v>687</v>
      </c>
      <c r="F247" s="23" t="s">
        <v>687</v>
      </c>
      <c r="G247" s="69" t="s">
        <v>25</v>
      </c>
      <c r="H247" s="33">
        <v>32861005</v>
      </c>
      <c r="I247" s="23">
        <v>140176</v>
      </c>
      <c r="J247" s="22" t="s">
        <v>689</v>
      </c>
      <c r="K247" s="2" t="s">
        <v>690</v>
      </c>
      <c r="L247" s="2" t="s">
        <v>691</v>
      </c>
      <c r="M247" s="3" t="s">
        <v>78</v>
      </c>
      <c r="N247" s="22" t="s">
        <v>693</v>
      </c>
      <c r="O247" s="14" t="s">
        <v>692</v>
      </c>
      <c r="P247" s="23">
        <v>1</v>
      </c>
      <c r="Q247" s="23">
        <v>5</v>
      </c>
      <c r="R247" s="4">
        <v>100000</v>
      </c>
      <c r="S247" s="11">
        <f>+(P247/R247)*[1]Population!$C$2</f>
        <v>3333.0000000000005</v>
      </c>
      <c r="T247" s="11">
        <f>IF(ISBLANK(Q247),S247,+(Q247/R247)*[1]Population!$C$2)</f>
        <v>16665</v>
      </c>
      <c r="U247" s="1">
        <f>+AVERAGE(S247:T247)</f>
        <v>9999</v>
      </c>
      <c r="V247" s="5">
        <f>+(U247/[1]Population!$C$2)*100000</f>
        <v>3</v>
      </c>
      <c r="W247" s="23"/>
      <c r="X247" s="22" t="s">
        <v>368</v>
      </c>
      <c r="Y247" s="40"/>
    </row>
    <row r="248" spans="1:25" ht="13.95" customHeight="1">
      <c r="A248" s="23" t="s">
        <v>21</v>
      </c>
      <c r="B248" s="23" t="s">
        <v>86</v>
      </c>
      <c r="C248" s="23" t="s">
        <v>86</v>
      </c>
      <c r="D248" s="23" t="str">
        <f t="shared" si="4"/>
        <v>Unconfirmed</v>
      </c>
      <c r="E248" s="32" t="s">
        <v>687</v>
      </c>
      <c r="F248" s="23" t="s">
        <v>694</v>
      </c>
      <c r="G248" s="69" t="s">
        <v>36</v>
      </c>
      <c r="H248" s="33">
        <v>32861005</v>
      </c>
      <c r="I248" s="23"/>
      <c r="J248" s="23"/>
      <c r="K248" s="23"/>
      <c r="L248" s="23"/>
      <c r="M248" s="23"/>
      <c r="N248" s="22"/>
      <c r="O248" s="23"/>
      <c r="P248" s="23"/>
      <c r="Q248" s="23"/>
      <c r="R248" s="4"/>
      <c r="S248" s="23">
        <v>0</v>
      </c>
      <c r="T248" s="23">
        <v>0</v>
      </c>
      <c r="U248" s="23">
        <v>0</v>
      </c>
      <c r="V248" s="5">
        <v>0</v>
      </c>
      <c r="W248" s="39"/>
      <c r="X248" s="22"/>
      <c r="Y248" s="41"/>
    </row>
    <row r="249" spans="1:25" ht="13.95" customHeight="1">
      <c r="A249" s="23" t="s">
        <v>21</v>
      </c>
      <c r="B249" s="23" t="s">
        <v>86</v>
      </c>
      <c r="C249" s="23" t="s">
        <v>86</v>
      </c>
      <c r="D249" s="23" t="str">
        <f t="shared" si="4"/>
        <v>Unconfirmed</v>
      </c>
      <c r="E249" s="32" t="s">
        <v>687</v>
      </c>
      <c r="F249" s="23" t="s">
        <v>695</v>
      </c>
      <c r="G249" s="69" t="s">
        <v>36</v>
      </c>
      <c r="H249" s="33">
        <v>32861005</v>
      </c>
      <c r="I249" s="23"/>
      <c r="J249" s="23"/>
      <c r="K249" s="23"/>
      <c r="L249" s="23"/>
      <c r="M249" s="23"/>
      <c r="N249" s="22"/>
      <c r="O249" s="23"/>
      <c r="P249" s="23"/>
      <c r="Q249" s="23"/>
      <c r="R249" s="4"/>
      <c r="S249" s="23">
        <v>0</v>
      </c>
      <c r="T249" s="23">
        <v>0</v>
      </c>
      <c r="U249" s="23">
        <v>0</v>
      </c>
      <c r="V249" s="5">
        <v>0</v>
      </c>
      <c r="W249" s="39"/>
      <c r="X249" s="22"/>
      <c r="Y249" s="41"/>
    </row>
    <row r="250" spans="1:25" ht="13.95" customHeight="1">
      <c r="A250" s="23" t="s">
        <v>38</v>
      </c>
      <c r="B250" s="23" t="s">
        <v>238</v>
      </c>
      <c r="C250" s="23" t="s">
        <v>73</v>
      </c>
      <c r="D250" s="23" t="str">
        <f t="shared" si="4"/>
        <v>Autoimmune</v>
      </c>
      <c r="E250" s="32" t="s">
        <v>696</v>
      </c>
      <c r="F250" s="23" t="s">
        <v>696</v>
      </c>
      <c r="G250" s="69" t="s">
        <v>25</v>
      </c>
      <c r="H250" s="33">
        <v>239947001</v>
      </c>
      <c r="I250" s="23">
        <v>4347067</v>
      </c>
      <c r="J250" s="22" t="s">
        <v>697</v>
      </c>
      <c r="K250" s="39" t="s">
        <v>410</v>
      </c>
      <c r="L250" s="39" t="s">
        <v>411</v>
      </c>
      <c r="M250" s="9" t="s">
        <v>78</v>
      </c>
      <c r="N250" s="22" t="s">
        <v>261</v>
      </c>
      <c r="O250" s="11" t="s">
        <v>258</v>
      </c>
      <c r="P250" s="50"/>
      <c r="Q250" s="50"/>
      <c r="R250" s="50">
        <v>0</v>
      </c>
      <c r="S250" s="11">
        <v>50</v>
      </c>
      <c r="T250" s="11">
        <v>50</v>
      </c>
      <c r="U250" s="1">
        <f>+AVERAGE(S250:T250)</f>
        <v>50</v>
      </c>
      <c r="V250" s="5">
        <f>+(U250/[1]Population!$C$2)*100000</f>
        <v>1.5001500150015001E-2</v>
      </c>
      <c r="W250" s="23"/>
      <c r="X250" s="22" t="s">
        <v>698</v>
      </c>
      <c r="Y250" s="41"/>
    </row>
    <row r="251" spans="1:25" ht="13.95" customHeight="1">
      <c r="A251" s="23" t="s">
        <v>38</v>
      </c>
      <c r="B251" s="23" t="s">
        <v>238</v>
      </c>
      <c r="C251" s="23" t="s">
        <v>73</v>
      </c>
      <c r="D251" s="23" t="str">
        <f t="shared" si="4"/>
        <v>Autoimmune</v>
      </c>
      <c r="E251" s="32" t="s">
        <v>696</v>
      </c>
      <c r="F251" s="23" t="s">
        <v>699</v>
      </c>
      <c r="G251" s="69" t="s">
        <v>36</v>
      </c>
      <c r="H251" s="33">
        <v>239947001</v>
      </c>
      <c r="I251" s="23"/>
      <c r="J251" s="23"/>
      <c r="K251" s="23"/>
      <c r="L251" s="23"/>
      <c r="M251" s="23"/>
      <c r="N251" s="22"/>
      <c r="O251" s="23"/>
      <c r="P251" s="23"/>
      <c r="Q251" s="23"/>
      <c r="R251" s="4"/>
      <c r="S251" s="23">
        <v>0</v>
      </c>
      <c r="T251" s="23">
        <v>0</v>
      </c>
      <c r="U251" s="23">
        <v>0</v>
      </c>
      <c r="V251" s="5">
        <v>0</v>
      </c>
      <c r="W251" s="39"/>
      <c r="X251" s="22"/>
      <c r="Y251" s="41"/>
    </row>
    <row r="252" spans="1:25" ht="13.95" customHeight="1">
      <c r="A252" s="23" t="s">
        <v>38</v>
      </c>
      <c r="B252" s="23" t="s">
        <v>238</v>
      </c>
      <c r="C252" s="23" t="s">
        <v>73</v>
      </c>
      <c r="D252" s="23" t="str">
        <f t="shared" si="4"/>
        <v>Autoimmune</v>
      </c>
      <c r="E252" s="32" t="s">
        <v>696</v>
      </c>
      <c r="F252" s="23" t="s">
        <v>700</v>
      </c>
      <c r="G252" s="69" t="s">
        <v>36</v>
      </c>
      <c r="H252" s="33">
        <v>239947001</v>
      </c>
      <c r="I252" s="23"/>
      <c r="J252" s="23"/>
      <c r="K252" s="23"/>
      <c r="L252" s="23"/>
      <c r="M252" s="23"/>
      <c r="N252" s="22"/>
      <c r="O252" s="23"/>
      <c r="P252" s="23"/>
      <c r="Q252" s="23"/>
      <c r="R252" s="4"/>
      <c r="S252" s="23">
        <v>0</v>
      </c>
      <c r="T252" s="23">
        <v>0</v>
      </c>
      <c r="U252" s="23">
        <v>0</v>
      </c>
      <c r="V252" s="5">
        <v>0</v>
      </c>
      <c r="W252" s="39"/>
      <c r="X252" s="22"/>
      <c r="Y252" s="41"/>
    </row>
    <row r="253" spans="1:25" ht="13.95" customHeight="1">
      <c r="A253" s="23" t="s">
        <v>38</v>
      </c>
      <c r="B253" s="23" t="s">
        <v>22</v>
      </c>
      <c r="C253" s="23" t="s">
        <v>73</v>
      </c>
      <c r="D253" s="23" t="str">
        <f t="shared" si="4"/>
        <v>Autoimmune</v>
      </c>
      <c r="E253" s="32" t="s">
        <v>701</v>
      </c>
      <c r="F253" s="23" t="s">
        <v>701</v>
      </c>
      <c r="G253" s="69" t="s">
        <v>25</v>
      </c>
      <c r="H253" s="33">
        <v>75331009</v>
      </c>
      <c r="I253" s="23">
        <v>436956</v>
      </c>
      <c r="J253" s="22" t="s">
        <v>702</v>
      </c>
      <c r="K253" s="2" t="s">
        <v>703</v>
      </c>
      <c r="L253" s="2" t="s">
        <v>704</v>
      </c>
      <c r="M253" s="3" t="s">
        <v>78</v>
      </c>
      <c r="N253" s="22" t="s">
        <v>706</v>
      </c>
      <c r="O253" s="1"/>
      <c r="P253" s="23">
        <v>17.399999999999999</v>
      </c>
      <c r="Q253" s="23">
        <v>25.8</v>
      </c>
      <c r="R253" s="4">
        <v>100000</v>
      </c>
      <c r="S253" s="4">
        <f>+(P253/R253)*[1]Population!$C$2</f>
        <v>57994.19999999999</v>
      </c>
      <c r="T253" s="4">
        <f>IF(ISBLANK(Q253),S253,+(Q253/R253)*[1]Population!$C$2)</f>
        <v>85991.4</v>
      </c>
      <c r="U253" s="1">
        <f>+AVERAGE(S253:T253)</f>
        <v>71992.799999999988</v>
      </c>
      <c r="V253" s="5">
        <f>+(U253/[1]Population!$C$2)*100000</f>
        <v>21.599999999999998</v>
      </c>
      <c r="W253" s="23"/>
      <c r="X253" s="22" t="s">
        <v>705</v>
      </c>
      <c r="Y253" s="40"/>
    </row>
    <row r="254" spans="1:25" ht="13.95" customHeight="1">
      <c r="A254" s="23" t="s">
        <v>112</v>
      </c>
      <c r="B254" s="23" t="s">
        <v>86</v>
      </c>
      <c r="C254" s="23" t="s">
        <v>600</v>
      </c>
      <c r="D254" s="23" t="str">
        <f t="shared" si="4"/>
        <v>Unconfirmed</v>
      </c>
      <c r="E254" s="32" t="s">
        <v>707</v>
      </c>
      <c r="F254" s="23" t="s">
        <v>707</v>
      </c>
      <c r="G254" s="69" t="s">
        <v>25</v>
      </c>
      <c r="H254" s="33">
        <v>24129002</v>
      </c>
      <c r="I254" s="23">
        <v>4083100</v>
      </c>
      <c r="J254" s="22" t="s">
        <v>708</v>
      </c>
      <c r="K254" s="2" t="s">
        <v>709</v>
      </c>
      <c r="L254" s="2" t="s">
        <v>710</v>
      </c>
      <c r="M254" s="9" t="s">
        <v>78</v>
      </c>
      <c r="N254" s="22" t="s">
        <v>711</v>
      </c>
      <c r="O254" s="11" t="s">
        <v>258</v>
      </c>
      <c r="P254" s="50">
        <v>10</v>
      </c>
      <c r="Q254" s="50">
        <v>21</v>
      </c>
      <c r="R254" s="4">
        <v>1000000</v>
      </c>
      <c r="S254" s="4">
        <f>+(P254/R254)*[1]Population!$C$2</f>
        <v>3333.0000000000005</v>
      </c>
      <c r="T254" s="4">
        <f>IF(ISBLANK(Q254),S254,+(Q254/R254)*[1]Population!$C$2)</f>
        <v>6999.2999999999993</v>
      </c>
      <c r="U254" s="1">
        <f>+AVERAGE(S254:T254)</f>
        <v>5166.1499999999996</v>
      </c>
      <c r="V254" s="5">
        <f>+(U254/[1]Population!$C$2)*100000</f>
        <v>1.5499999999999998</v>
      </c>
      <c r="W254" s="23"/>
      <c r="X254" s="22" t="s">
        <v>368</v>
      </c>
      <c r="Y254" s="41"/>
    </row>
    <row r="255" spans="1:25" ht="13.95" customHeight="1">
      <c r="A255" s="23" t="s">
        <v>112</v>
      </c>
      <c r="B255" s="23" t="s">
        <v>86</v>
      </c>
      <c r="C255" s="23" t="s">
        <v>600</v>
      </c>
      <c r="D255" s="23" t="str">
        <f t="shared" si="4"/>
        <v>Unconfirmed</v>
      </c>
      <c r="E255" s="32" t="s">
        <v>707</v>
      </c>
      <c r="F255" s="23" t="s">
        <v>712</v>
      </c>
      <c r="G255" s="69" t="s">
        <v>36</v>
      </c>
      <c r="H255" s="33">
        <v>24129002</v>
      </c>
      <c r="I255" s="23">
        <v>4083100</v>
      </c>
      <c r="J255" s="22"/>
      <c r="K255" s="2" t="s">
        <v>709</v>
      </c>
      <c r="L255" s="2" t="s">
        <v>710</v>
      </c>
      <c r="M255" s="9" t="s">
        <v>78</v>
      </c>
      <c r="N255" s="22" t="s">
        <v>711</v>
      </c>
      <c r="O255" s="11" t="s">
        <v>258</v>
      </c>
      <c r="P255" s="50">
        <v>10</v>
      </c>
      <c r="Q255" s="50">
        <v>21</v>
      </c>
      <c r="R255" s="4">
        <v>1000000</v>
      </c>
      <c r="S255" s="4">
        <f>+(P255/R255)*[1]Population!$C$2</f>
        <v>3333.0000000000005</v>
      </c>
      <c r="T255" s="4">
        <f>IF(ISBLANK(Q255),S255,+(Q255/R255)*[1]Population!$C$2)</f>
        <v>6999.2999999999993</v>
      </c>
      <c r="U255" s="1">
        <f>+AVERAGE(S255:T255)</f>
        <v>5166.1499999999996</v>
      </c>
      <c r="V255" s="5">
        <f>+(U255/[1]Population!$C$2)*100000</f>
        <v>1.5499999999999998</v>
      </c>
      <c r="W255" s="23"/>
      <c r="X255" s="22" t="s">
        <v>368</v>
      </c>
      <c r="Y255" s="41"/>
    </row>
    <row r="256" spans="1:25" ht="13.95" customHeight="1">
      <c r="A256" s="23" t="s">
        <v>112</v>
      </c>
      <c r="B256" s="23" t="s">
        <v>86</v>
      </c>
      <c r="C256" s="23" t="s">
        <v>600</v>
      </c>
      <c r="D256" s="23" t="str">
        <f t="shared" si="4"/>
        <v>Unconfirmed</v>
      </c>
      <c r="E256" s="32" t="s">
        <v>707</v>
      </c>
      <c r="F256" s="23" t="s">
        <v>713</v>
      </c>
      <c r="G256" s="69" t="s">
        <v>36</v>
      </c>
      <c r="H256" s="33">
        <v>24129002</v>
      </c>
      <c r="I256" s="23"/>
      <c r="J256" s="23"/>
      <c r="K256" s="23"/>
      <c r="L256" s="23"/>
      <c r="M256" s="23"/>
      <c r="N256" s="22"/>
      <c r="O256" s="23"/>
      <c r="P256" s="23"/>
      <c r="Q256" s="23"/>
      <c r="R256" s="4"/>
      <c r="S256" s="23">
        <v>0</v>
      </c>
      <c r="T256" s="23">
        <v>0</v>
      </c>
      <c r="U256" s="23">
        <v>0</v>
      </c>
      <c r="V256" s="5">
        <v>0</v>
      </c>
      <c r="W256" s="39"/>
      <c r="X256" s="22"/>
      <c r="Y256" s="41"/>
    </row>
    <row r="257" spans="1:25" ht="13.95" customHeight="1">
      <c r="A257" s="23" t="s">
        <v>112</v>
      </c>
      <c r="B257" s="23" t="s">
        <v>86</v>
      </c>
      <c r="C257" s="23" t="s">
        <v>600</v>
      </c>
      <c r="D257" s="23" t="str">
        <f t="shared" si="4"/>
        <v>Unconfirmed</v>
      </c>
      <c r="E257" s="32" t="s">
        <v>707</v>
      </c>
      <c r="F257" s="23" t="s">
        <v>714</v>
      </c>
      <c r="G257" s="69" t="s">
        <v>36</v>
      </c>
      <c r="H257" s="33">
        <v>24129002</v>
      </c>
      <c r="I257" s="23"/>
      <c r="J257" s="23"/>
      <c r="K257" s="23"/>
      <c r="L257" s="23"/>
      <c r="M257" s="23"/>
      <c r="N257" s="22"/>
      <c r="O257" s="23"/>
      <c r="P257" s="23"/>
      <c r="Q257" s="23"/>
      <c r="R257" s="4"/>
      <c r="S257" s="23">
        <v>0</v>
      </c>
      <c r="T257" s="23">
        <v>0</v>
      </c>
      <c r="U257" s="23">
        <v>0</v>
      </c>
      <c r="V257" s="5">
        <v>0</v>
      </c>
      <c r="W257" s="39"/>
      <c r="X257" s="22"/>
      <c r="Y257" s="41"/>
    </row>
    <row r="258" spans="1:25" ht="13.95" customHeight="1">
      <c r="A258" s="23" t="s">
        <v>112</v>
      </c>
      <c r="B258" s="23" t="s">
        <v>86</v>
      </c>
      <c r="C258" s="23" t="s">
        <v>600</v>
      </c>
      <c r="D258" s="23" t="str">
        <f t="shared" si="4"/>
        <v>Unconfirmed</v>
      </c>
      <c r="E258" s="32" t="s">
        <v>707</v>
      </c>
      <c r="F258" s="23" t="s">
        <v>715</v>
      </c>
      <c r="G258" s="69" t="s">
        <v>36</v>
      </c>
      <c r="H258" s="33">
        <v>24129002</v>
      </c>
      <c r="I258" s="23">
        <v>4083100</v>
      </c>
      <c r="J258" s="22"/>
      <c r="K258" s="2" t="s">
        <v>709</v>
      </c>
      <c r="L258" s="2" t="s">
        <v>710</v>
      </c>
      <c r="M258" s="9" t="s">
        <v>78</v>
      </c>
      <c r="N258" s="22" t="s">
        <v>711</v>
      </c>
      <c r="O258" s="11" t="s">
        <v>258</v>
      </c>
      <c r="P258" s="50">
        <v>10</v>
      </c>
      <c r="Q258" s="50">
        <v>21</v>
      </c>
      <c r="R258" s="4">
        <v>1000000</v>
      </c>
      <c r="S258" s="4">
        <f>+(P258/R258)*[1]Population!$C$2</f>
        <v>3333.0000000000005</v>
      </c>
      <c r="T258" s="4">
        <f>IF(ISBLANK(Q258),S258,+(Q258/R258)*[1]Population!$C$2)</f>
        <v>6999.2999999999993</v>
      </c>
      <c r="U258" s="1">
        <f>+AVERAGE(S258:T258)</f>
        <v>5166.1499999999996</v>
      </c>
      <c r="V258" s="5">
        <f>+(U258/[1]Population!$C$2)*100000</f>
        <v>1.5499999999999998</v>
      </c>
      <c r="W258" s="23"/>
      <c r="X258" s="22" t="s">
        <v>368</v>
      </c>
      <c r="Y258" s="41"/>
    </row>
    <row r="259" spans="1:25" ht="13.95" customHeight="1">
      <c r="A259" s="23" t="s">
        <v>146</v>
      </c>
      <c r="B259" s="23" t="s">
        <v>22</v>
      </c>
      <c r="C259" s="23" t="s">
        <v>73</v>
      </c>
      <c r="D259" s="23" t="str">
        <f t="shared" si="4"/>
        <v>Autoimmune</v>
      </c>
      <c r="E259" s="51" t="s">
        <v>716</v>
      </c>
      <c r="F259" s="21" t="s">
        <v>716</v>
      </c>
      <c r="G259" s="69" t="s">
        <v>25</v>
      </c>
      <c r="H259" s="33">
        <v>57160007</v>
      </c>
      <c r="I259" s="23">
        <v>81097</v>
      </c>
      <c r="J259" s="22" t="s">
        <v>717</v>
      </c>
      <c r="K259" s="2" t="s">
        <v>718</v>
      </c>
      <c r="L259" s="2" t="s">
        <v>719</v>
      </c>
      <c r="M259" s="3" t="s">
        <v>78</v>
      </c>
      <c r="N259" s="22" t="s">
        <v>722</v>
      </c>
      <c r="O259" s="2" t="s">
        <v>720</v>
      </c>
      <c r="P259" s="23">
        <v>10</v>
      </c>
      <c r="Q259" s="23"/>
      <c r="R259" s="4">
        <v>100000</v>
      </c>
      <c r="S259" s="4">
        <f>+(P259/R259)*[1]Population!$C$2</f>
        <v>33330</v>
      </c>
      <c r="T259" s="4">
        <f>IF(ISBLANK(Q259),S259,+(Q259/R259)*[1]Population!$C$2)</f>
        <v>33330</v>
      </c>
      <c r="U259" s="1">
        <f>+AVERAGE(S259:T259)</f>
        <v>33330</v>
      </c>
      <c r="V259" s="5">
        <f>+(U259/[1]Population!$C$2)*100000</f>
        <v>10</v>
      </c>
      <c r="W259" s="23"/>
      <c r="X259" s="22" t="s">
        <v>721</v>
      </c>
      <c r="Y259" s="40"/>
    </row>
    <row r="260" spans="1:25" ht="13.95" customHeight="1">
      <c r="A260" s="23" t="s">
        <v>146</v>
      </c>
      <c r="B260" s="23" t="s">
        <v>22</v>
      </c>
      <c r="C260" s="23" t="s">
        <v>73</v>
      </c>
      <c r="D260" s="23" t="str">
        <f t="shared" si="4"/>
        <v>Autoimmune</v>
      </c>
      <c r="E260" s="51" t="s">
        <v>716</v>
      </c>
      <c r="F260" s="21" t="s">
        <v>723</v>
      </c>
      <c r="G260" s="69" t="s">
        <v>34</v>
      </c>
      <c r="H260" s="33">
        <v>57160007</v>
      </c>
      <c r="I260" s="23"/>
      <c r="J260" s="23"/>
      <c r="K260" s="23"/>
      <c r="L260" s="23"/>
      <c r="M260" s="23"/>
      <c r="N260" s="22"/>
      <c r="O260" s="23"/>
      <c r="P260" s="23"/>
      <c r="Q260" s="23"/>
      <c r="R260" s="4"/>
      <c r="S260" s="23">
        <v>0</v>
      </c>
      <c r="T260" s="23">
        <v>0</v>
      </c>
      <c r="U260" s="23">
        <v>0</v>
      </c>
      <c r="V260" s="5">
        <v>0</v>
      </c>
      <c r="W260" s="39"/>
      <c r="X260" s="22"/>
      <c r="Y260" s="41"/>
    </row>
    <row r="261" spans="1:25" ht="13.95" customHeight="1">
      <c r="A261" s="23" t="s">
        <v>146</v>
      </c>
      <c r="B261" s="23" t="s">
        <v>22</v>
      </c>
      <c r="C261" s="23" t="s">
        <v>73</v>
      </c>
      <c r="D261" s="23" t="str">
        <f t="shared" si="4"/>
        <v>Autoimmune</v>
      </c>
      <c r="E261" s="51" t="s">
        <v>716</v>
      </c>
      <c r="F261" s="21" t="s">
        <v>724</v>
      </c>
      <c r="G261" s="69" t="s">
        <v>36</v>
      </c>
      <c r="H261" s="33">
        <v>57160007</v>
      </c>
      <c r="I261" s="23">
        <v>81097</v>
      </c>
      <c r="J261" s="22"/>
      <c r="K261" s="2" t="s">
        <v>718</v>
      </c>
      <c r="L261" s="2" t="s">
        <v>719</v>
      </c>
      <c r="M261" s="3" t="s">
        <v>78</v>
      </c>
      <c r="N261" s="22" t="s">
        <v>722</v>
      </c>
      <c r="O261" s="2" t="s">
        <v>720</v>
      </c>
      <c r="P261" s="23">
        <v>10</v>
      </c>
      <c r="Q261" s="23"/>
      <c r="R261" s="4">
        <v>100000</v>
      </c>
      <c r="S261" s="4">
        <f>+(P261/R261)*[1]Population!$C$2</f>
        <v>33330</v>
      </c>
      <c r="T261" s="4">
        <f>IF(ISBLANK(Q261),S261,+(Q261/R261)*[1]Population!$C$2)</f>
        <v>33330</v>
      </c>
      <c r="U261" s="1">
        <f>+AVERAGE(S261:T261)</f>
        <v>33330</v>
      </c>
      <c r="V261" s="5">
        <f>+(U261/[1]Population!$C$2)*100000</f>
        <v>10</v>
      </c>
      <c r="W261" s="23"/>
      <c r="X261" s="22" t="s">
        <v>721</v>
      </c>
      <c r="Y261" s="40"/>
    </row>
    <row r="262" spans="1:25" ht="13.95" customHeight="1">
      <c r="A262" s="23" t="s">
        <v>146</v>
      </c>
      <c r="B262" s="23" t="s">
        <v>22</v>
      </c>
      <c r="C262" s="23" t="s">
        <v>73</v>
      </c>
      <c r="D262" s="23" t="str">
        <f t="shared" ref="D262:D325" si="5">+IF(OR(B262="Antibody Suspected",B262="Antibody",B262="TCELL", B262="Immune-mediated",B262="Genetic"),"Autoimmune","Unconfirmed")</f>
        <v>Autoimmune</v>
      </c>
      <c r="E262" s="51" t="s">
        <v>716</v>
      </c>
      <c r="F262" s="21" t="s">
        <v>725</v>
      </c>
      <c r="G262" s="69" t="s">
        <v>36</v>
      </c>
      <c r="H262" s="33">
        <v>57160007</v>
      </c>
      <c r="I262" s="23"/>
      <c r="J262" s="23"/>
      <c r="K262" s="23"/>
      <c r="L262" s="23"/>
      <c r="M262" s="23"/>
      <c r="N262" s="22"/>
      <c r="O262" s="23"/>
      <c r="P262" s="23"/>
      <c r="Q262" s="23"/>
      <c r="R262" s="4"/>
      <c r="S262" s="23">
        <v>0</v>
      </c>
      <c r="T262" s="23">
        <v>0</v>
      </c>
      <c r="U262" s="23">
        <v>0</v>
      </c>
      <c r="V262" s="5">
        <v>0</v>
      </c>
      <c r="W262" s="39"/>
      <c r="X262" s="22"/>
      <c r="Y262" s="41"/>
    </row>
    <row r="263" spans="1:25" ht="13.95" customHeight="1">
      <c r="A263" s="23" t="s">
        <v>98</v>
      </c>
      <c r="B263" s="23" t="s">
        <v>22</v>
      </c>
      <c r="C263" s="23" t="s">
        <v>73</v>
      </c>
      <c r="D263" s="23" t="str">
        <f t="shared" si="5"/>
        <v>Autoimmune</v>
      </c>
      <c r="E263" s="32" t="s">
        <v>726</v>
      </c>
      <c r="F263" s="32" t="s">
        <v>727</v>
      </c>
      <c r="G263" s="69" t="s">
        <v>36</v>
      </c>
      <c r="H263" s="33">
        <v>236816007</v>
      </c>
      <c r="I263" s="25">
        <v>4127869</v>
      </c>
      <c r="J263" s="25"/>
      <c r="K263" s="2" t="s">
        <v>728</v>
      </c>
      <c r="L263" s="2" t="s">
        <v>729</v>
      </c>
      <c r="M263" s="9" t="s">
        <v>78</v>
      </c>
      <c r="N263" s="22" t="s">
        <v>261</v>
      </c>
      <c r="O263" s="23" t="s">
        <v>730</v>
      </c>
      <c r="P263" s="23"/>
      <c r="Q263" s="23"/>
      <c r="R263" s="4"/>
      <c r="S263" s="11">
        <v>50</v>
      </c>
      <c r="T263" s="11">
        <v>50</v>
      </c>
      <c r="U263" s="1">
        <f>+AVERAGE(S263:T263)</f>
        <v>50</v>
      </c>
      <c r="V263" s="5">
        <f>+(U263/[1]Population!$C$2)*100000</f>
        <v>1.5001500150015001E-2</v>
      </c>
      <c r="W263" s="23"/>
      <c r="X263" s="22" t="s">
        <v>731</v>
      </c>
      <c r="Y263" s="22"/>
    </row>
    <row r="264" spans="1:25" ht="13.95" customHeight="1">
      <c r="A264" s="23" t="s">
        <v>98</v>
      </c>
      <c r="B264" s="23" t="s">
        <v>22</v>
      </c>
      <c r="C264" s="23" t="s">
        <v>73</v>
      </c>
      <c r="D264" s="23" t="str">
        <f t="shared" si="5"/>
        <v>Autoimmune</v>
      </c>
      <c r="E264" s="32" t="s">
        <v>726</v>
      </c>
      <c r="F264" s="32" t="s">
        <v>726</v>
      </c>
      <c r="G264" s="69" t="s">
        <v>25</v>
      </c>
      <c r="H264" s="33" t="s">
        <v>732</v>
      </c>
      <c r="I264" s="25">
        <v>4188008</v>
      </c>
      <c r="J264" s="22" t="s">
        <v>733</v>
      </c>
      <c r="K264" s="2" t="s">
        <v>728</v>
      </c>
      <c r="L264" s="2" t="s">
        <v>729</v>
      </c>
      <c r="M264" s="9" t="s">
        <v>78</v>
      </c>
      <c r="N264" s="22" t="s">
        <v>261</v>
      </c>
      <c r="O264" s="23" t="s">
        <v>730</v>
      </c>
      <c r="P264" s="23"/>
      <c r="Q264" s="23"/>
      <c r="R264" s="4"/>
      <c r="S264" s="11">
        <v>50</v>
      </c>
      <c r="T264" s="11">
        <v>50</v>
      </c>
      <c r="U264" s="1">
        <f>+AVERAGE(S264:T264)</f>
        <v>50</v>
      </c>
      <c r="V264" s="5">
        <f>+(U264/[1]Population!$C$2)*100000</f>
        <v>1.5001500150015001E-2</v>
      </c>
      <c r="W264" s="23"/>
      <c r="X264" s="22" t="s">
        <v>731</v>
      </c>
      <c r="Y264" s="22"/>
    </row>
    <row r="265" spans="1:25" ht="13.95" customHeight="1">
      <c r="A265" s="23" t="s">
        <v>146</v>
      </c>
      <c r="B265" s="23" t="s">
        <v>86</v>
      </c>
      <c r="C265" s="23" t="s">
        <v>86</v>
      </c>
      <c r="D265" s="23" t="str">
        <f t="shared" si="5"/>
        <v>Unconfirmed</v>
      </c>
      <c r="E265" s="32" t="s">
        <v>734</v>
      </c>
      <c r="F265" s="23" t="s">
        <v>734</v>
      </c>
      <c r="G265" s="69" t="s">
        <v>25</v>
      </c>
      <c r="H265" s="33">
        <v>203082005</v>
      </c>
      <c r="I265" s="23">
        <v>40405599</v>
      </c>
      <c r="J265" s="22" t="s">
        <v>735</v>
      </c>
      <c r="K265" s="2" t="s">
        <v>736</v>
      </c>
      <c r="L265" s="2" t="s">
        <v>737</v>
      </c>
      <c r="M265" s="9" t="s">
        <v>78</v>
      </c>
      <c r="N265" s="22" t="s">
        <v>738</v>
      </c>
      <c r="O265" s="23"/>
      <c r="P265" s="23">
        <v>1420</v>
      </c>
      <c r="Q265" s="23">
        <v>2070</v>
      </c>
      <c r="R265" s="4">
        <v>100000</v>
      </c>
      <c r="S265" s="4">
        <f>+(P265/R265)*[1]Population!$C$2</f>
        <v>4732860</v>
      </c>
      <c r="T265" s="4">
        <f>IF(ISBLANK(Q265),S265,+(Q265/R265)*[1]Population!$C$2)</f>
        <v>6899310</v>
      </c>
      <c r="U265" s="1">
        <f>+AVERAGE(S265:T265)</f>
        <v>5816085</v>
      </c>
      <c r="V265" s="5">
        <f>+(U265/[1]Population!$C$2)*100000</f>
        <v>1745</v>
      </c>
      <c r="W265" s="23"/>
      <c r="X265" s="22" t="s">
        <v>655</v>
      </c>
      <c r="Y265" s="41"/>
    </row>
    <row r="266" spans="1:25" ht="13.95" customHeight="1">
      <c r="A266" s="23" t="s">
        <v>146</v>
      </c>
      <c r="B266" s="23" t="s">
        <v>86</v>
      </c>
      <c r="C266" s="23" t="s">
        <v>86</v>
      </c>
      <c r="D266" s="23" t="str">
        <f t="shared" si="5"/>
        <v>Unconfirmed</v>
      </c>
      <c r="E266" s="32" t="s">
        <v>734</v>
      </c>
      <c r="F266" s="23" t="s">
        <v>739</v>
      </c>
      <c r="G266" s="69" t="s">
        <v>36</v>
      </c>
      <c r="H266" s="33">
        <v>203082005</v>
      </c>
      <c r="I266" s="23"/>
      <c r="J266" s="23"/>
      <c r="K266" s="23"/>
      <c r="L266" s="23"/>
      <c r="M266" s="23"/>
      <c r="N266" s="22"/>
      <c r="O266" s="23"/>
      <c r="P266" s="23"/>
      <c r="Q266" s="23"/>
      <c r="R266" s="4"/>
      <c r="S266" s="23">
        <v>0</v>
      </c>
      <c r="T266" s="23">
        <v>0</v>
      </c>
      <c r="U266" s="23">
        <v>0</v>
      </c>
      <c r="V266" s="5">
        <v>0</v>
      </c>
      <c r="W266" s="39"/>
      <c r="X266" s="22"/>
      <c r="Y266" s="41"/>
    </row>
    <row r="267" spans="1:25" ht="13.95" customHeight="1">
      <c r="A267" s="23" t="s">
        <v>98</v>
      </c>
      <c r="B267" s="23" t="s">
        <v>22</v>
      </c>
      <c r="C267" s="23" t="s">
        <v>73</v>
      </c>
      <c r="D267" s="23" t="str">
        <f t="shared" si="5"/>
        <v>Autoimmune</v>
      </c>
      <c r="E267" s="32" t="s">
        <v>740</v>
      </c>
      <c r="F267" s="23" t="s">
        <v>741</v>
      </c>
      <c r="G267" s="69" t="s">
        <v>36</v>
      </c>
      <c r="H267" s="33">
        <v>90739004</v>
      </c>
      <c r="I267" s="23">
        <v>138387</v>
      </c>
      <c r="J267" s="22"/>
      <c r="K267" s="2" t="s">
        <v>742</v>
      </c>
      <c r="L267" s="2" t="s">
        <v>386</v>
      </c>
      <c r="M267" s="9" t="s">
        <v>78</v>
      </c>
      <c r="N267" s="22" t="s">
        <v>746</v>
      </c>
      <c r="O267" s="2" t="s">
        <v>743</v>
      </c>
      <c r="P267" s="23">
        <v>629</v>
      </c>
      <c r="Q267" s="23"/>
      <c r="R267" s="4">
        <v>100000</v>
      </c>
      <c r="S267" s="23">
        <v>0</v>
      </c>
      <c r="T267" s="23">
        <v>0</v>
      </c>
      <c r="U267" s="23">
        <v>0</v>
      </c>
      <c r="V267" s="5">
        <v>0</v>
      </c>
      <c r="W267" s="23" t="s">
        <v>744</v>
      </c>
      <c r="X267" s="22" t="s">
        <v>745</v>
      </c>
      <c r="Y267" s="40"/>
    </row>
    <row r="268" spans="1:25" ht="13.95" customHeight="1">
      <c r="A268" s="23" t="s">
        <v>98</v>
      </c>
      <c r="B268" s="23" t="s">
        <v>22</v>
      </c>
      <c r="C268" s="23" t="s">
        <v>73</v>
      </c>
      <c r="D268" s="23" t="str">
        <f t="shared" si="5"/>
        <v>Autoimmune</v>
      </c>
      <c r="E268" s="32" t="s">
        <v>740</v>
      </c>
      <c r="F268" s="23" t="s">
        <v>747</v>
      </c>
      <c r="G268" s="69" t="s">
        <v>36</v>
      </c>
      <c r="H268" s="33">
        <v>237499004</v>
      </c>
      <c r="I268" s="23">
        <v>4034811</v>
      </c>
      <c r="J268" s="22"/>
      <c r="K268" s="23"/>
      <c r="L268" s="23"/>
      <c r="M268" s="23"/>
      <c r="N268" s="22"/>
      <c r="O268" s="23"/>
      <c r="P268" s="23"/>
      <c r="Q268" s="23"/>
      <c r="R268" s="4"/>
      <c r="S268" s="23">
        <v>0</v>
      </c>
      <c r="T268" s="23">
        <v>0</v>
      </c>
      <c r="U268" s="23">
        <v>0</v>
      </c>
      <c r="V268" s="5">
        <v>0</v>
      </c>
      <c r="W268" s="39"/>
      <c r="X268" s="22"/>
      <c r="Y268" s="41"/>
    </row>
    <row r="269" spans="1:25" ht="13.95" customHeight="1">
      <c r="A269" s="23" t="s">
        <v>98</v>
      </c>
      <c r="B269" s="23" t="s">
        <v>22</v>
      </c>
      <c r="C269" s="23" t="s">
        <v>73</v>
      </c>
      <c r="D269" s="23" t="str">
        <f t="shared" si="5"/>
        <v>Autoimmune</v>
      </c>
      <c r="E269" s="32" t="s">
        <v>740</v>
      </c>
      <c r="F269" s="23" t="s">
        <v>740</v>
      </c>
      <c r="G269" s="69" t="s">
        <v>25</v>
      </c>
      <c r="H269" s="33">
        <v>353295004</v>
      </c>
      <c r="I269" s="23">
        <v>4232076</v>
      </c>
      <c r="J269" s="22" t="s">
        <v>748</v>
      </c>
      <c r="K269" s="2" t="s">
        <v>742</v>
      </c>
      <c r="L269" s="2" t="s">
        <v>386</v>
      </c>
      <c r="M269" s="9" t="s">
        <v>78</v>
      </c>
      <c r="N269" s="22" t="s">
        <v>746</v>
      </c>
      <c r="O269" s="2" t="s">
        <v>743</v>
      </c>
      <c r="P269" s="23">
        <v>629</v>
      </c>
      <c r="Q269" s="23"/>
      <c r="R269" s="4">
        <v>100000</v>
      </c>
      <c r="S269" s="4">
        <f>+(P269/R269)*[1]Population!$C$2</f>
        <v>2096456.9999999998</v>
      </c>
      <c r="T269" s="4">
        <f>IF(ISBLANK(Q269),S269,+(Q269/R269)*[1]Population!$C$2)</f>
        <v>2096456.9999999998</v>
      </c>
      <c r="U269" s="1">
        <f>+AVERAGE(S269:T269)</f>
        <v>2096456.9999999998</v>
      </c>
      <c r="V269" s="5">
        <f>+(U269/[1]Population!$C$2)*100000</f>
        <v>629</v>
      </c>
      <c r="W269" s="23" t="s">
        <v>744</v>
      </c>
      <c r="X269" s="22" t="s">
        <v>745</v>
      </c>
      <c r="Y269" s="40"/>
    </row>
    <row r="270" spans="1:25" ht="13.95" customHeight="1">
      <c r="A270" s="23" t="s">
        <v>98</v>
      </c>
      <c r="B270" s="23" t="s">
        <v>22</v>
      </c>
      <c r="C270" s="23" t="s">
        <v>73</v>
      </c>
      <c r="D270" s="23" t="str">
        <f t="shared" si="5"/>
        <v>Autoimmune</v>
      </c>
      <c r="E270" s="32" t="s">
        <v>740</v>
      </c>
      <c r="F270" s="23" t="s">
        <v>749</v>
      </c>
      <c r="G270" s="69" t="s">
        <v>36</v>
      </c>
      <c r="H270" s="33">
        <v>353295004</v>
      </c>
      <c r="I270" s="23"/>
      <c r="J270" s="23"/>
      <c r="K270" s="23"/>
      <c r="L270" s="23"/>
      <c r="M270" s="23"/>
      <c r="N270" s="22"/>
      <c r="O270" s="23"/>
      <c r="P270" s="23"/>
      <c r="Q270" s="23"/>
      <c r="R270" s="4"/>
      <c r="S270" s="23">
        <v>0</v>
      </c>
      <c r="T270" s="23">
        <v>0</v>
      </c>
      <c r="U270" s="23">
        <v>0</v>
      </c>
      <c r="V270" s="5">
        <v>0</v>
      </c>
      <c r="W270" s="39"/>
      <c r="X270" s="22"/>
      <c r="Y270" s="41"/>
    </row>
    <row r="271" spans="1:25" ht="13.95" customHeight="1">
      <c r="A271" s="23" t="s">
        <v>98</v>
      </c>
      <c r="B271" s="23" t="s">
        <v>22</v>
      </c>
      <c r="C271" s="23" t="s">
        <v>73</v>
      </c>
      <c r="D271" s="23" t="str">
        <f t="shared" si="5"/>
        <v>Autoimmune</v>
      </c>
      <c r="E271" s="32" t="s">
        <v>740</v>
      </c>
      <c r="F271" s="23" t="s">
        <v>750</v>
      </c>
      <c r="G271" s="69" t="s">
        <v>36</v>
      </c>
      <c r="H271" s="33">
        <v>353295004</v>
      </c>
      <c r="I271" s="23"/>
      <c r="J271" s="23"/>
      <c r="K271" s="23"/>
      <c r="L271" s="23"/>
      <c r="M271" s="23"/>
      <c r="N271" s="22"/>
      <c r="O271" s="23"/>
      <c r="P271" s="23"/>
      <c r="Q271" s="23"/>
      <c r="R271" s="4"/>
      <c r="S271" s="23">
        <v>0</v>
      </c>
      <c r="T271" s="23">
        <v>0</v>
      </c>
      <c r="U271" s="23">
        <v>0</v>
      </c>
      <c r="V271" s="5">
        <v>0</v>
      </c>
      <c r="W271" s="39"/>
      <c r="X271" s="22"/>
      <c r="Y271" s="41"/>
    </row>
    <row r="272" spans="1:25" ht="13.95" customHeight="1">
      <c r="A272" s="23" t="s">
        <v>98</v>
      </c>
      <c r="B272" s="23" t="s">
        <v>22</v>
      </c>
      <c r="C272" s="23" t="s">
        <v>73</v>
      </c>
      <c r="D272" s="23" t="str">
        <f t="shared" si="5"/>
        <v>Autoimmune</v>
      </c>
      <c r="E272" s="32" t="s">
        <v>740</v>
      </c>
      <c r="F272" s="23" t="s">
        <v>751</v>
      </c>
      <c r="G272" s="69" t="s">
        <v>36</v>
      </c>
      <c r="H272" s="33">
        <v>353295004</v>
      </c>
      <c r="I272" s="23"/>
      <c r="J272" s="23"/>
      <c r="K272" s="23"/>
      <c r="L272" s="23"/>
      <c r="M272" s="23"/>
      <c r="N272" s="22"/>
      <c r="O272" s="23"/>
      <c r="P272" s="23"/>
      <c r="Q272" s="23"/>
      <c r="R272" s="4"/>
      <c r="S272" s="23">
        <v>0</v>
      </c>
      <c r="T272" s="23">
        <v>0</v>
      </c>
      <c r="U272" s="23">
        <v>0</v>
      </c>
      <c r="V272" s="5">
        <v>0</v>
      </c>
      <c r="W272" s="39"/>
      <c r="X272" s="22"/>
      <c r="Y272" s="41"/>
    </row>
    <row r="273" spans="1:25" ht="13.95" customHeight="1">
      <c r="A273" s="23" t="s">
        <v>98</v>
      </c>
      <c r="B273" s="23" t="s">
        <v>22</v>
      </c>
      <c r="C273" s="23" t="s">
        <v>73</v>
      </c>
      <c r="D273" s="23" t="str">
        <f t="shared" si="5"/>
        <v>Autoimmune</v>
      </c>
      <c r="E273" s="32" t="s">
        <v>740</v>
      </c>
      <c r="F273" s="23" t="s">
        <v>752</v>
      </c>
      <c r="G273" s="69" t="s">
        <v>36</v>
      </c>
      <c r="H273" s="33">
        <v>353295004</v>
      </c>
      <c r="I273" s="23"/>
      <c r="J273" s="23"/>
      <c r="K273" s="23"/>
      <c r="L273" s="23"/>
      <c r="M273" s="23"/>
      <c r="N273" s="22"/>
      <c r="O273" s="23"/>
      <c r="P273" s="23"/>
      <c r="Q273" s="23"/>
      <c r="R273" s="4"/>
      <c r="S273" s="23">
        <v>0</v>
      </c>
      <c r="T273" s="23">
        <v>0</v>
      </c>
      <c r="U273" s="23">
        <v>0</v>
      </c>
      <c r="V273" s="5">
        <v>0</v>
      </c>
      <c r="W273" s="39"/>
      <c r="X273" s="22"/>
      <c r="Y273" s="41"/>
    </row>
    <row r="274" spans="1:25" ht="13.95" customHeight="1">
      <c r="A274" s="23" t="s">
        <v>98</v>
      </c>
      <c r="B274" s="23" t="s">
        <v>22</v>
      </c>
      <c r="C274" s="23" t="s">
        <v>73</v>
      </c>
      <c r="D274" s="23" t="str">
        <f t="shared" si="5"/>
        <v>Autoimmune</v>
      </c>
      <c r="E274" s="32" t="s">
        <v>740</v>
      </c>
      <c r="F274" s="23" t="s">
        <v>753</v>
      </c>
      <c r="G274" s="69" t="s">
        <v>36</v>
      </c>
      <c r="H274" s="33">
        <v>353295004</v>
      </c>
      <c r="I274" s="23"/>
      <c r="J274" s="23"/>
      <c r="K274" s="23"/>
      <c r="L274" s="23"/>
      <c r="M274" s="23"/>
      <c r="N274" s="22"/>
      <c r="O274" s="23"/>
      <c r="P274" s="23"/>
      <c r="Q274" s="23"/>
      <c r="R274" s="4"/>
      <c r="S274" s="23">
        <v>0</v>
      </c>
      <c r="T274" s="23">
        <v>0</v>
      </c>
      <c r="U274" s="23">
        <v>0</v>
      </c>
      <c r="V274" s="5">
        <v>0</v>
      </c>
      <c r="W274" s="39"/>
      <c r="X274" s="22"/>
      <c r="Y274" s="41"/>
    </row>
    <row r="275" spans="1:25" ht="13.95" customHeight="1">
      <c r="A275" s="23" t="s">
        <v>98</v>
      </c>
      <c r="B275" s="23" t="s">
        <v>22</v>
      </c>
      <c r="C275" s="23" t="s">
        <v>73</v>
      </c>
      <c r="D275" s="23" t="str">
        <f t="shared" si="5"/>
        <v>Autoimmune</v>
      </c>
      <c r="E275" s="32" t="s">
        <v>740</v>
      </c>
      <c r="F275" s="23" t="s">
        <v>754</v>
      </c>
      <c r="G275" s="69" t="s">
        <v>36</v>
      </c>
      <c r="H275" s="33">
        <v>353295004</v>
      </c>
      <c r="I275" s="23"/>
      <c r="J275" s="23"/>
      <c r="K275" s="23"/>
      <c r="L275" s="23"/>
      <c r="M275" s="23"/>
      <c r="N275" s="22"/>
      <c r="O275" s="23"/>
      <c r="P275" s="23"/>
      <c r="Q275" s="23"/>
      <c r="R275" s="4"/>
      <c r="S275" s="23">
        <v>0</v>
      </c>
      <c r="T275" s="23">
        <v>0</v>
      </c>
      <c r="U275" s="23">
        <v>0</v>
      </c>
      <c r="V275" s="5">
        <v>0</v>
      </c>
      <c r="W275" s="39"/>
      <c r="X275" s="22"/>
      <c r="Y275" s="41"/>
    </row>
    <row r="276" spans="1:25" ht="13.95" customHeight="1">
      <c r="A276" s="23" t="s">
        <v>49</v>
      </c>
      <c r="B276" s="23" t="s">
        <v>22</v>
      </c>
      <c r="C276" s="23" t="s">
        <v>73</v>
      </c>
      <c r="D276" s="23" t="str">
        <f t="shared" si="5"/>
        <v>Autoimmune</v>
      </c>
      <c r="E276" s="32" t="s">
        <v>755</v>
      </c>
      <c r="F276" s="23" t="s">
        <v>756</v>
      </c>
      <c r="G276" s="69" t="s">
        <v>34</v>
      </c>
      <c r="H276" s="33">
        <v>1767005</v>
      </c>
      <c r="I276" s="23">
        <v>4070552</v>
      </c>
      <c r="J276" s="22"/>
      <c r="K276" s="2" t="s">
        <v>757</v>
      </c>
      <c r="L276" s="2" t="s">
        <v>758</v>
      </c>
      <c r="M276" s="15" t="s">
        <v>29</v>
      </c>
      <c r="N276" s="22" t="s">
        <v>761</v>
      </c>
      <c r="O276" s="1" t="s">
        <v>759</v>
      </c>
      <c r="P276" s="56">
        <v>0.62</v>
      </c>
      <c r="Q276" s="21">
        <v>2.66</v>
      </c>
      <c r="R276" s="1">
        <v>100000</v>
      </c>
      <c r="S276" s="4">
        <f>+(P276/R276)*[1]Population!$C$2</f>
        <v>2066.46</v>
      </c>
      <c r="T276" s="4">
        <f>IF(ISBLANK(Q276),S276,+(Q276/R276)*[1]Population!$C$2)</f>
        <v>8865.7800000000007</v>
      </c>
      <c r="U276" s="1">
        <f>+AVERAGE(S276:T276)</f>
        <v>5466.1200000000008</v>
      </c>
      <c r="V276" s="5">
        <f>+(U276/[1]Population!$C$2)*100000</f>
        <v>1.6400000000000001</v>
      </c>
      <c r="W276" s="23"/>
      <c r="X276" s="22" t="s">
        <v>760</v>
      </c>
      <c r="Y276" s="41"/>
    </row>
    <row r="277" spans="1:25" ht="13.95" customHeight="1">
      <c r="A277" s="23" t="s">
        <v>49</v>
      </c>
      <c r="B277" s="23" t="s">
        <v>22</v>
      </c>
      <c r="C277" s="23" t="s">
        <v>73</v>
      </c>
      <c r="D277" s="23" t="str">
        <f t="shared" si="5"/>
        <v>Autoimmune</v>
      </c>
      <c r="E277" s="32" t="s">
        <v>755</v>
      </c>
      <c r="F277" s="23" t="s">
        <v>762</v>
      </c>
      <c r="G277" s="69" t="s">
        <v>36</v>
      </c>
      <c r="H277" s="33">
        <v>1767005</v>
      </c>
      <c r="I277" s="23">
        <v>4070552</v>
      </c>
      <c r="J277" s="22"/>
      <c r="K277" s="2" t="s">
        <v>757</v>
      </c>
      <c r="L277" s="2" t="s">
        <v>758</v>
      </c>
      <c r="M277" s="15" t="s">
        <v>29</v>
      </c>
      <c r="N277" s="22" t="s">
        <v>761</v>
      </c>
      <c r="O277" s="1" t="s">
        <v>759</v>
      </c>
      <c r="P277" s="56">
        <v>0.62</v>
      </c>
      <c r="Q277" s="21">
        <v>2.66</v>
      </c>
      <c r="R277" s="1">
        <v>100000</v>
      </c>
      <c r="S277" s="4">
        <f>+(P277/R277)*[1]Population!$C$2</f>
        <v>2066.46</v>
      </c>
      <c r="T277" s="4">
        <f>IF(ISBLANK(Q277),S277,+(Q277/R277)*[1]Population!$C$2)</f>
        <v>8865.7800000000007</v>
      </c>
      <c r="U277" s="1">
        <f>+AVERAGE(S277:T277)</f>
        <v>5466.1200000000008</v>
      </c>
      <c r="V277" s="5">
        <f>+(U277/[1]Population!$C$2)*100000</f>
        <v>1.6400000000000001</v>
      </c>
      <c r="W277" s="23"/>
      <c r="X277" s="22" t="s">
        <v>760</v>
      </c>
      <c r="Y277" s="41"/>
    </row>
    <row r="278" spans="1:25" ht="13.95" customHeight="1">
      <c r="A278" s="23" t="s">
        <v>49</v>
      </c>
      <c r="B278" s="23" t="s">
        <v>22</v>
      </c>
      <c r="C278" s="23" t="s">
        <v>73</v>
      </c>
      <c r="D278" s="23" t="str">
        <f t="shared" si="5"/>
        <v>Autoimmune</v>
      </c>
      <c r="E278" s="32" t="s">
        <v>755</v>
      </c>
      <c r="F278" s="23" t="s">
        <v>763</v>
      </c>
      <c r="G278" s="69" t="s">
        <v>36</v>
      </c>
      <c r="H278" s="33">
        <v>1767005</v>
      </c>
      <c r="I278" s="23">
        <v>4070552</v>
      </c>
      <c r="J278" s="22"/>
      <c r="K278" s="2" t="s">
        <v>757</v>
      </c>
      <c r="L278" s="2" t="s">
        <v>758</v>
      </c>
      <c r="M278" s="15" t="s">
        <v>29</v>
      </c>
      <c r="N278" s="22" t="s">
        <v>761</v>
      </c>
      <c r="O278" s="1" t="s">
        <v>759</v>
      </c>
      <c r="P278" s="56">
        <v>0.62</v>
      </c>
      <c r="Q278" s="21">
        <v>2.66</v>
      </c>
      <c r="R278" s="1">
        <v>100000</v>
      </c>
      <c r="S278" s="4">
        <f>+(P278/R278)*[1]Population!$C$2</f>
        <v>2066.46</v>
      </c>
      <c r="T278" s="4">
        <f>IF(ISBLANK(Q278),S278,+(Q278/R278)*[1]Population!$C$2)</f>
        <v>8865.7800000000007</v>
      </c>
      <c r="U278" s="1">
        <f>+AVERAGE(S278:T278)</f>
        <v>5466.1200000000008</v>
      </c>
      <c r="V278" s="5">
        <f>+(U278/[1]Population!$C$2)*100000</f>
        <v>1.6400000000000001</v>
      </c>
      <c r="W278" s="23"/>
      <c r="X278" s="22" t="s">
        <v>760</v>
      </c>
      <c r="Y278" s="41"/>
    </row>
    <row r="279" spans="1:25" ht="13.95" customHeight="1">
      <c r="A279" s="23" t="s">
        <v>49</v>
      </c>
      <c r="B279" s="23" t="s">
        <v>22</v>
      </c>
      <c r="C279" s="23" t="s">
        <v>73</v>
      </c>
      <c r="D279" s="23" t="str">
        <f t="shared" si="5"/>
        <v>Autoimmune</v>
      </c>
      <c r="E279" s="32" t="s">
        <v>755</v>
      </c>
      <c r="F279" s="23" t="s">
        <v>764</v>
      </c>
      <c r="G279" s="69" t="s">
        <v>52</v>
      </c>
      <c r="H279" s="33">
        <v>1767005</v>
      </c>
      <c r="I279" s="23">
        <v>4070552</v>
      </c>
      <c r="J279" s="22"/>
      <c r="K279" s="2" t="s">
        <v>757</v>
      </c>
      <c r="L279" s="2" t="s">
        <v>758</v>
      </c>
      <c r="M279" s="15" t="s">
        <v>29</v>
      </c>
      <c r="N279" s="22" t="s">
        <v>761</v>
      </c>
      <c r="O279" s="1" t="s">
        <v>759</v>
      </c>
      <c r="P279" s="56">
        <v>0.62</v>
      </c>
      <c r="Q279" s="21">
        <v>2.66</v>
      </c>
      <c r="R279" s="1">
        <v>100000</v>
      </c>
      <c r="S279" s="4">
        <f>+(P279/R279)*[1]Population!$C$2</f>
        <v>2066.46</v>
      </c>
      <c r="T279" s="4">
        <f>IF(ISBLANK(Q279),S279,+(Q279/R279)*[1]Population!$C$2)</f>
        <v>8865.7800000000007</v>
      </c>
      <c r="U279" s="1">
        <f>+AVERAGE(S279:T279)</f>
        <v>5466.1200000000008</v>
      </c>
      <c r="V279" s="5">
        <f>+(U279/[1]Population!$C$2)*100000</f>
        <v>1.6400000000000001</v>
      </c>
      <c r="W279" s="23"/>
      <c r="X279" s="22" t="s">
        <v>760</v>
      </c>
      <c r="Y279" s="41"/>
    </row>
    <row r="280" spans="1:25" ht="13.95" customHeight="1">
      <c r="A280" s="23" t="s">
        <v>49</v>
      </c>
      <c r="B280" s="23" t="s">
        <v>22</v>
      </c>
      <c r="C280" s="23" t="s">
        <v>73</v>
      </c>
      <c r="D280" s="23" t="str">
        <f t="shared" si="5"/>
        <v>Autoimmune</v>
      </c>
      <c r="E280" s="32" t="s">
        <v>755</v>
      </c>
      <c r="F280" s="23" t="s">
        <v>755</v>
      </c>
      <c r="G280" s="69" t="s">
        <v>25</v>
      </c>
      <c r="H280" s="33">
        <v>40956001</v>
      </c>
      <c r="I280" s="23">
        <v>4164770</v>
      </c>
      <c r="J280" s="22" t="s">
        <v>765</v>
      </c>
      <c r="K280" s="2" t="s">
        <v>757</v>
      </c>
      <c r="L280" s="2" t="s">
        <v>758</v>
      </c>
      <c r="M280" s="15" t="s">
        <v>29</v>
      </c>
      <c r="N280" s="22" t="s">
        <v>761</v>
      </c>
      <c r="O280" s="1" t="s">
        <v>759</v>
      </c>
      <c r="P280" s="56">
        <v>0.62</v>
      </c>
      <c r="Q280" s="21">
        <v>2.66</v>
      </c>
      <c r="R280" s="1">
        <v>100000</v>
      </c>
      <c r="S280" s="4">
        <f>+(P280/R280)*[1]Population!$C$2</f>
        <v>2066.46</v>
      </c>
      <c r="T280" s="4">
        <f>IF(ISBLANK(Q280),S280,+(Q280/R280)*[1]Population!$C$2)</f>
        <v>8865.7800000000007</v>
      </c>
      <c r="U280" s="1">
        <f>+AVERAGE(S280:T280)</f>
        <v>5466.1200000000008</v>
      </c>
      <c r="V280" s="5">
        <f>+(U280/[1]Population!$C$2)*100000</f>
        <v>1.6400000000000001</v>
      </c>
      <c r="W280" s="23"/>
      <c r="X280" s="22" t="s">
        <v>760</v>
      </c>
      <c r="Y280" s="41"/>
    </row>
    <row r="281" spans="1:25" ht="13.95" customHeight="1">
      <c r="A281" s="23" t="s">
        <v>49</v>
      </c>
      <c r="B281" s="23" t="s">
        <v>22</v>
      </c>
      <c r="C281" s="23" t="s">
        <v>73</v>
      </c>
      <c r="D281" s="23" t="str">
        <f t="shared" si="5"/>
        <v>Autoimmune</v>
      </c>
      <c r="E281" s="32" t="s">
        <v>755</v>
      </c>
      <c r="F281" s="23" t="s">
        <v>766</v>
      </c>
      <c r="G281" s="69" t="s">
        <v>427</v>
      </c>
      <c r="H281" s="33">
        <v>40956001</v>
      </c>
      <c r="I281" s="23"/>
      <c r="J281" s="23"/>
      <c r="K281" s="23"/>
      <c r="L281" s="23"/>
      <c r="M281" s="23"/>
      <c r="N281" s="22"/>
      <c r="O281" s="23"/>
      <c r="P281" s="23"/>
      <c r="Q281" s="23"/>
      <c r="R281" s="4"/>
      <c r="S281" s="23">
        <v>0</v>
      </c>
      <c r="T281" s="23">
        <v>0</v>
      </c>
      <c r="U281" s="23">
        <v>0</v>
      </c>
      <c r="V281" s="5">
        <v>0</v>
      </c>
      <c r="W281" s="39"/>
      <c r="X281" s="22"/>
      <c r="Y281" s="41"/>
    </row>
    <row r="282" spans="1:25" ht="13.95" customHeight="1">
      <c r="A282" s="23" t="s">
        <v>49</v>
      </c>
      <c r="B282" s="23" t="s">
        <v>22</v>
      </c>
      <c r="C282" s="23" t="s">
        <v>73</v>
      </c>
      <c r="D282" s="23" t="str">
        <f t="shared" si="5"/>
        <v>Autoimmune</v>
      </c>
      <c r="E282" s="32" t="s">
        <v>755</v>
      </c>
      <c r="F282" s="23" t="s">
        <v>767</v>
      </c>
      <c r="G282" s="69" t="s">
        <v>34</v>
      </c>
      <c r="H282" s="33">
        <v>1767005</v>
      </c>
      <c r="I282" s="23">
        <v>4070552</v>
      </c>
      <c r="J282" s="22"/>
      <c r="K282" s="2" t="s">
        <v>757</v>
      </c>
      <c r="L282" s="2" t="s">
        <v>758</v>
      </c>
      <c r="M282" s="15" t="s">
        <v>29</v>
      </c>
      <c r="N282" s="22" t="s">
        <v>761</v>
      </c>
      <c r="O282" s="1" t="s">
        <v>759</v>
      </c>
      <c r="P282" s="56">
        <v>0.62</v>
      </c>
      <c r="Q282" s="21">
        <v>2.66</v>
      </c>
      <c r="R282" s="1">
        <v>100000</v>
      </c>
      <c r="S282" s="4">
        <f>+(P282/R282)*[1]Population!$C$2</f>
        <v>2066.46</v>
      </c>
      <c r="T282" s="4">
        <f>IF(ISBLANK(Q282),S282,+(Q282/R282)*[1]Population!$C$2)</f>
        <v>8865.7800000000007</v>
      </c>
      <c r="U282" s="1">
        <f>+AVERAGE(S282:T282)</f>
        <v>5466.1200000000008</v>
      </c>
      <c r="V282" s="5">
        <f>+(U282/[1]Population!$C$2)*100000</f>
        <v>1.6400000000000001</v>
      </c>
      <c r="W282" s="23"/>
      <c r="X282" s="22" t="s">
        <v>760</v>
      </c>
      <c r="Y282" s="41"/>
    </row>
    <row r="283" spans="1:25" ht="13.95" customHeight="1">
      <c r="A283" s="23" t="s">
        <v>49</v>
      </c>
      <c r="B283" s="23" t="s">
        <v>22</v>
      </c>
      <c r="C283" s="23" t="s">
        <v>73</v>
      </c>
      <c r="D283" s="23" t="str">
        <f t="shared" si="5"/>
        <v>Autoimmune</v>
      </c>
      <c r="E283" s="32" t="s">
        <v>755</v>
      </c>
      <c r="F283" s="23" t="s">
        <v>768</v>
      </c>
      <c r="G283" s="69" t="s">
        <v>52</v>
      </c>
      <c r="H283" s="33">
        <v>715770009</v>
      </c>
      <c r="I283" s="23">
        <v>37396086</v>
      </c>
      <c r="J283" s="22" t="s">
        <v>769</v>
      </c>
      <c r="K283" s="2" t="s">
        <v>770</v>
      </c>
      <c r="L283" s="2" t="s">
        <v>771</v>
      </c>
      <c r="M283" s="23" t="s">
        <v>29</v>
      </c>
      <c r="N283" s="22" t="s">
        <v>775</v>
      </c>
      <c r="O283" s="4" t="s">
        <v>772</v>
      </c>
      <c r="P283" s="16">
        <v>9.3424657534246572E-2</v>
      </c>
      <c r="Q283" s="16">
        <v>0.40082191780821919</v>
      </c>
      <c r="R283" s="4">
        <v>100000</v>
      </c>
      <c r="S283" s="4">
        <f>+(P283/R283)*[1]Population!$C$2</f>
        <v>311.38438356164386</v>
      </c>
      <c r="T283" s="4">
        <f>IF(ISBLANK(Q283),S283,+(Q283/R283)*[1]Population!$C$2)</f>
        <v>1335.9394520547944</v>
      </c>
      <c r="U283" s="1">
        <f>+AVERAGE(S283:T283)</f>
        <v>823.66191780821919</v>
      </c>
      <c r="V283" s="5">
        <f>+(U283/[1]Population!$C$2)*100000</f>
        <v>0.2471232876712329</v>
      </c>
      <c r="W283" s="23" t="s">
        <v>773</v>
      </c>
      <c r="X283" s="22" t="s">
        <v>774</v>
      </c>
      <c r="Y283" s="41"/>
    </row>
    <row r="284" spans="1:25" ht="13.95" customHeight="1">
      <c r="A284" s="23" t="s">
        <v>49</v>
      </c>
      <c r="B284" s="23" t="s">
        <v>22</v>
      </c>
      <c r="C284" s="23" t="s">
        <v>73</v>
      </c>
      <c r="D284" s="23" t="str">
        <f t="shared" si="5"/>
        <v>Autoimmune</v>
      </c>
      <c r="E284" s="32" t="s">
        <v>755</v>
      </c>
      <c r="F284" s="23" t="s">
        <v>776</v>
      </c>
      <c r="G284" s="69" t="s">
        <v>52</v>
      </c>
      <c r="H284" s="33">
        <v>715770009</v>
      </c>
      <c r="I284" s="23"/>
      <c r="J284" s="23"/>
      <c r="K284" s="23"/>
      <c r="L284" s="23"/>
      <c r="M284" s="23"/>
      <c r="N284" s="22"/>
      <c r="O284" s="23"/>
      <c r="P284" s="23"/>
      <c r="Q284" s="23"/>
      <c r="R284" s="4"/>
      <c r="S284" s="23">
        <v>0</v>
      </c>
      <c r="T284" s="23">
        <v>0</v>
      </c>
      <c r="U284" s="23">
        <v>0</v>
      </c>
      <c r="V284" s="5">
        <v>0</v>
      </c>
      <c r="W284" s="39"/>
      <c r="X284" s="22"/>
      <c r="Y284" s="41"/>
    </row>
    <row r="285" spans="1:25" ht="13.95" customHeight="1">
      <c r="A285" s="23" t="s">
        <v>49</v>
      </c>
      <c r="B285" s="23" t="s">
        <v>22</v>
      </c>
      <c r="C285" s="23" t="s">
        <v>73</v>
      </c>
      <c r="D285" s="23" t="str">
        <f t="shared" si="5"/>
        <v>Autoimmune</v>
      </c>
      <c r="E285" s="32" t="s">
        <v>755</v>
      </c>
      <c r="F285" s="23" t="s">
        <v>777</v>
      </c>
      <c r="G285" s="69" t="s">
        <v>52</v>
      </c>
      <c r="H285" s="33">
        <v>716723000</v>
      </c>
      <c r="I285" s="23">
        <v>37396786</v>
      </c>
      <c r="J285" s="22"/>
      <c r="K285" s="23"/>
      <c r="L285" s="23"/>
      <c r="M285" s="23"/>
      <c r="N285" s="22"/>
      <c r="O285" s="23"/>
      <c r="P285" s="23"/>
      <c r="Q285" s="23"/>
      <c r="R285" s="4"/>
      <c r="S285" s="23">
        <v>0</v>
      </c>
      <c r="T285" s="23">
        <v>0</v>
      </c>
      <c r="U285" s="23">
        <v>0</v>
      </c>
      <c r="V285" s="5">
        <v>0</v>
      </c>
      <c r="W285" s="39"/>
      <c r="X285" s="22"/>
      <c r="Y285" s="41"/>
    </row>
    <row r="286" spans="1:25" ht="13.95" customHeight="1">
      <c r="A286" s="23" t="s">
        <v>21</v>
      </c>
      <c r="B286" s="23" t="s">
        <v>22</v>
      </c>
      <c r="C286" s="23" t="s">
        <v>73</v>
      </c>
      <c r="D286" s="23" t="str">
        <f t="shared" si="5"/>
        <v>Autoimmune</v>
      </c>
      <c r="E286" s="32" t="s">
        <v>778</v>
      </c>
      <c r="F286" s="23" t="s">
        <v>778</v>
      </c>
      <c r="G286" s="69" t="s">
        <v>25</v>
      </c>
      <c r="H286" s="33">
        <v>86081009</v>
      </c>
      <c r="I286" s="23">
        <v>4311256</v>
      </c>
      <c r="J286" s="22" t="s">
        <v>779</v>
      </c>
      <c r="K286" s="2" t="s">
        <v>780</v>
      </c>
      <c r="L286" s="2" t="s">
        <v>781</v>
      </c>
      <c r="M286" s="23" t="s">
        <v>29</v>
      </c>
      <c r="N286" s="22" t="s">
        <v>784</v>
      </c>
      <c r="O286" s="1" t="s">
        <v>782</v>
      </c>
      <c r="P286" s="23"/>
      <c r="Q286" s="23"/>
      <c r="R286" s="4">
        <v>0</v>
      </c>
      <c r="S286" s="4">
        <v>100</v>
      </c>
      <c r="T286" s="4">
        <v>100</v>
      </c>
      <c r="U286" s="1">
        <f>+AVERAGE(S286:T286)</f>
        <v>100</v>
      </c>
      <c r="V286" s="5">
        <f>+(U286/[1]Population!$C$2)*100000</f>
        <v>3.0003000300030003E-2</v>
      </c>
      <c r="W286" s="23"/>
      <c r="X286" s="22" t="s">
        <v>783</v>
      </c>
      <c r="Y286" s="41"/>
    </row>
    <row r="287" spans="1:25" ht="13.95" customHeight="1">
      <c r="A287" s="23" t="s">
        <v>21</v>
      </c>
      <c r="B287" s="23" t="s">
        <v>22</v>
      </c>
      <c r="C287" s="23" t="s">
        <v>73</v>
      </c>
      <c r="D287" s="23" t="str">
        <f t="shared" si="5"/>
        <v>Autoimmune</v>
      </c>
      <c r="E287" s="32" t="s">
        <v>778</v>
      </c>
      <c r="F287" s="23" t="s">
        <v>785</v>
      </c>
      <c r="G287" s="69" t="s">
        <v>34</v>
      </c>
      <c r="H287" s="33">
        <v>86081009</v>
      </c>
      <c r="I287" s="23"/>
      <c r="J287" s="23"/>
      <c r="K287" s="23"/>
      <c r="L287" s="23"/>
      <c r="M287" s="23"/>
      <c r="N287" s="22"/>
      <c r="O287" s="23"/>
      <c r="P287" s="23"/>
      <c r="Q287" s="23"/>
      <c r="R287" s="4"/>
      <c r="S287" s="23">
        <v>0</v>
      </c>
      <c r="T287" s="23">
        <v>0</v>
      </c>
      <c r="U287" s="23">
        <v>0</v>
      </c>
      <c r="V287" s="5">
        <v>0</v>
      </c>
      <c r="W287" s="39"/>
      <c r="X287" s="22"/>
      <c r="Y287" s="41"/>
    </row>
    <row r="288" spans="1:25" ht="13.95" customHeight="1">
      <c r="A288" s="23" t="s">
        <v>21</v>
      </c>
      <c r="B288" s="23" t="s">
        <v>22</v>
      </c>
      <c r="C288" s="23" t="s">
        <v>73</v>
      </c>
      <c r="D288" s="23" t="str">
        <f t="shared" si="5"/>
        <v>Autoimmune</v>
      </c>
      <c r="E288" s="32" t="s">
        <v>778</v>
      </c>
      <c r="F288" s="23" t="s">
        <v>786</v>
      </c>
      <c r="G288" s="69" t="s">
        <v>36</v>
      </c>
      <c r="H288" s="33">
        <v>86081009</v>
      </c>
      <c r="I288" s="23">
        <v>4311256</v>
      </c>
      <c r="J288" s="22"/>
      <c r="K288" s="2" t="s">
        <v>780</v>
      </c>
      <c r="L288" s="2" t="s">
        <v>781</v>
      </c>
      <c r="M288" s="23" t="s">
        <v>29</v>
      </c>
      <c r="N288" s="22" t="s">
        <v>784</v>
      </c>
      <c r="O288" s="1" t="s">
        <v>782</v>
      </c>
      <c r="P288" s="23"/>
      <c r="Q288" s="23"/>
      <c r="R288" s="4">
        <v>0</v>
      </c>
      <c r="S288" s="4">
        <v>100</v>
      </c>
      <c r="T288" s="4">
        <v>100</v>
      </c>
      <c r="U288" s="1">
        <f>+AVERAGE(S288:T288)</f>
        <v>100</v>
      </c>
      <c r="V288" s="5">
        <f>+(U288/[1]Population!$C$2)*100000</f>
        <v>3.0003000300030003E-2</v>
      </c>
      <c r="W288" s="23"/>
      <c r="X288" s="22" t="s">
        <v>783</v>
      </c>
      <c r="Y288" s="41"/>
    </row>
    <row r="289" spans="1:25" ht="13.95" customHeight="1">
      <c r="A289" s="23" t="s">
        <v>21</v>
      </c>
      <c r="B289" s="23" t="s">
        <v>22</v>
      </c>
      <c r="C289" s="23" t="s">
        <v>73</v>
      </c>
      <c r="D289" s="23" t="str">
        <f t="shared" si="5"/>
        <v>Autoimmune</v>
      </c>
      <c r="E289" s="32" t="s">
        <v>778</v>
      </c>
      <c r="F289" s="23" t="s">
        <v>787</v>
      </c>
      <c r="G289" s="69" t="s">
        <v>36</v>
      </c>
      <c r="H289" s="33">
        <v>86081009</v>
      </c>
      <c r="I289" s="23"/>
      <c r="J289" s="23"/>
      <c r="K289" s="23"/>
      <c r="L289" s="23"/>
      <c r="M289" s="23"/>
      <c r="N289" s="22"/>
      <c r="O289" s="23"/>
      <c r="P289" s="23"/>
      <c r="Q289" s="23"/>
      <c r="R289" s="4"/>
      <c r="S289" s="23">
        <v>0</v>
      </c>
      <c r="T289" s="23">
        <v>0</v>
      </c>
      <c r="U289" s="23">
        <v>0</v>
      </c>
      <c r="V289" s="5">
        <v>0</v>
      </c>
      <c r="W289" s="39"/>
      <c r="X289" s="22"/>
      <c r="Y289" s="41"/>
    </row>
    <row r="290" spans="1:25" ht="13.95" customHeight="1">
      <c r="A290" s="23" t="s">
        <v>21</v>
      </c>
      <c r="B290" s="23" t="s">
        <v>86</v>
      </c>
      <c r="C290" s="23" t="s">
        <v>86</v>
      </c>
      <c r="D290" s="23" t="str">
        <f t="shared" si="5"/>
        <v>Unconfirmed</v>
      </c>
      <c r="E290" s="32" t="s">
        <v>788</v>
      </c>
      <c r="F290" s="23" t="s">
        <v>788</v>
      </c>
      <c r="G290" s="69" t="s">
        <v>25</v>
      </c>
      <c r="H290" s="33">
        <v>59393003</v>
      </c>
      <c r="I290" s="23">
        <v>4241223</v>
      </c>
      <c r="J290" s="22" t="s">
        <v>789</v>
      </c>
      <c r="K290" s="2" t="s">
        <v>790</v>
      </c>
      <c r="L290" s="2" t="s">
        <v>791</v>
      </c>
      <c r="M290" s="3" t="s">
        <v>78</v>
      </c>
      <c r="N290" s="22" t="s">
        <v>793</v>
      </c>
      <c r="O290" s="1"/>
      <c r="P290" s="23">
        <v>530</v>
      </c>
      <c r="Q290" s="23">
        <v>840</v>
      </c>
      <c r="R290" s="4">
        <v>100000</v>
      </c>
      <c r="S290" s="4">
        <f>+(P290/R290)*[1]Population!$C$2</f>
        <v>1766490</v>
      </c>
      <c r="T290" s="4">
        <f>IF(ISBLANK(Q290),S290,+(Q290/R290)*[1]Population!$C$2)</f>
        <v>2799720</v>
      </c>
      <c r="U290" s="1">
        <f>+AVERAGE(S290:T290)</f>
        <v>2283105</v>
      </c>
      <c r="V290" s="5">
        <f>+(U290/[1]Population!$C$2)*100000</f>
        <v>685</v>
      </c>
      <c r="W290" s="23"/>
      <c r="X290" s="22" t="s">
        <v>792</v>
      </c>
      <c r="Y290" s="41"/>
    </row>
    <row r="291" spans="1:25" ht="13.95" customHeight="1">
      <c r="A291" s="23" t="s">
        <v>21</v>
      </c>
      <c r="B291" s="23" t="s">
        <v>86</v>
      </c>
      <c r="C291" s="23" t="s">
        <v>86</v>
      </c>
      <c r="D291" s="23" t="str">
        <f t="shared" si="5"/>
        <v>Unconfirmed</v>
      </c>
      <c r="E291" s="32" t="s">
        <v>788</v>
      </c>
      <c r="F291" s="23" t="s">
        <v>794</v>
      </c>
      <c r="G291" s="69" t="s">
        <v>36</v>
      </c>
      <c r="H291" s="33">
        <v>59393003</v>
      </c>
      <c r="I291" s="23"/>
      <c r="J291" s="23"/>
      <c r="K291" s="23"/>
      <c r="L291" s="23"/>
      <c r="M291" s="23"/>
      <c r="N291" s="22"/>
      <c r="O291" s="23"/>
      <c r="P291" s="23"/>
      <c r="Q291" s="23"/>
      <c r="R291" s="4"/>
      <c r="S291" s="23">
        <v>0</v>
      </c>
      <c r="T291" s="23">
        <v>0</v>
      </c>
      <c r="U291" s="23">
        <v>0</v>
      </c>
      <c r="V291" s="5">
        <v>0</v>
      </c>
      <c r="W291" s="39"/>
      <c r="X291" s="22"/>
      <c r="Y291" s="41"/>
    </row>
    <row r="292" spans="1:25" ht="13.95" customHeight="1">
      <c r="A292" s="23" t="s">
        <v>21</v>
      </c>
      <c r="B292" s="23" t="s">
        <v>86</v>
      </c>
      <c r="C292" s="23" t="s">
        <v>86</v>
      </c>
      <c r="D292" s="23" t="str">
        <f t="shared" si="5"/>
        <v>Unconfirmed</v>
      </c>
      <c r="E292" s="32" t="s">
        <v>788</v>
      </c>
      <c r="F292" s="23" t="s">
        <v>795</v>
      </c>
      <c r="G292" s="69" t="s">
        <v>36</v>
      </c>
      <c r="H292" s="33">
        <v>59393003</v>
      </c>
      <c r="I292" s="23"/>
      <c r="J292" s="23"/>
      <c r="K292" s="23"/>
      <c r="L292" s="23"/>
      <c r="M292" s="23"/>
      <c r="N292" s="22"/>
      <c r="O292" s="23"/>
      <c r="P292" s="23"/>
      <c r="Q292" s="23"/>
      <c r="R292" s="4"/>
      <c r="S292" s="23">
        <v>0</v>
      </c>
      <c r="T292" s="23">
        <v>0</v>
      </c>
      <c r="U292" s="23">
        <v>0</v>
      </c>
      <c r="V292" s="5">
        <v>0</v>
      </c>
      <c r="W292" s="39"/>
      <c r="X292" s="22"/>
      <c r="Y292" s="41"/>
    </row>
    <row r="293" spans="1:25" ht="13.95" customHeight="1">
      <c r="A293" s="23" t="s">
        <v>72</v>
      </c>
      <c r="B293" s="23" t="s">
        <v>22</v>
      </c>
      <c r="C293" s="23" t="s">
        <v>23</v>
      </c>
      <c r="D293" s="23" t="str">
        <f t="shared" si="5"/>
        <v>Autoimmune</v>
      </c>
      <c r="E293" s="32" t="s">
        <v>796</v>
      </c>
      <c r="F293" s="23" t="s">
        <v>796</v>
      </c>
      <c r="G293" s="69" t="s">
        <v>25</v>
      </c>
      <c r="H293" s="33">
        <v>60555002</v>
      </c>
      <c r="I293" s="23">
        <v>196431</v>
      </c>
      <c r="J293" s="22" t="s">
        <v>797</v>
      </c>
      <c r="K293" s="23"/>
      <c r="L293" s="23"/>
      <c r="M293" s="23"/>
      <c r="N293" s="22"/>
      <c r="O293" s="23"/>
      <c r="P293" s="23"/>
      <c r="Q293" s="23"/>
      <c r="R293" s="4"/>
      <c r="S293" s="23">
        <v>0</v>
      </c>
      <c r="T293" s="23">
        <v>0</v>
      </c>
      <c r="U293" s="23">
        <v>0</v>
      </c>
      <c r="V293" s="5">
        <v>0</v>
      </c>
      <c r="W293" s="39"/>
      <c r="X293" s="22"/>
      <c r="Y293" s="41"/>
    </row>
    <row r="294" spans="1:25" ht="13.95" customHeight="1">
      <c r="A294" s="23" t="s">
        <v>72</v>
      </c>
      <c r="B294" s="23" t="s">
        <v>22</v>
      </c>
      <c r="C294" s="23" t="s">
        <v>23</v>
      </c>
      <c r="D294" s="23" t="str">
        <f t="shared" si="5"/>
        <v>Autoimmune</v>
      </c>
      <c r="E294" s="32" t="s">
        <v>796</v>
      </c>
      <c r="F294" s="23" t="s">
        <v>798</v>
      </c>
      <c r="G294" s="69" t="s">
        <v>34</v>
      </c>
      <c r="H294" s="33">
        <v>60555002</v>
      </c>
      <c r="I294" s="23"/>
      <c r="J294" s="23"/>
      <c r="K294" s="23"/>
      <c r="L294" s="23"/>
      <c r="M294" s="23"/>
      <c r="N294" s="22"/>
      <c r="O294" s="23"/>
      <c r="P294" s="23"/>
      <c r="Q294" s="23"/>
      <c r="R294" s="4"/>
      <c r="S294" s="23">
        <v>0</v>
      </c>
      <c r="T294" s="23">
        <v>0</v>
      </c>
      <c r="U294" s="23">
        <v>0</v>
      </c>
      <c r="V294" s="5">
        <v>0</v>
      </c>
      <c r="W294" s="39"/>
      <c r="X294" s="22"/>
      <c r="Y294" s="41"/>
    </row>
    <row r="295" spans="1:25" ht="13.95" customHeight="1">
      <c r="A295" s="23" t="s">
        <v>72</v>
      </c>
      <c r="B295" s="23" t="s">
        <v>22</v>
      </c>
      <c r="C295" s="23" t="s">
        <v>23</v>
      </c>
      <c r="D295" s="23" t="str">
        <f t="shared" si="5"/>
        <v>Autoimmune</v>
      </c>
      <c r="E295" s="32" t="s">
        <v>796</v>
      </c>
      <c r="F295" s="23" t="s">
        <v>799</v>
      </c>
      <c r="G295" s="69" t="s">
        <v>36</v>
      </c>
      <c r="H295" s="33">
        <v>60555002</v>
      </c>
      <c r="I295" s="23"/>
      <c r="J295" s="23"/>
      <c r="K295" s="23"/>
      <c r="L295" s="23"/>
      <c r="M295" s="23"/>
      <c r="N295" s="22"/>
      <c r="O295" s="23"/>
      <c r="P295" s="23"/>
      <c r="Q295" s="23"/>
      <c r="R295" s="4"/>
      <c r="S295" s="23">
        <v>0</v>
      </c>
      <c r="T295" s="23">
        <v>0</v>
      </c>
      <c r="U295" s="23">
        <v>0</v>
      </c>
      <c r="V295" s="5">
        <v>0</v>
      </c>
      <c r="W295" s="39"/>
      <c r="X295" s="22"/>
      <c r="Y295" s="41"/>
    </row>
    <row r="296" spans="1:25" ht="13.95" customHeight="1">
      <c r="A296" s="23" t="s">
        <v>72</v>
      </c>
      <c r="B296" s="23" t="s">
        <v>22</v>
      </c>
      <c r="C296" s="23" t="s">
        <v>23</v>
      </c>
      <c r="D296" s="23" t="str">
        <f t="shared" si="5"/>
        <v>Autoimmune</v>
      </c>
      <c r="E296" s="32" t="s">
        <v>796</v>
      </c>
      <c r="F296" s="23" t="s">
        <v>800</v>
      </c>
      <c r="G296" s="69" t="s">
        <v>36</v>
      </c>
      <c r="H296" s="33">
        <v>60555002</v>
      </c>
      <c r="I296" s="23"/>
      <c r="J296" s="23"/>
      <c r="K296" s="23"/>
      <c r="L296" s="23"/>
      <c r="M296" s="23"/>
      <c r="N296" s="22"/>
      <c r="O296" s="23"/>
      <c r="P296" s="23"/>
      <c r="Q296" s="23"/>
      <c r="R296" s="4"/>
      <c r="S296" s="23">
        <v>0</v>
      </c>
      <c r="T296" s="23">
        <v>0</v>
      </c>
      <c r="U296" s="23">
        <v>0</v>
      </c>
      <c r="V296" s="5">
        <v>0</v>
      </c>
      <c r="W296" s="39"/>
      <c r="X296" s="22"/>
      <c r="Y296" s="41"/>
    </row>
    <row r="297" spans="1:25" ht="13.95" customHeight="1">
      <c r="A297" s="23" t="s">
        <v>72</v>
      </c>
      <c r="B297" s="23" t="s">
        <v>22</v>
      </c>
      <c r="C297" s="23" t="s">
        <v>23</v>
      </c>
      <c r="D297" s="23" t="str">
        <f t="shared" si="5"/>
        <v>Autoimmune</v>
      </c>
      <c r="E297" s="32" t="s">
        <v>796</v>
      </c>
      <c r="F297" s="23" t="s">
        <v>801</v>
      </c>
      <c r="G297" s="69" t="s">
        <v>36</v>
      </c>
      <c r="H297" s="33">
        <v>60555002</v>
      </c>
      <c r="I297" s="23">
        <v>196431</v>
      </c>
      <c r="J297" s="22"/>
      <c r="K297" s="23"/>
      <c r="L297" s="23"/>
      <c r="M297" s="23"/>
      <c r="N297" s="22"/>
      <c r="O297" s="23"/>
      <c r="P297" s="23"/>
      <c r="Q297" s="23"/>
      <c r="R297" s="4"/>
      <c r="S297" s="23">
        <v>0</v>
      </c>
      <c r="T297" s="23">
        <v>0</v>
      </c>
      <c r="U297" s="23">
        <v>0</v>
      </c>
      <c r="V297" s="5">
        <v>0</v>
      </c>
      <c r="W297" s="39"/>
      <c r="X297" s="22"/>
      <c r="Y297" s="41"/>
    </row>
    <row r="298" spans="1:25" ht="13.95" customHeight="1">
      <c r="A298" s="23" t="s">
        <v>574</v>
      </c>
      <c r="B298" s="23" t="s">
        <v>238</v>
      </c>
      <c r="C298" s="23" t="s">
        <v>23</v>
      </c>
      <c r="D298" s="23" t="str">
        <f t="shared" si="5"/>
        <v>Autoimmune</v>
      </c>
      <c r="E298" s="32" t="s">
        <v>802</v>
      </c>
      <c r="F298" s="23" t="s">
        <v>802</v>
      </c>
      <c r="G298" s="69" t="s">
        <v>25</v>
      </c>
      <c r="H298" s="33">
        <v>700250006</v>
      </c>
      <c r="I298" s="23">
        <v>45763750</v>
      </c>
      <c r="J298" s="22" t="s">
        <v>803</v>
      </c>
      <c r="K298" s="2" t="s">
        <v>804</v>
      </c>
      <c r="L298" s="2" t="s">
        <v>805</v>
      </c>
      <c r="M298" s="3" t="s">
        <v>78</v>
      </c>
      <c r="N298" s="22" t="s">
        <v>808</v>
      </c>
      <c r="O298" s="44" t="s">
        <v>806</v>
      </c>
      <c r="P298" s="23">
        <v>202.2</v>
      </c>
      <c r="Q298" s="23">
        <v>494.5</v>
      </c>
      <c r="R298" s="4">
        <v>100000</v>
      </c>
      <c r="S298" s="4">
        <f>+(P298/R298)*[1]Population!$C$2</f>
        <v>673932.6</v>
      </c>
      <c r="T298" s="4">
        <f>IF(ISBLANK(Q298),S298,+(Q298/R298)*[1]Population!$C$2)</f>
        <v>1648168.5</v>
      </c>
      <c r="U298" s="1">
        <f>+AVERAGE(S298:T298)</f>
        <v>1161050.55</v>
      </c>
      <c r="V298" s="5">
        <f>+(U298/[1]Population!$C$2)*100000</f>
        <v>348.35</v>
      </c>
      <c r="W298" s="23"/>
      <c r="X298" s="22" t="s">
        <v>807</v>
      </c>
      <c r="Y298" s="41"/>
    </row>
    <row r="299" spans="1:25" ht="13.95" customHeight="1">
      <c r="A299" s="23" t="s">
        <v>574</v>
      </c>
      <c r="B299" s="23" t="s">
        <v>238</v>
      </c>
      <c r="C299" s="23" t="s">
        <v>23</v>
      </c>
      <c r="D299" s="23" t="str">
        <f t="shared" si="5"/>
        <v>Autoimmune</v>
      </c>
      <c r="E299" s="32" t="s">
        <v>802</v>
      </c>
      <c r="F299" s="23" t="s">
        <v>809</v>
      </c>
      <c r="G299" s="69" t="s">
        <v>36</v>
      </c>
      <c r="H299" s="33">
        <v>700250006</v>
      </c>
      <c r="I299" s="23"/>
      <c r="J299" s="23"/>
      <c r="K299" s="23"/>
      <c r="L299" s="23"/>
      <c r="M299" s="23"/>
      <c r="N299" s="22"/>
      <c r="O299" s="23"/>
      <c r="P299" s="23"/>
      <c r="Q299" s="23"/>
      <c r="R299" s="4"/>
      <c r="S299" s="23">
        <v>0</v>
      </c>
      <c r="T299" s="23">
        <v>0</v>
      </c>
      <c r="U299" s="23">
        <v>0</v>
      </c>
      <c r="V299" s="5">
        <v>0</v>
      </c>
      <c r="W299" s="39"/>
      <c r="X299" s="22"/>
      <c r="Y299" s="41"/>
    </row>
    <row r="300" spans="1:25" ht="13.95" customHeight="1">
      <c r="A300" s="23" t="s">
        <v>156</v>
      </c>
      <c r="B300" s="23" t="s">
        <v>238</v>
      </c>
      <c r="C300" s="23" t="s">
        <v>600</v>
      </c>
      <c r="D300" s="23" t="str">
        <f t="shared" si="5"/>
        <v>Autoimmune</v>
      </c>
      <c r="E300" s="32" t="s">
        <v>810</v>
      </c>
      <c r="F300" s="23" t="s">
        <v>810</v>
      </c>
      <c r="G300" s="69" t="s">
        <v>25</v>
      </c>
      <c r="H300" s="33">
        <v>236407003</v>
      </c>
      <c r="I300" s="23">
        <v>4128061</v>
      </c>
      <c r="J300" s="22" t="s">
        <v>811</v>
      </c>
      <c r="K300" s="2" t="s">
        <v>812</v>
      </c>
      <c r="L300" s="2" t="s">
        <v>813</v>
      </c>
      <c r="M300" s="3" t="s">
        <v>78</v>
      </c>
      <c r="N300" s="22" t="s">
        <v>815</v>
      </c>
      <c r="O300" s="23"/>
      <c r="P300" s="23">
        <v>3.1</v>
      </c>
      <c r="Q300" s="23">
        <v>4.5</v>
      </c>
      <c r="R300" s="4">
        <v>100000</v>
      </c>
      <c r="S300" s="4">
        <f>+(P300/R300)*[1]Population!$C$2</f>
        <v>10332.300000000001</v>
      </c>
      <c r="T300" s="4">
        <f>IF(ISBLANK(Q300),S300,+(Q300/R300)*[1]Population!$C$2)</f>
        <v>14998.500000000002</v>
      </c>
      <c r="U300" s="1">
        <f>+AVERAGE(S300:T300)</f>
        <v>12665.400000000001</v>
      </c>
      <c r="V300" s="5">
        <f>+(U300/[1]Population!$C$2)*100000</f>
        <v>3.8000000000000003</v>
      </c>
      <c r="W300" s="23"/>
      <c r="X300" s="22" t="s">
        <v>814</v>
      </c>
      <c r="Y300" s="41" t="s">
        <v>816</v>
      </c>
    </row>
    <row r="301" spans="1:25" ht="13.95" customHeight="1">
      <c r="A301" s="23" t="s">
        <v>156</v>
      </c>
      <c r="B301" s="23" t="s">
        <v>238</v>
      </c>
      <c r="C301" s="23" t="s">
        <v>600</v>
      </c>
      <c r="D301" s="23" t="str">
        <f t="shared" si="5"/>
        <v>Autoimmune</v>
      </c>
      <c r="E301" s="32" t="s">
        <v>810</v>
      </c>
      <c r="F301" s="23" t="s">
        <v>817</v>
      </c>
      <c r="G301" s="69" t="s">
        <v>36</v>
      </c>
      <c r="H301" s="33">
        <v>236407003</v>
      </c>
      <c r="I301" s="23"/>
      <c r="J301" s="23"/>
      <c r="K301" s="23"/>
      <c r="L301" s="23"/>
      <c r="M301" s="23"/>
      <c r="N301" s="22"/>
      <c r="O301" s="23"/>
      <c r="P301" s="23"/>
      <c r="Q301" s="23"/>
      <c r="R301" s="4"/>
      <c r="S301" s="23">
        <v>0</v>
      </c>
      <c r="T301" s="23">
        <v>0</v>
      </c>
      <c r="U301" s="23">
        <v>0</v>
      </c>
      <c r="V301" s="5">
        <v>0</v>
      </c>
      <c r="W301" s="39"/>
      <c r="X301" s="22"/>
      <c r="Y301" s="41"/>
    </row>
    <row r="302" spans="1:25" ht="13.95" customHeight="1">
      <c r="A302" s="21" t="s">
        <v>38</v>
      </c>
      <c r="B302" s="21" t="s">
        <v>22</v>
      </c>
      <c r="C302" s="21" t="s">
        <v>73</v>
      </c>
      <c r="D302" s="23" t="str">
        <f t="shared" si="5"/>
        <v>Autoimmune</v>
      </c>
      <c r="E302" s="23" t="s">
        <v>818</v>
      </c>
      <c r="F302" s="23" t="s">
        <v>818</v>
      </c>
      <c r="G302" s="69" t="s">
        <v>25</v>
      </c>
      <c r="H302" s="33" t="s">
        <v>819</v>
      </c>
      <c r="I302" s="49" t="s">
        <v>820</v>
      </c>
      <c r="J302" s="22" t="s">
        <v>821</v>
      </c>
      <c r="K302" s="2" t="s">
        <v>822</v>
      </c>
      <c r="L302" s="2" t="s">
        <v>823</v>
      </c>
      <c r="M302" s="9" t="s">
        <v>78</v>
      </c>
      <c r="N302" s="22" t="s">
        <v>827</v>
      </c>
      <c r="O302" s="23" t="s">
        <v>824</v>
      </c>
      <c r="P302" s="23">
        <v>4.5</v>
      </c>
      <c r="Q302" s="23">
        <v>9.5</v>
      </c>
      <c r="R302" s="4">
        <v>100000</v>
      </c>
      <c r="S302" s="4">
        <f>+(P302/R302)*[1]Population!$C$2</f>
        <v>14998.500000000002</v>
      </c>
      <c r="T302" s="4">
        <f>IF(ISBLANK(Q302),S302,+(Q302/R302)*[1]Population!$C$2)</f>
        <v>31663.5</v>
      </c>
      <c r="U302" s="1">
        <f>+AVERAGE(S302:T302)</f>
        <v>23331</v>
      </c>
      <c r="V302" s="5">
        <f>+(U302/[1]Population!$C$2)*100000</f>
        <v>6.9999999999999991</v>
      </c>
      <c r="W302" s="23" t="s">
        <v>825</v>
      </c>
      <c r="X302" s="22" t="s">
        <v>826</v>
      </c>
      <c r="Y302" s="41"/>
    </row>
    <row r="303" spans="1:25" ht="13.95" customHeight="1">
      <c r="A303" s="21" t="s">
        <v>38</v>
      </c>
      <c r="B303" s="21" t="s">
        <v>22</v>
      </c>
      <c r="C303" s="21" t="s">
        <v>73</v>
      </c>
      <c r="D303" s="23" t="str">
        <f t="shared" si="5"/>
        <v>Autoimmune</v>
      </c>
      <c r="E303" s="23" t="s">
        <v>818</v>
      </c>
      <c r="F303" s="23" t="s">
        <v>828</v>
      </c>
      <c r="G303" s="69" t="s">
        <v>36</v>
      </c>
      <c r="H303" s="33" t="s">
        <v>819</v>
      </c>
      <c r="I303" s="23"/>
      <c r="J303" s="22"/>
      <c r="K303" s="2" t="s">
        <v>822</v>
      </c>
      <c r="L303" s="2" t="s">
        <v>823</v>
      </c>
      <c r="M303" s="9" t="s">
        <v>78</v>
      </c>
      <c r="N303" s="22" t="s">
        <v>827</v>
      </c>
      <c r="O303" s="23" t="s">
        <v>824</v>
      </c>
      <c r="P303" s="23">
        <v>4.5</v>
      </c>
      <c r="Q303" s="23">
        <v>9.5</v>
      </c>
      <c r="R303" s="4">
        <v>100000</v>
      </c>
      <c r="S303" s="4">
        <f>+(P303/R303)*[1]Population!$C$2</f>
        <v>14998.500000000002</v>
      </c>
      <c r="T303" s="4">
        <f>IF(ISBLANK(Q303),S303,+(Q303/R303)*[1]Population!$C$2)</f>
        <v>31663.5</v>
      </c>
      <c r="U303" s="1">
        <f>+AVERAGE(S303:T303)</f>
        <v>23331</v>
      </c>
      <c r="V303" s="5">
        <f>+(U303/[1]Population!$C$2)*100000</f>
        <v>6.9999999999999991</v>
      </c>
      <c r="W303" s="23" t="s">
        <v>825</v>
      </c>
      <c r="X303" s="22" t="s">
        <v>826</v>
      </c>
      <c r="Y303" s="41"/>
    </row>
    <row r="304" spans="1:25" ht="13.95" customHeight="1">
      <c r="A304" s="21" t="s">
        <v>38</v>
      </c>
      <c r="B304" s="21" t="s">
        <v>22</v>
      </c>
      <c r="C304" s="21" t="s">
        <v>73</v>
      </c>
      <c r="D304" s="23" t="str">
        <f t="shared" si="5"/>
        <v>Autoimmune</v>
      </c>
      <c r="E304" s="23" t="s">
        <v>818</v>
      </c>
      <c r="F304" s="23" t="s">
        <v>829</v>
      </c>
      <c r="G304" s="69" t="s">
        <v>34</v>
      </c>
      <c r="H304" s="33">
        <v>13172003</v>
      </c>
      <c r="I304" s="23"/>
      <c r="J304" s="22"/>
      <c r="K304" s="23"/>
      <c r="L304" s="23"/>
      <c r="M304" s="23"/>
      <c r="N304" s="22"/>
      <c r="O304" s="23"/>
      <c r="P304" s="23"/>
      <c r="Q304" s="23"/>
      <c r="R304" s="4"/>
      <c r="S304" s="23">
        <v>0</v>
      </c>
      <c r="T304" s="23">
        <v>0</v>
      </c>
      <c r="U304" s="23">
        <v>0</v>
      </c>
      <c r="V304" s="5">
        <v>0</v>
      </c>
      <c r="W304" s="39"/>
      <c r="X304" s="22"/>
      <c r="Y304" s="41"/>
    </row>
    <row r="305" spans="1:25" ht="13.95" customHeight="1">
      <c r="A305" s="21" t="s">
        <v>38</v>
      </c>
      <c r="B305" s="21" t="s">
        <v>22</v>
      </c>
      <c r="C305" s="21" t="s">
        <v>73</v>
      </c>
      <c r="D305" s="23" t="str">
        <f t="shared" si="5"/>
        <v>Autoimmune</v>
      </c>
      <c r="E305" s="23" t="s">
        <v>818</v>
      </c>
      <c r="F305" s="23" t="s">
        <v>831</v>
      </c>
      <c r="G305" s="69" t="s">
        <v>52</v>
      </c>
      <c r="H305" s="33" t="s">
        <v>830</v>
      </c>
      <c r="I305" s="49" t="s">
        <v>832</v>
      </c>
      <c r="J305" s="22"/>
      <c r="K305" s="2" t="s">
        <v>822</v>
      </c>
      <c r="L305" s="2" t="s">
        <v>823</v>
      </c>
      <c r="M305" s="9" t="s">
        <v>78</v>
      </c>
      <c r="N305" s="22" t="s">
        <v>827</v>
      </c>
      <c r="O305" s="23" t="s">
        <v>824</v>
      </c>
      <c r="P305" s="23">
        <v>4.5</v>
      </c>
      <c r="Q305" s="23">
        <v>9.5</v>
      </c>
      <c r="R305" s="4">
        <v>100000</v>
      </c>
      <c r="S305" s="4">
        <f>+(P305/R305)*[1]Population!$C$2</f>
        <v>14998.500000000002</v>
      </c>
      <c r="T305" s="4">
        <f>IF(ISBLANK(Q305),S305,+(Q305/R305)*[1]Population!$C$2)</f>
        <v>31663.5</v>
      </c>
      <c r="U305" s="1">
        <f>+AVERAGE(S305:T305)</f>
        <v>23331</v>
      </c>
      <c r="V305" s="5">
        <f>+(U305/[1]Population!$C$2)*100000</f>
        <v>6.9999999999999991</v>
      </c>
      <c r="W305" s="23" t="s">
        <v>825</v>
      </c>
      <c r="X305" s="22" t="s">
        <v>826</v>
      </c>
      <c r="Y305" s="41"/>
    </row>
    <row r="306" spans="1:25" ht="13.95" customHeight="1">
      <c r="A306" s="21" t="s">
        <v>38</v>
      </c>
      <c r="B306" s="21" t="s">
        <v>22</v>
      </c>
      <c r="C306" s="21" t="s">
        <v>73</v>
      </c>
      <c r="D306" s="23" t="str">
        <f t="shared" si="5"/>
        <v>Autoimmune</v>
      </c>
      <c r="E306" s="23" t="s">
        <v>818</v>
      </c>
      <c r="F306" s="23" t="s">
        <v>833</v>
      </c>
      <c r="G306" s="69" t="s">
        <v>34</v>
      </c>
      <c r="H306" s="33">
        <v>13172003</v>
      </c>
      <c r="I306" s="23"/>
      <c r="J306" s="23"/>
      <c r="K306" s="23"/>
      <c r="L306" s="23"/>
      <c r="M306" s="23"/>
      <c r="N306" s="22"/>
      <c r="O306" s="23"/>
      <c r="P306" s="23"/>
      <c r="Q306" s="23"/>
      <c r="R306" s="4"/>
      <c r="S306" s="23">
        <v>0</v>
      </c>
      <c r="T306" s="23">
        <v>0</v>
      </c>
      <c r="U306" s="23">
        <v>0</v>
      </c>
      <c r="V306" s="5">
        <v>0</v>
      </c>
      <c r="W306" s="39"/>
      <c r="X306" s="22"/>
      <c r="Y306" s="41"/>
    </row>
    <row r="307" spans="1:25" ht="13.95" customHeight="1">
      <c r="A307" s="21" t="s">
        <v>38</v>
      </c>
      <c r="B307" s="21" t="s">
        <v>22</v>
      </c>
      <c r="C307" s="21" t="s">
        <v>73</v>
      </c>
      <c r="D307" s="23" t="str">
        <f t="shared" si="5"/>
        <v>Autoimmune</v>
      </c>
      <c r="E307" s="23" t="s">
        <v>818</v>
      </c>
      <c r="F307" s="23" t="s">
        <v>834</v>
      </c>
      <c r="G307" s="69" t="s">
        <v>36</v>
      </c>
      <c r="H307" s="33" t="s">
        <v>835</v>
      </c>
      <c r="I307" s="49" t="s">
        <v>836</v>
      </c>
      <c r="J307" s="23"/>
      <c r="K307" s="23"/>
      <c r="L307" s="23"/>
      <c r="M307" s="23"/>
      <c r="N307" s="22"/>
      <c r="O307" s="23"/>
      <c r="P307" s="23"/>
      <c r="Q307" s="23"/>
      <c r="R307" s="4"/>
      <c r="S307" s="23">
        <v>0</v>
      </c>
      <c r="T307" s="23">
        <v>0</v>
      </c>
      <c r="U307" s="23">
        <v>0</v>
      </c>
      <c r="V307" s="5">
        <v>0</v>
      </c>
      <c r="W307" s="39"/>
      <c r="X307" s="22"/>
      <c r="Y307" s="41"/>
    </row>
    <row r="308" spans="1:25" ht="13.95" customHeight="1">
      <c r="A308" s="21" t="s">
        <v>38</v>
      </c>
      <c r="B308" s="21" t="s">
        <v>22</v>
      </c>
      <c r="C308" s="21" t="s">
        <v>73</v>
      </c>
      <c r="D308" s="23" t="str">
        <f t="shared" si="5"/>
        <v>Autoimmune</v>
      </c>
      <c r="E308" s="23" t="s">
        <v>818</v>
      </c>
      <c r="F308" s="23" t="s">
        <v>837</v>
      </c>
      <c r="G308" s="69" t="s">
        <v>52</v>
      </c>
      <c r="H308" s="33" t="s">
        <v>838</v>
      </c>
      <c r="I308" s="49" t="s">
        <v>839</v>
      </c>
      <c r="J308" s="22"/>
      <c r="K308" s="2" t="s">
        <v>822</v>
      </c>
      <c r="L308" s="2" t="s">
        <v>823</v>
      </c>
      <c r="M308" s="9" t="s">
        <v>78</v>
      </c>
      <c r="N308" s="22" t="s">
        <v>827</v>
      </c>
      <c r="O308" s="23" t="s">
        <v>824</v>
      </c>
      <c r="P308" s="23">
        <v>4.5</v>
      </c>
      <c r="Q308" s="23">
        <v>9.5</v>
      </c>
      <c r="R308" s="4">
        <v>100000</v>
      </c>
      <c r="S308" s="4">
        <f>+(P308/R308)*[1]Population!$C$2</f>
        <v>14998.500000000002</v>
      </c>
      <c r="T308" s="4">
        <f>IF(ISBLANK(Q308),S308,+(Q308/R308)*[1]Population!$C$2)</f>
        <v>31663.5</v>
      </c>
      <c r="U308" s="1">
        <f>+AVERAGE(S308:T308)</f>
        <v>23331</v>
      </c>
      <c r="V308" s="5">
        <f>+(U308/[1]Population!$C$2)*100000</f>
        <v>6.9999999999999991</v>
      </c>
      <c r="W308" s="23" t="s">
        <v>825</v>
      </c>
      <c r="X308" s="22" t="s">
        <v>826</v>
      </c>
      <c r="Y308" s="41"/>
    </row>
    <row r="309" spans="1:25" ht="13.95" customHeight="1">
      <c r="A309" s="21" t="s">
        <v>38</v>
      </c>
      <c r="B309" s="21" t="s">
        <v>22</v>
      </c>
      <c r="C309" s="21" t="s">
        <v>73</v>
      </c>
      <c r="D309" s="23" t="str">
        <f t="shared" si="5"/>
        <v>Autoimmune</v>
      </c>
      <c r="E309" s="23" t="s">
        <v>818</v>
      </c>
      <c r="F309" s="23" t="s">
        <v>840</v>
      </c>
      <c r="G309" s="69" t="s">
        <v>52</v>
      </c>
      <c r="H309" s="33">
        <v>128092005</v>
      </c>
      <c r="I309" s="23">
        <v>4133983</v>
      </c>
      <c r="J309" s="22"/>
      <c r="K309" s="2" t="s">
        <v>822</v>
      </c>
      <c r="L309" s="2" t="s">
        <v>823</v>
      </c>
      <c r="M309" s="9" t="s">
        <v>78</v>
      </c>
      <c r="N309" s="22" t="s">
        <v>827</v>
      </c>
      <c r="O309" s="23" t="s">
        <v>824</v>
      </c>
      <c r="P309" s="23">
        <v>4.5</v>
      </c>
      <c r="Q309" s="23">
        <v>9.5</v>
      </c>
      <c r="R309" s="4">
        <v>100000</v>
      </c>
      <c r="S309" s="4">
        <f>+(P309/R309)*[1]Population!$C$2</f>
        <v>14998.500000000002</v>
      </c>
      <c r="T309" s="4">
        <f>IF(ISBLANK(Q309),S309,+(Q309/R309)*[1]Population!$C$2)</f>
        <v>31663.5</v>
      </c>
      <c r="U309" s="1">
        <f>+AVERAGE(S309:T309)</f>
        <v>23331</v>
      </c>
      <c r="V309" s="5">
        <f>+(U309/[1]Population!$C$2)*100000</f>
        <v>6.9999999999999991</v>
      </c>
      <c r="W309" s="23" t="s">
        <v>825</v>
      </c>
      <c r="X309" s="22" t="s">
        <v>826</v>
      </c>
      <c r="Y309" s="41"/>
    </row>
    <row r="310" spans="1:25" ht="13.95" customHeight="1">
      <c r="A310" s="21" t="s">
        <v>38</v>
      </c>
      <c r="B310" s="21" t="s">
        <v>22</v>
      </c>
      <c r="C310" s="21" t="s">
        <v>73</v>
      </c>
      <c r="D310" s="23" t="str">
        <f t="shared" si="5"/>
        <v>Autoimmune</v>
      </c>
      <c r="E310" s="23" t="s">
        <v>818</v>
      </c>
      <c r="F310" s="23" t="s">
        <v>841</v>
      </c>
      <c r="G310" s="69" t="s">
        <v>52</v>
      </c>
      <c r="H310" s="33">
        <v>128092005</v>
      </c>
      <c r="I310" s="23">
        <v>4133983</v>
      </c>
      <c r="J310" s="22"/>
      <c r="K310" s="2" t="s">
        <v>822</v>
      </c>
      <c r="L310" s="2" t="s">
        <v>823</v>
      </c>
      <c r="M310" s="9" t="s">
        <v>78</v>
      </c>
      <c r="N310" s="22" t="s">
        <v>827</v>
      </c>
      <c r="O310" s="23" t="s">
        <v>824</v>
      </c>
      <c r="P310" s="23">
        <v>4.5</v>
      </c>
      <c r="Q310" s="23">
        <v>9.5</v>
      </c>
      <c r="R310" s="4">
        <v>100000</v>
      </c>
      <c r="S310" s="4">
        <f>+(P310/R310)*[1]Population!$C$2</f>
        <v>14998.500000000002</v>
      </c>
      <c r="T310" s="4">
        <f>IF(ISBLANK(Q310),S310,+(Q310/R310)*[1]Population!$C$2)</f>
        <v>31663.5</v>
      </c>
      <c r="U310" s="1">
        <f>+AVERAGE(S310:T310)</f>
        <v>23331</v>
      </c>
      <c r="V310" s="5">
        <f>+(U310/[1]Population!$C$2)*100000</f>
        <v>6.9999999999999991</v>
      </c>
      <c r="W310" s="23" t="s">
        <v>825</v>
      </c>
      <c r="X310" s="22" t="s">
        <v>826</v>
      </c>
      <c r="Y310" s="41"/>
    </row>
    <row r="311" spans="1:25" ht="13.95" customHeight="1">
      <c r="A311" s="21" t="s">
        <v>38</v>
      </c>
      <c r="B311" s="21" t="s">
        <v>22</v>
      </c>
      <c r="C311" s="21" t="s">
        <v>73</v>
      </c>
      <c r="D311" s="23" t="str">
        <f t="shared" si="5"/>
        <v>Autoimmune</v>
      </c>
      <c r="E311" s="23" t="s">
        <v>818</v>
      </c>
      <c r="F311" s="23" t="s">
        <v>842</v>
      </c>
      <c r="G311" s="69" t="s">
        <v>52</v>
      </c>
      <c r="H311" s="33" t="s">
        <v>843</v>
      </c>
      <c r="I311" s="49" t="s">
        <v>844</v>
      </c>
      <c r="J311" s="22"/>
      <c r="K311" s="2"/>
      <c r="L311" s="2"/>
      <c r="M311" s="9"/>
      <c r="N311" s="22"/>
      <c r="O311" s="4"/>
      <c r="P311" s="23"/>
      <c r="Q311" s="23"/>
      <c r="R311" s="4"/>
      <c r="S311" s="23">
        <v>0</v>
      </c>
      <c r="T311" s="23">
        <v>0</v>
      </c>
      <c r="U311" s="23">
        <v>0</v>
      </c>
      <c r="V311" s="5">
        <v>0</v>
      </c>
      <c r="W311" s="23"/>
      <c r="X311" s="22"/>
      <c r="Y311" s="41"/>
    </row>
    <row r="312" spans="1:25" ht="13.95" customHeight="1">
      <c r="A312" s="23" t="s">
        <v>72</v>
      </c>
      <c r="B312" s="23" t="s">
        <v>22</v>
      </c>
      <c r="C312" s="23" t="s">
        <v>23</v>
      </c>
      <c r="D312" s="23" t="str">
        <f t="shared" si="5"/>
        <v>Autoimmune</v>
      </c>
      <c r="E312" s="32" t="s">
        <v>845</v>
      </c>
      <c r="F312" s="23" t="s">
        <v>845</v>
      </c>
      <c r="G312" s="69" t="s">
        <v>25</v>
      </c>
      <c r="H312" s="33">
        <v>191306005</v>
      </c>
      <c r="I312" s="53">
        <v>4101602</v>
      </c>
      <c r="J312" s="22" t="s">
        <v>846</v>
      </c>
      <c r="K312" s="2" t="s">
        <v>847</v>
      </c>
      <c r="L312" s="2" t="s">
        <v>848</v>
      </c>
      <c r="M312" s="3" t="s">
        <v>29</v>
      </c>
      <c r="N312" s="22" t="s">
        <v>850</v>
      </c>
      <c r="O312" s="1" t="s">
        <v>43</v>
      </c>
      <c r="P312" s="23">
        <v>1.315625</v>
      </c>
      <c r="Q312" s="23">
        <v>7.7062499999999998</v>
      </c>
      <c r="R312" s="4">
        <v>100000</v>
      </c>
      <c r="S312" s="4">
        <f>+(P312/R312)*[1]Population!$C$2</f>
        <v>4384.9781249999996</v>
      </c>
      <c r="T312" s="4">
        <f>IF(ISBLANK(Q312),S312,+(Q312/R312)*[1]Population!$C$2)</f>
        <v>25684.931249999998</v>
      </c>
      <c r="U312" s="1">
        <f>+AVERAGE(S312:T312)</f>
        <v>15034.954687499998</v>
      </c>
      <c r="V312" s="5">
        <f>+(U312/[1]Population!$C$2)*100000</f>
        <v>4.5109374999999989</v>
      </c>
      <c r="W312" s="23"/>
      <c r="X312" s="22" t="s">
        <v>849</v>
      </c>
      <c r="Y312" s="41"/>
    </row>
    <row r="313" spans="1:25" ht="13.95" customHeight="1">
      <c r="A313" s="23" t="s">
        <v>72</v>
      </c>
      <c r="B313" s="23" t="s">
        <v>22</v>
      </c>
      <c r="C313" s="23" t="s">
        <v>23</v>
      </c>
      <c r="D313" s="23" t="str">
        <f t="shared" si="5"/>
        <v>Autoimmune</v>
      </c>
      <c r="E313" s="32" t="s">
        <v>845</v>
      </c>
      <c r="F313" s="23" t="s">
        <v>851</v>
      </c>
      <c r="G313" s="69" t="s">
        <v>36</v>
      </c>
      <c r="H313" s="33">
        <v>191306005</v>
      </c>
      <c r="I313" s="23"/>
      <c r="J313" s="23"/>
      <c r="K313" s="23"/>
      <c r="L313" s="23"/>
      <c r="M313" s="23"/>
      <c r="N313" s="22"/>
      <c r="O313" s="23"/>
      <c r="P313" s="23"/>
      <c r="Q313" s="23"/>
      <c r="R313" s="4"/>
      <c r="S313" s="23">
        <v>0</v>
      </c>
      <c r="T313" s="23">
        <v>0</v>
      </c>
      <c r="U313" s="23">
        <v>0</v>
      </c>
      <c r="V313" s="5">
        <v>0</v>
      </c>
      <c r="W313" s="39"/>
      <c r="X313" s="22"/>
      <c r="Y313" s="41"/>
    </row>
    <row r="314" spans="1:25" ht="13.95" customHeight="1">
      <c r="A314" s="23" t="s">
        <v>72</v>
      </c>
      <c r="B314" s="23" t="s">
        <v>22</v>
      </c>
      <c r="C314" s="23" t="s">
        <v>23</v>
      </c>
      <c r="D314" s="23" t="str">
        <f t="shared" si="5"/>
        <v>Autoimmune</v>
      </c>
      <c r="E314" s="32" t="s">
        <v>845</v>
      </c>
      <c r="F314" s="23" t="s">
        <v>852</v>
      </c>
      <c r="G314" s="69" t="s">
        <v>36</v>
      </c>
      <c r="H314" s="33">
        <v>191306005</v>
      </c>
      <c r="I314" s="23"/>
      <c r="J314" s="23"/>
      <c r="K314" s="23"/>
      <c r="L314" s="23"/>
      <c r="M314" s="23"/>
      <c r="N314" s="22"/>
      <c r="O314" s="23"/>
      <c r="P314" s="23"/>
      <c r="Q314" s="23"/>
      <c r="R314" s="4"/>
      <c r="S314" s="23">
        <v>0</v>
      </c>
      <c r="T314" s="23">
        <v>0</v>
      </c>
      <c r="U314" s="23">
        <v>0</v>
      </c>
      <c r="V314" s="5">
        <v>0</v>
      </c>
      <c r="W314" s="39"/>
      <c r="X314" s="22"/>
      <c r="Y314" s="41"/>
    </row>
    <row r="315" spans="1:25" ht="13.95" customHeight="1">
      <c r="A315" s="23" t="s">
        <v>72</v>
      </c>
      <c r="B315" s="23" t="s">
        <v>22</v>
      </c>
      <c r="C315" s="23" t="s">
        <v>23</v>
      </c>
      <c r="D315" s="23" t="str">
        <f t="shared" si="5"/>
        <v>Autoimmune</v>
      </c>
      <c r="E315" s="32" t="s">
        <v>845</v>
      </c>
      <c r="F315" s="23" t="s">
        <v>853</v>
      </c>
      <c r="G315" s="69" t="s">
        <v>427</v>
      </c>
      <c r="H315" s="33">
        <v>191306005</v>
      </c>
      <c r="I315" s="53">
        <v>4101602</v>
      </c>
      <c r="J315" s="22"/>
      <c r="K315" s="2" t="s">
        <v>847</v>
      </c>
      <c r="L315" s="2" t="s">
        <v>848</v>
      </c>
      <c r="M315" s="3" t="s">
        <v>29</v>
      </c>
      <c r="N315" s="22" t="s">
        <v>850</v>
      </c>
      <c r="O315" s="1" t="s">
        <v>43</v>
      </c>
      <c r="P315" s="23">
        <v>1.315625</v>
      </c>
      <c r="Q315" s="23">
        <v>7.7062499999999998</v>
      </c>
      <c r="R315" s="4">
        <v>100000</v>
      </c>
      <c r="S315" s="4">
        <f>+(P315/R315)*[1]Population!$C$2</f>
        <v>4384.9781249999996</v>
      </c>
      <c r="T315" s="4">
        <f>IF(ISBLANK(Q315),S315,+(Q315/R315)*[1]Population!$C$2)</f>
        <v>25684.931249999998</v>
      </c>
      <c r="U315" s="1">
        <f>+AVERAGE(S315:T315)</f>
        <v>15034.954687499998</v>
      </c>
      <c r="V315" s="5">
        <f>+(U315/[1]Population!$C$2)*100000</f>
        <v>4.5109374999999989</v>
      </c>
      <c r="W315" s="23"/>
      <c r="X315" s="22" t="s">
        <v>849</v>
      </c>
      <c r="Y315" s="41"/>
    </row>
    <row r="316" spans="1:25" ht="13.95" customHeight="1">
      <c r="A316" s="23" t="s">
        <v>72</v>
      </c>
      <c r="B316" s="23" t="s">
        <v>22</v>
      </c>
      <c r="C316" s="23" t="s">
        <v>23</v>
      </c>
      <c r="D316" s="23" t="str">
        <f t="shared" si="5"/>
        <v>Autoimmune</v>
      </c>
      <c r="E316" s="32" t="s">
        <v>845</v>
      </c>
      <c r="F316" s="23" t="s">
        <v>854</v>
      </c>
      <c r="G316" s="69" t="s">
        <v>36</v>
      </c>
      <c r="H316" s="33">
        <v>191306005</v>
      </c>
      <c r="I316" s="53">
        <v>4101602</v>
      </c>
      <c r="J316" s="22"/>
      <c r="K316" s="2" t="s">
        <v>847</v>
      </c>
      <c r="L316" s="2" t="s">
        <v>848</v>
      </c>
      <c r="M316" s="3" t="s">
        <v>29</v>
      </c>
      <c r="N316" s="22" t="s">
        <v>850</v>
      </c>
      <c r="O316" s="1" t="s">
        <v>43</v>
      </c>
      <c r="P316" s="23">
        <v>1.315625</v>
      </c>
      <c r="Q316" s="23">
        <v>7.7062499999999998</v>
      </c>
      <c r="R316" s="4">
        <v>100000</v>
      </c>
      <c r="S316" s="4">
        <f>+(P316/R316)*[1]Population!$C$2</f>
        <v>4384.9781249999996</v>
      </c>
      <c r="T316" s="4">
        <f>IF(ISBLANK(Q316),S316,+(Q316/R316)*[1]Population!$C$2)</f>
        <v>25684.931249999998</v>
      </c>
      <c r="U316" s="1">
        <f>+AVERAGE(S316:T316)</f>
        <v>15034.954687499998</v>
      </c>
      <c r="V316" s="5">
        <f>+(U316/[1]Population!$C$2)*100000</f>
        <v>4.5109374999999989</v>
      </c>
      <c r="W316" s="23"/>
      <c r="X316" s="22" t="s">
        <v>849</v>
      </c>
      <c r="Y316" s="41"/>
    </row>
    <row r="317" spans="1:25" ht="13.95" customHeight="1">
      <c r="A317" s="23" t="s">
        <v>72</v>
      </c>
      <c r="B317" s="23" t="s">
        <v>22</v>
      </c>
      <c r="C317" s="23" t="s">
        <v>23</v>
      </c>
      <c r="D317" s="23" t="str">
        <f t="shared" si="5"/>
        <v>Autoimmune</v>
      </c>
      <c r="E317" s="32" t="s">
        <v>845</v>
      </c>
      <c r="F317" s="23" t="s">
        <v>855</v>
      </c>
      <c r="G317" s="69" t="s">
        <v>36</v>
      </c>
      <c r="H317" s="33">
        <v>191306005</v>
      </c>
      <c r="I317" s="23">
        <v>4101602</v>
      </c>
      <c r="J317" s="22"/>
      <c r="K317" s="23"/>
      <c r="L317" s="23"/>
      <c r="M317" s="23"/>
      <c r="N317" s="22"/>
      <c r="O317" s="23"/>
      <c r="P317" s="23"/>
      <c r="Q317" s="23"/>
      <c r="R317" s="4"/>
      <c r="S317" s="23">
        <v>0</v>
      </c>
      <c r="T317" s="23">
        <v>0</v>
      </c>
      <c r="U317" s="23">
        <v>0</v>
      </c>
      <c r="V317" s="5">
        <v>0</v>
      </c>
      <c r="W317" s="39"/>
      <c r="X317" s="22"/>
      <c r="Y317" s="41"/>
    </row>
    <row r="318" spans="1:25" ht="13.95" customHeight="1">
      <c r="A318" s="23" t="s">
        <v>38</v>
      </c>
      <c r="B318" s="23" t="s">
        <v>22</v>
      </c>
      <c r="C318" s="23" t="s">
        <v>73</v>
      </c>
      <c r="D318" s="23" t="str">
        <f t="shared" si="5"/>
        <v>Autoimmune</v>
      </c>
      <c r="E318" s="32" t="s">
        <v>856</v>
      </c>
      <c r="F318" s="23" t="s">
        <v>857</v>
      </c>
      <c r="G318" s="69" t="s">
        <v>52</v>
      </c>
      <c r="H318" s="33">
        <v>234549008</v>
      </c>
      <c r="I318" s="23">
        <v>4121282</v>
      </c>
      <c r="J318" s="22"/>
      <c r="K318" s="2" t="s">
        <v>858</v>
      </c>
      <c r="L318" s="2" t="s">
        <v>859</v>
      </c>
      <c r="M318" s="23" t="s">
        <v>78</v>
      </c>
      <c r="N318" s="22" t="s">
        <v>861</v>
      </c>
      <c r="O318" s="2" t="s">
        <v>860</v>
      </c>
      <c r="P318" s="23">
        <v>0.8</v>
      </c>
      <c r="Q318" s="23"/>
      <c r="R318" s="4">
        <v>100000</v>
      </c>
      <c r="S318" s="4">
        <f>+(P318/R318)*[1]Population!$C$2</f>
        <v>2666.4</v>
      </c>
      <c r="T318" s="4">
        <f>IF(ISBLANK(Q318),S318,+(Q318/R318)*[1]Population!$C$2)</f>
        <v>2666.4</v>
      </c>
      <c r="U318" s="1">
        <f>+AVERAGE(S318:T318)</f>
        <v>2666.4</v>
      </c>
      <c r="V318" s="5">
        <f>+(U318/[1]Population!$C$2)*100000</f>
        <v>0.79999999999999993</v>
      </c>
      <c r="W318" s="23"/>
      <c r="X318" s="22" t="s">
        <v>356</v>
      </c>
      <c r="Y318" s="41"/>
    </row>
    <row r="319" spans="1:25" ht="13.95" customHeight="1">
      <c r="A319" s="23" t="s">
        <v>38</v>
      </c>
      <c r="B319" s="23" t="s">
        <v>22</v>
      </c>
      <c r="C319" s="23" t="s">
        <v>73</v>
      </c>
      <c r="D319" s="23" t="str">
        <f t="shared" si="5"/>
        <v>Autoimmune</v>
      </c>
      <c r="E319" s="32" t="s">
        <v>856</v>
      </c>
      <c r="F319" s="23" t="s">
        <v>862</v>
      </c>
      <c r="G319" s="69" t="s">
        <v>52</v>
      </c>
      <c r="H319" s="33">
        <v>722870008</v>
      </c>
      <c r="I319" s="23">
        <v>36716713</v>
      </c>
      <c r="J319" s="22"/>
      <c r="K319" s="2" t="s">
        <v>858</v>
      </c>
      <c r="L319" s="2" t="s">
        <v>859</v>
      </c>
      <c r="M319" s="23" t="s">
        <v>78</v>
      </c>
      <c r="N319" s="22" t="s">
        <v>861</v>
      </c>
      <c r="O319" s="2" t="s">
        <v>860</v>
      </c>
      <c r="P319" s="23">
        <v>0.8</v>
      </c>
      <c r="Q319" s="23"/>
      <c r="R319" s="4">
        <v>100000</v>
      </c>
      <c r="S319" s="4">
        <f>+(P319/R319)*[1]Population!$C$2</f>
        <v>2666.4</v>
      </c>
      <c r="T319" s="4">
        <f>IF(ISBLANK(Q319),S319,+(Q319/R319)*[1]Population!$C$2)</f>
        <v>2666.4</v>
      </c>
      <c r="U319" s="1">
        <f>+AVERAGE(S319:T319)</f>
        <v>2666.4</v>
      </c>
      <c r="V319" s="5">
        <f>+(U319/[1]Population!$C$2)*100000</f>
        <v>0.79999999999999993</v>
      </c>
      <c r="W319" s="23"/>
      <c r="X319" s="22" t="s">
        <v>356</v>
      </c>
      <c r="Y319" s="41"/>
    </row>
    <row r="320" spans="1:25" ht="13.95" customHeight="1">
      <c r="A320" s="23" t="s">
        <v>38</v>
      </c>
      <c r="B320" s="23" t="s">
        <v>22</v>
      </c>
      <c r="C320" s="23" t="s">
        <v>73</v>
      </c>
      <c r="D320" s="23" t="str">
        <f t="shared" si="5"/>
        <v>Autoimmune</v>
      </c>
      <c r="E320" s="32" t="s">
        <v>856</v>
      </c>
      <c r="F320" s="23" t="s">
        <v>863</v>
      </c>
      <c r="G320" s="69" t="s">
        <v>36</v>
      </c>
      <c r="H320" s="33" t="s">
        <v>864</v>
      </c>
      <c r="I320" s="23"/>
      <c r="J320" s="23"/>
      <c r="K320" s="23"/>
      <c r="L320" s="23"/>
      <c r="M320" s="23"/>
      <c r="N320" s="22"/>
      <c r="O320" s="23"/>
      <c r="P320" s="23"/>
      <c r="Q320" s="23"/>
      <c r="R320" s="4"/>
      <c r="S320" s="23">
        <v>0</v>
      </c>
      <c r="T320" s="23">
        <v>0</v>
      </c>
      <c r="U320" s="23">
        <v>0</v>
      </c>
      <c r="V320" s="5">
        <v>0</v>
      </c>
      <c r="W320" s="39"/>
      <c r="X320" s="22"/>
      <c r="Y320" s="41"/>
    </row>
    <row r="321" spans="1:25" ht="13.95" customHeight="1">
      <c r="A321" s="23" t="s">
        <v>38</v>
      </c>
      <c r="B321" s="23" t="s">
        <v>22</v>
      </c>
      <c r="C321" s="23" t="s">
        <v>73</v>
      </c>
      <c r="D321" s="23" t="str">
        <f t="shared" si="5"/>
        <v>Autoimmune</v>
      </c>
      <c r="E321" s="32" t="s">
        <v>856</v>
      </c>
      <c r="F321" s="23" t="s">
        <v>865</v>
      </c>
      <c r="G321" s="69" t="s">
        <v>36</v>
      </c>
      <c r="H321" s="33" t="s">
        <v>864</v>
      </c>
      <c r="I321" s="57"/>
      <c r="J321" s="22"/>
      <c r="K321" s="2" t="s">
        <v>858</v>
      </c>
      <c r="L321" s="2" t="s">
        <v>859</v>
      </c>
      <c r="M321" s="23" t="s">
        <v>78</v>
      </c>
      <c r="N321" s="22" t="s">
        <v>861</v>
      </c>
      <c r="O321" s="2" t="s">
        <v>860</v>
      </c>
      <c r="P321" s="23">
        <v>0.8</v>
      </c>
      <c r="Q321" s="23"/>
      <c r="R321" s="4">
        <v>100000</v>
      </c>
      <c r="S321" s="4">
        <f>+(P321/R321)*[1]Population!$C$2</f>
        <v>2666.4</v>
      </c>
      <c r="T321" s="4">
        <f>IF(ISBLANK(Q321),S321,+(Q321/R321)*[1]Population!$C$2)</f>
        <v>2666.4</v>
      </c>
      <c r="U321" s="1">
        <f>+AVERAGE(S321:T321)</f>
        <v>2666.4</v>
      </c>
      <c r="V321" s="5">
        <f>+(U321/[1]Population!$C$2)*100000</f>
        <v>0.79999999999999993</v>
      </c>
      <c r="W321" s="23"/>
      <c r="X321" s="22" t="s">
        <v>356</v>
      </c>
      <c r="Y321" s="41"/>
    </row>
    <row r="322" spans="1:25" ht="13.95" customHeight="1">
      <c r="A322" s="23" t="s">
        <v>38</v>
      </c>
      <c r="B322" s="23" t="s">
        <v>22</v>
      </c>
      <c r="C322" s="23" t="s">
        <v>73</v>
      </c>
      <c r="D322" s="23" t="str">
        <f t="shared" si="5"/>
        <v>Autoimmune</v>
      </c>
      <c r="E322" s="32" t="s">
        <v>856</v>
      </c>
      <c r="F322" s="23" t="s">
        <v>866</v>
      </c>
      <c r="G322" s="69" t="s">
        <v>36</v>
      </c>
      <c r="H322" s="33" t="s">
        <v>864</v>
      </c>
      <c r="I322" s="57"/>
      <c r="J322" s="23"/>
      <c r="K322" s="23"/>
      <c r="L322" s="23"/>
      <c r="M322" s="23"/>
      <c r="N322" s="22"/>
      <c r="O322" s="23"/>
      <c r="P322" s="23"/>
      <c r="Q322" s="23"/>
      <c r="R322" s="4"/>
      <c r="S322" s="23">
        <v>0</v>
      </c>
      <c r="T322" s="23">
        <v>0</v>
      </c>
      <c r="U322" s="23">
        <v>0</v>
      </c>
      <c r="V322" s="5">
        <v>0</v>
      </c>
      <c r="W322" s="39"/>
      <c r="X322" s="22"/>
      <c r="Y322" s="41"/>
    </row>
    <row r="323" spans="1:25" ht="13.95" customHeight="1">
      <c r="A323" s="23" t="s">
        <v>38</v>
      </c>
      <c r="B323" s="23" t="s">
        <v>22</v>
      </c>
      <c r="C323" s="23" t="s">
        <v>73</v>
      </c>
      <c r="D323" s="23" t="str">
        <f t="shared" si="5"/>
        <v>Autoimmune</v>
      </c>
      <c r="E323" s="32" t="s">
        <v>856</v>
      </c>
      <c r="F323" s="23" t="s">
        <v>867</v>
      </c>
      <c r="G323" s="69" t="s">
        <v>36</v>
      </c>
      <c r="H323" s="33" t="s">
        <v>864</v>
      </c>
      <c r="I323" s="57"/>
      <c r="J323" s="23"/>
      <c r="K323" s="23"/>
      <c r="L323" s="23"/>
      <c r="M323" s="23"/>
      <c r="N323" s="22"/>
      <c r="O323" s="23"/>
      <c r="P323" s="23"/>
      <c r="Q323" s="23"/>
      <c r="R323" s="4"/>
      <c r="S323" s="23">
        <v>0</v>
      </c>
      <c r="T323" s="23">
        <v>0</v>
      </c>
      <c r="U323" s="23">
        <v>0</v>
      </c>
      <c r="V323" s="5">
        <v>0</v>
      </c>
      <c r="W323" s="39"/>
      <c r="X323" s="22"/>
      <c r="Y323" s="41"/>
    </row>
    <row r="324" spans="1:25" ht="13.95" customHeight="1">
      <c r="A324" s="23" t="s">
        <v>38</v>
      </c>
      <c r="B324" s="23" t="s">
        <v>22</v>
      </c>
      <c r="C324" s="23" t="s">
        <v>73</v>
      </c>
      <c r="D324" s="23" t="str">
        <f t="shared" si="5"/>
        <v>Autoimmune</v>
      </c>
      <c r="E324" s="32" t="s">
        <v>856</v>
      </c>
      <c r="F324" s="23" t="s">
        <v>868</v>
      </c>
      <c r="G324" s="69" t="s">
        <v>36</v>
      </c>
      <c r="H324" s="33" t="s">
        <v>864</v>
      </c>
      <c r="I324" s="57"/>
      <c r="J324" s="22"/>
      <c r="K324" s="2" t="s">
        <v>858</v>
      </c>
      <c r="L324" s="2" t="s">
        <v>859</v>
      </c>
      <c r="M324" s="23" t="s">
        <v>78</v>
      </c>
      <c r="N324" s="22" t="s">
        <v>861</v>
      </c>
      <c r="O324" s="2" t="s">
        <v>860</v>
      </c>
      <c r="P324" s="23">
        <v>0.8</v>
      </c>
      <c r="Q324" s="23"/>
      <c r="R324" s="4">
        <v>100000</v>
      </c>
      <c r="S324" s="4">
        <f>+(P324/R324)*[1]Population!$C$2</f>
        <v>2666.4</v>
      </c>
      <c r="T324" s="4">
        <f>IF(ISBLANK(Q324),S324,+(Q324/R324)*[1]Population!$C$2)</f>
        <v>2666.4</v>
      </c>
      <c r="U324" s="1">
        <f>+AVERAGE(S324:T324)</f>
        <v>2666.4</v>
      </c>
      <c r="V324" s="5">
        <f>+(U324/[1]Population!$C$2)*100000</f>
        <v>0.79999999999999993</v>
      </c>
      <c r="W324" s="23"/>
      <c r="X324" s="22" t="s">
        <v>356</v>
      </c>
      <c r="Y324" s="41"/>
    </row>
    <row r="325" spans="1:25" ht="13.95" customHeight="1">
      <c r="A325" s="23" t="s">
        <v>38</v>
      </c>
      <c r="B325" s="23" t="s">
        <v>22</v>
      </c>
      <c r="C325" s="23" t="s">
        <v>73</v>
      </c>
      <c r="D325" s="23" t="str">
        <f t="shared" si="5"/>
        <v>Autoimmune</v>
      </c>
      <c r="E325" s="32" t="s">
        <v>856</v>
      </c>
      <c r="F325" s="23" t="s">
        <v>869</v>
      </c>
      <c r="G325" s="69" t="s">
        <v>36</v>
      </c>
      <c r="H325" s="33" t="s">
        <v>864</v>
      </c>
      <c r="I325" s="57"/>
      <c r="J325" s="23"/>
      <c r="K325" s="23"/>
      <c r="L325" s="23"/>
      <c r="M325" s="23"/>
      <c r="N325" s="22"/>
      <c r="O325" s="23"/>
      <c r="P325" s="23"/>
      <c r="Q325" s="23"/>
      <c r="R325" s="4"/>
      <c r="S325" s="23">
        <v>0</v>
      </c>
      <c r="T325" s="23">
        <v>0</v>
      </c>
      <c r="U325" s="23">
        <v>0</v>
      </c>
      <c r="V325" s="5">
        <v>0</v>
      </c>
      <c r="W325" s="39"/>
      <c r="X325" s="22"/>
      <c r="Y325" s="41"/>
    </row>
    <row r="326" spans="1:25" ht="13.95" customHeight="1">
      <c r="A326" s="23" t="s">
        <v>38</v>
      </c>
      <c r="B326" s="23" t="s">
        <v>22</v>
      </c>
      <c r="C326" s="23" t="s">
        <v>73</v>
      </c>
      <c r="D326" s="23" t="str">
        <f t="shared" ref="D326:D389" si="6">+IF(OR(B326="Antibody Suspected",B326="Antibody",B326="TCELL", B326="Immune-mediated",B326="Genetic"),"Autoimmune","Unconfirmed")</f>
        <v>Autoimmune</v>
      </c>
      <c r="E326" s="32" t="s">
        <v>856</v>
      </c>
      <c r="F326" s="23" t="s">
        <v>870</v>
      </c>
      <c r="G326" s="69" t="s">
        <v>36</v>
      </c>
      <c r="H326" s="33" t="s">
        <v>864</v>
      </c>
      <c r="I326" s="57"/>
      <c r="J326" s="23"/>
      <c r="K326" s="23"/>
      <c r="L326" s="23"/>
      <c r="M326" s="23"/>
      <c r="N326" s="22"/>
      <c r="O326" s="23"/>
      <c r="P326" s="23"/>
      <c r="Q326" s="23"/>
      <c r="R326" s="4"/>
      <c r="S326" s="23">
        <v>0</v>
      </c>
      <c r="T326" s="23">
        <v>0</v>
      </c>
      <c r="U326" s="23">
        <v>0</v>
      </c>
      <c r="V326" s="5">
        <v>0</v>
      </c>
      <c r="W326" s="39"/>
      <c r="X326" s="22"/>
      <c r="Y326" s="41"/>
    </row>
    <row r="327" spans="1:25" ht="13.95" customHeight="1">
      <c r="A327" s="23" t="s">
        <v>38</v>
      </c>
      <c r="B327" s="23" t="s">
        <v>22</v>
      </c>
      <c r="C327" s="23" t="s">
        <v>73</v>
      </c>
      <c r="D327" s="23" t="str">
        <f t="shared" si="6"/>
        <v>Autoimmune</v>
      </c>
      <c r="E327" s="32" t="s">
        <v>856</v>
      </c>
      <c r="F327" s="23" t="s">
        <v>856</v>
      </c>
      <c r="G327" s="69" t="s">
        <v>25</v>
      </c>
      <c r="H327" s="33" t="s">
        <v>864</v>
      </c>
      <c r="I327" s="57">
        <v>36717255</v>
      </c>
      <c r="J327" s="22" t="s">
        <v>871</v>
      </c>
      <c r="K327" s="2" t="s">
        <v>858</v>
      </c>
      <c r="L327" s="2" t="s">
        <v>859</v>
      </c>
      <c r="M327" s="23" t="s">
        <v>78</v>
      </c>
      <c r="N327" s="22" t="s">
        <v>861</v>
      </c>
      <c r="O327" s="2" t="s">
        <v>860</v>
      </c>
      <c r="P327" s="23">
        <v>0.8</v>
      </c>
      <c r="Q327" s="23"/>
      <c r="R327" s="4">
        <v>100000</v>
      </c>
      <c r="S327" s="4">
        <f>+(P327/R327)*[1]Population!$C$2</f>
        <v>2666.4</v>
      </c>
      <c r="T327" s="4">
        <f>IF(ISBLANK(Q327),S327,+(Q327/R327)*[1]Population!$C$2)</f>
        <v>2666.4</v>
      </c>
      <c r="U327" s="1">
        <f>+AVERAGE(S327:T327)</f>
        <v>2666.4</v>
      </c>
      <c r="V327" s="5">
        <f>+(U327/[1]Population!$C$2)*100000</f>
        <v>0.79999999999999993</v>
      </c>
      <c r="W327" s="23"/>
      <c r="X327" s="22" t="s">
        <v>356</v>
      </c>
      <c r="Y327" s="41"/>
    </row>
    <row r="328" spans="1:25" ht="13.95" customHeight="1">
      <c r="A328" s="23" t="s">
        <v>38</v>
      </c>
      <c r="B328" s="23" t="s">
        <v>22</v>
      </c>
      <c r="C328" s="23" t="s">
        <v>73</v>
      </c>
      <c r="D328" s="23" t="str">
        <f t="shared" si="6"/>
        <v>Autoimmune</v>
      </c>
      <c r="E328" s="32" t="s">
        <v>856</v>
      </c>
      <c r="F328" s="23" t="s">
        <v>872</v>
      </c>
      <c r="G328" s="69" t="s">
        <v>36</v>
      </c>
      <c r="H328" s="33" t="s">
        <v>864</v>
      </c>
      <c r="I328" s="57"/>
      <c r="J328" s="23"/>
      <c r="K328" s="23"/>
      <c r="L328" s="23"/>
      <c r="M328" s="23"/>
      <c r="N328" s="22"/>
      <c r="O328" s="23"/>
      <c r="P328" s="23"/>
      <c r="Q328" s="23"/>
      <c r="R328" s="4"/>
      <c r="S328" s="23">
        <v>0</v>
      </c>
      <c r="T328" s="23">
        <v>0</v>
      </c>
      <c r="U328" s="23">
        <v>0</v>
      </c>
      <c r="V328" s="5">
        <v>0</v>
      </c>
      <c r="W328" s="39"/>
      <c r="X328" s="22"/>
      <c r="Y328" s="41"/>
    </row>
    <row r="329" spans="1:25" ht="13.95" customHeight="1">
      <c r="A329" s="23" t="s">
        <v>38</v>
      </c>
      <c r="B329" s="23" t="s">
        <v>22</v>
      </c>
      <c r="C329" s="23" t="s">
        <v>73</v>
      </c>
      <c r="D329" s="23" t="str">
        <f t="shared" si="6"/>
        <v>Autoimmune</v>
      </c>
      <c r="E329" s="32" t="s">
        <v>856</v>
      </c>
      <c r="F329" s="23" t="s">
        <v>873</v>
      </c>
      <c r="G329" s="69" t="s">
        <v>36</v>
      </c>
      <c r="H329" s="33" t="s">
        <v>864</v>
      </c>
      <c r="I329" s="57"/>
      <c r="J329" s="23"/>
      <c r="K329" s="23"/>
      <c r="L329" s="23"/>
      <c r="M329" s="23"/>
      <c r="N329" s="22"/>
      <c r="O329" s="23"/>
      <c r="P329" s="23"/>
      <c r="Q329" s="23"/>
      <c r="R329" s="4"/>
      <c r="S329" s="23">
        <v>0</v>
      </c>
      <c r="T329" s="23">
        <v>0</v>
      </c>
      <c r="U329" s="23">
        <v>0</v>
      </c>
      <c r="V329" s="5">
        <v>0</v>
      </c>
      <c r="W329" s="39"/>
      <c r="X329" s="22"/>
      <c r="Y329" s="41"/>
    </row>
    <row r="330" spans="1:25" ht="13.95" customHeight="1">
      <c r="A330" s="23" t="s">
        <v>38</v>
      </c>
      <c r="B330" s="23" t="s">
        <v>22</v>
      </c>
      <c r="C330" s="23" t="s">
        <v>73</v>
      </c>
      <c r="D330" s="23" t="str">
        <f t="shared" si="6"/>
        <v>Autoimmune</v>
      </c>
      <c r="E330" s="32" t="s">
        <v>856</v>
      </c>
      <c r="F330" s="23" t="s">
        <v>874</v>
      </c>
      <c r="G330" s="69" t="s">
        <v>36</v>
      </c>
      <c r="H330" s="33" t="s">
        <v>864</v>
      </c>
      <c r="I330" s="57"/>
      <c r="J330" s="23"/>
      <c r="K330" s="23"/>
      <c r="L330" s="23"/>
      <c r="M330" s="23"/>
      <c r="N330" s="22"/>
      <c r="O330" s="23"/>
      <c r="P330" s="23"/>
      <c r="Q330" s="23"/>
      <c r="R330" s="4"/>
      <c r="S330" s="23">
        <v>0</v>
      </c>
      <c r="T330" s="23">
        <v>0</v>
      </c>
      <c r="U330" s="23">
        <v>0</v>
      </c>
      <c r="V330" s="5">
        <v>0</v>
      </c>
      <c r="W330" s="39"/>
      <c r="X330" s="22"/>
      <c r="Y330" s="41"/>
    </row>
    <row r="331" spans="1:25" ht="13.95" customHeight="1">
      <c r="A331" s="23" t="s">
        <v>38</v>
      </c>
      <c r="B331" s="23" t="s">
        <v>22</v>
      </c>
      <c r="C331" s="23" t="s">
        <v>73</v>
      </c>
      <c r="D331" s="23" t="str">
        <f t="shared" si="6"/>
        <v>Autoimmune</v>
      </c>
      <c r="E331" s="32" t="s">
        <v>856</v>
      </c>
      <c r="F331" s="23" t="s">
        <v>875</v>
      </c>
      <c r="G331" s="69" t="s">
        <v>36</v>
      </c>
      <c r="H331" s="33" t="s">
        <v>864</v>
      </c>
      <c r="I331" s="57"/>
      <c r="J331" s="23"/>
      <c r="K331" s="23"/>
      <c r="L331" s="23"/>
      <c r="M331" s="23"/>
      <c r="N331" s="22"/>
      <c r="O331" s="23"/>
      <c r="P331" s="23"/>
      <c r="Q331" s="23"/>
      <c r="R331" s="4"/>
      <c r="S331" s="23">
        <v>0</v>
      </c>
      <c r="T331" s="23">
        <v>0</v>
      </c>
      <c r="U331" s="23">
        <v>0</v>
      </c>
      <c r="V331" s="5">
        <v>0</v>
      </c>
      <c r="W331" s="39"/>
      <c r="X331" s="22"/>
      <c r="Y331" s="41"/>
    </row>
    <row r="332" spans="1:25" ht="13.95" customHeight="1">
      <c r="A332" s="23" t="s">
        <v>38</v>
      </c>
      <c r="B332" s="23" t="s">
        <v>22</v>
      </c>
      <c r="C332" s="23" t="s">
        <v>73</v>
      </c>
      <c r="D332" s="23" t="str">
        <f t="shared" si="6"/>
        <v>Autoimmune</v>
      </c>
      <c r="E332" s="32" t="s">
        <v>856</v>
      </c>
      <c r="F332" s="23" t="s">
        <v>876</v>
      </c>
      <c r="G332" s="69" t="s">
        <v>36</v>
      </c>
      <c r="H332" s="33" t="s">
        <v>864</v>
      </c>
      <c r="I332" s="57"/>
      <c r="J332" s="23"/>
      <c r="K332" s="23"/>
      <c r="L332" s="23"/>
      <c r="M332" s="23"/>
      <c r="N332" s="22"/>
      <c r="O332" s="23"/>
      <c r="P332" s="23"/>
      <c r="Q332" s="23"/>
      <c r="R332" s="4"/>
      <c r="S332" s="23">
        <v>0</v>
      </c>
      <c r="T332" s="23">
        <v>0</v>
      </c>
      <c r="U332" s="23">
        <v>0</v>
      </c>
      <c r="V332" s="5">
        <v>0</v>
      </c>
      <c r="W332" s="39"/>
      <c r="X332" s="22"/>
      <c r="Y332" s="41"/>
    </row>
    <row r="333" spans="1:25" ht="13.95" customHeight="1">
      <c r="A333" s="23" t="s">
        <v>38</v>
      </c>
      <c r="B333" s="23" t="s">
        <v>22</v>
      </c>
      <c r="C333" s="23" t="s">
        <v>73</v>
      </c>
      <c r="D333" s="23" t="str">
        <f t="shared" si="6"/>
        <v>Autoimmune</v>
      </c>
      <c r="E333" s="32" t="s">
        <v>856</v>
      </c>
      <c r="F333" s="23" t="s">
        <v>877</v>
      </c>
      <c r="G333" s="69" t="s">
        <v>36</v>
      </c>
      <c r="H333" s="33" t="s">
        <v>864</v>
      </c>
      <c r="I333" s="57"/>
      <c r="J333" s="23"/>
      <c r="K333" s="23"/>
      <c r="L333" s="23"/>
      <c r="M333" s="23"/>
      <c r="N333" s="22"/>
      <c r="O333" s="23"/>
      <c r="P333" s="23"/>
      <c r="Q333" s="23"/>
      <c r="R333" s="4"/>
      <c r="S333" s="23">
        <v>0</v>
      </c>
      <c r="T333" s="23">
        <v>0</v>
      </c>
      <c r="U333" s="23">
        <v>0</v>
      </c>
      <c r="V333" s="5">
        <v>0</v>
      </c>
      <c r="W333" s="39"/>
      <c r="X333" s="22"/>
      <c r="Y333" s="41"/>
    </row>
    <row r="334" spans="1:25" ht="13.95" customHeight="1">
      <c r="A334" s="23" t="s">
        <v>38</v>
      </c>
      <c r="B334" s="23" t="s">
        <v>22</v>
      </c>
      <c r="C334" s="23" t="s">
        <v>73</v>
      </c>
      <c r="D334" s="23" t="str">
        <f t="shared" si="6"/>
        <v>Autoimmune</v>
      </c>
      <c r="E334" s="32" t="s">
        <v>856</v>
      </c>
      <c r="F334" s="23" t="s">
        <v>878</v>
      </c>
      <c r="G334" s="69" t="s">
        <v>36</v>
      </c>
      <c r="H334" s="33" t="s">
        <v>864</v>
      </c>
      <c r="I334" s="57"/>
      <c r="J334" s="23"/>
      <c r="K334" s="23"/>
      <c r="L334" s="23"/>
      <c r="M334" s="23"/>
      <c r="N334" s="22"/>
      <c r="O334" s="23"/>
      <c r="P334" s="23"/>
      <c r="Q334" s="23"/>
      <c r="R334" s="4"/>
      <c r="S334" s="23">
        <v>0</v>
      </c>
      <c r="T334" s="23">
        <v>0</v>
      </c>
      <c r="U334" s="23">
        <v>0</v>
      </c>
      <c r="V334" s="5">
        <v>0</v>
      </c>
      <c r="W334" s="39"/>
      <c r="X334" s="22"/>
      <c r="Y334" s="41"/>
    </row>
    <row r="335" spans="1:25" ht="13.95" customHeight="1">
      <c r="A335" s="23" t="s">
        <v>38</v>
      </c>
      <c r="B335" s="23" t="s">
        <v>22</v>
      </c>
      <c r="C335" s="23" t="s">
        <v>73</v>
      </c>
      <c r="D335" s="23" t="str">
        <f t="shared" si="6"/>
        <v>Autoimmune</v>
      </c>
      <c r="E335" s="32" t="s">
        <v>856</v>
      </c>
      <c r="F335" s="23" t="s">
        <v>879</v>
      </c>
      <c r="G335" s="69" t="s">
        <v>36</v>
      </c>
      <c r="H335" s="33" t="s">
        <v>864</v>
      </c>
      <c r="I335" s="57"/>
      <c r="J335" s="23"/>
      <c r="K335" s="23"/>
      <c r="L335" s="23"/>
      <c r="M335" s="23"/>
      <c r="N335" s="22"/>
      <c r="O335" s="23"/>
      <c r="P335" s="23"/>
      <c r="Q335" s="23"/>
      <c r="R335" s="4"/>
      <c r="S335" s="23">
        <v>0</v>
      </c>
      <c r="T335" s="23">
        <v>0</v>
      </c>
      <c r="U335" s="23">
        <v>0</v>
      </c>
      <c r="V335" s="5">
        <v>0</v>
      </c>
      <c r="W335" s="39"/>
      <c r="X335" s="22"/>
      <c r="Y335" s="41"/>
    </row>
    <row r="336" spans="1:25" ht="13.95" customHeight="1">
      <c r="A336" s="23" t="s">
        <v>38</v>
      </c>
      <c r="B336" s="23" t="s">
        <v>22</v>
      </c>
      <c r="C336" s="23" t="s">
        <v>73</v>
      </c>
      <c r="D336" s="23" t="str">
        <f t="shared" si="6"/>
        <v>Autoimmune</v>
      </c>
      <c r="E336" s="32" t="s">
        <v>856</v>
      </c>
      <c r="F336" s="23" t="s">
        <v>880</v>
      </c>
      <c r="G336" s="69" t="s">
        <v>36</v>
      </c>
      <c r="H336" s="33" t="s">
        <v>864</v>
      </c>
      <c r="I336" s="57"/>
      <c r="J336" s="23"/>
      <c r="K336" s="23"/>
      <c r="L336" s="23"/>
      <c r="M336" s="23"/>
      <c r="N336" s="22"/>
      <c r="O336" s="23"/>
      <c r="P336" s="23"/>
      <c r="Q336" s="23"/>
      <c r="R336" s="4"/>
      <c r="S336" s="23">
        <v>0</v>
      </c>
      <c r="T336" s="23">
        <v>0</v>
      </c>
      <c r="U336" s="23">
        <v>0</v>
      </c>
      <c r="V336" s="5">
        <v>0</v>
      </c>
      <c r="W336" s="39"/>
      <c r="X336" s="22"/>
      <c r="Y336" s="41"/>
    </row>
    <row r="337" spans="1:25" ht="13.95" customHeight="1">
      <c r="A337" s="23" t="s">
        <v>38</v>
      </c>
      <c r="B337" s="23" t="s">
        <v>22</v>
      </c>
      <c r="C337" s="23" t="s">
        <v>73</v>
      </c>
      <c r="D337" s="23" t="str">
        <f t="shared" si="6"/>
        <v>Autoimmune</v>
      </c>
      <c r="E337" s="32" t="s">
        <v>856</v>
      </c>
      <c r="F337" s="23" t="s">
        <v>881</v>
      </c>
      <c r="G337" s="69" t="s">
        <v>36</v>
      </c>
      <c r="H337" s="33" t="s">
        <v>864</v>
      </c>
      <c r="I337" s="57"/>
      <c r="J337" s="23"/>
      <c r="K337" s="23"/>
      <c r="L337" s="23"/>
      <c r="M337" s="23"/>
      <c r="N337" s="22"/>
      <c r="O337" s="23"/>
      <c r="P337" s="23"/>
      <c r="Q337" s="23"/>
      <c r="R337" s="4"/>
      <c r="S337" s="23">
        <v>0</v>
      </c>
      <c r="T337" s="23">
        <v>0</v>
      </c>
      <c r="U337" s="23">
        <v>0</v>
      </c>
      <c r="V337" s="5">
        <v>0</v>
      </c>
      <c r="W337" s="39"/>
      <c r="X337" s="22"/>
      <c r="Y337" s="41"/>
    </row>
    <row r="338" spans="1:25" ht="13.95" customHeight="1">
      <c r="A338" s="23" t="s">
        <v>38</v>
      </c>
      <c r="B338" s="23" t="s">
        <v>22</v>
      </c>
      <c r="C338" s="23" t="s">
        <v>73</v>
      </c>
      <c r="D338" s="23" t="str">
        <f t="shared" si="6"/>
        <v>Autoimmune</v>
      </c>
      <c r="E338" s="32" t="s">
        <v>856</v>
      </c>
      <c r="F338" s="23" t="s">
        <v>882</v>
      </c>
      <c r="G338" s="69" t="s">
        <v>36</v>
      </c>
      <c r="H338" s="33" t="s">
        <v>864</v>
      </c>
      <c r="I338" s="57"/>
      <c r="J338" s="23"/>
      <c r="K338" s="23"/>
      <c r="L338" s="23"/>
      <c r="M338" s="23"/>
      <c r="N338" s="22"/>
      <c r="O338" s="23"/>
      <c r="P338" s="23"/>
      <c r="Q338" s="23"/>
      <c r="R338" s="4"/>
      <c r="S338" s="23">
        <v>0</v>
      </c>
      <c r="T338" s="23">
        <v>0</v>
      </c>
      <c r="U338" s="23">
        <v>0</v>
      </c>
      <c r="V338" s="5">
        <v>0</v>
      </c>
      <c r="W338" s="39"/>
      <c r="X338" s="22"/>
      <c r="Y338" s="41"/>
    </row>
    <row r="339" spans="1:25" ht="13.95" customHeight="1">
      <c r="A339" s="23" t="s">
        <v>146</v>
      </c>
      <c r="B339" s="23" t="s">
        <v>86</v>
      </c>
      <c r="C339" s="23" t="s">
        <v>86</v>
      </c>
      <c r="D339" s="23" t="str">
        <f t="shared" si="6"/>
        <v>Unconfirmed</v>
      </c>
      <c r="E339" s="32" t="s">
        <v>883</v>
      </c>
      <c r="F339" s="23" t="s">
        <v>884</v>
      </c>
      <c r="G339" s="69" t="s">
        <v>34</v>
      </c>
      <c r="H339" s="33">
        <v>72315009</v>
      </c>
      <c r="I339" s="23"/>
      <c r="J339" s="23"/>
      <c r="K339" s="23"/>
      <c r="L339" s="23"/>
      <c r="M339" s="23"/>
      <c r="N339" s="22"/>
      <c r="O339" s="23"/>
      <c r="P339" s="23"/>
      <c r="Q339" s="23"/>
      <c r="R339" s="4"/>
      <c r="S339" s="23">
        <v>0</v>
      </c>
      <c r="T339" s="23">
        <v>0</v>
      </c>
      <c r="U339" s="23">
        <v>0</v>
      </c>
      <c r="V339" s="5">
        <v>0</v>
      </c>
      <c r="W339" s="39"/>
      <c r="X339" s="22"/>
      <c r="Y339" s="41"/>
    </row>
    <row r="340" spans="1:25" ht="13.95" customHeight="1">
      <c r="A340" s="23" t="s">
        <v>146</v>
      </c>
      <c r="B340" s="23" t="s">
        <v>86</v>
      </c>
      <c r="C340" s="23" t="s">
        <v>86</v>
      </c>
      <c r="D340" s="23" t="str">
        <f t="shared" si="6"/>
        <v>Unconfirmed</v>
      </c>
      <c r="E340" s="32" t="s">
        <v>885</v>
      </c>
      <c r="F340" s="23" t="s">
        <v>885</v>
      </c>
      <c r="G340" s="69" t="s">
        <v>25</v>
      </c>
      <c r="H340" s="33">
        <v>72315009</v>
      </c>
      <c r="I340" s="23">
        <v>4216406</v>
      </c>
      <c r="J340" s="22" t="s">
        <v>886</v>
      </c>
      <c r="K340" s="2" t="s">
        <v>887</v>
      </c>
      <c r="L340" s="2" t="s">
        <v>888</v>
      </c>
      <c r="M340" s="3" t="s">
        <v>78</v>
      </c>
      <c r="N340" s="22" t="s">
        <v>890</v>
      </c>
      <c r="O340" s="1"/>
      <c r="P340" s="23">
        <v>1</v>
      </c>
      <c r="Q340" s="23"/>
      <c r="R340" s="4">
        <v>100000</v>
      </c>
      <c r="S340" s="4">
        <f>+(P340/R340)*[1]Population!$C$2</f>
        <v>3333.0000000000005</v>
      </c>
      <c r="T340" s="4">
        <f>IF(ISBLANK(Q340),S340,+(Q340/R340)*[1]Population!$C$2)</f>
        <v>3333.0000000000005</v>
      </c>
      <c r="U340" s="1">
        <f>+AVERAGE(S340:T340)</f>
        <v>3333.0000000000005</v>
      </c>
      <c r="V340" s="5">
        <f>+(U340/[1]Population!$C$2)*100000</f>
        <v>1</v>
      </c>
      <c r="W340" s="23"/>
      <c r="X340" s="54" t="s">
        <v>889</v>
      </c>
      <c r="Y340" s="40"/>
    </row>
    <row r="341" spans="1:25" ht="13.95" customHeight="1">
      <c r="A341" s="23" t="s">
        <v>146</v>
      </c>
      <c r="B341" s="23" t="s">
        <v>86</v>
      </c>
      <c r="C341" s="23" t="s">
        <v>86</v>
      </c>
      <c r="D341" s="23" t="str">
        <f t="shared" si="6"/>
        <v>Unconfirmed</v>
      </c>
      <c r="E341" s="32" t="s">
        <v>883</v>
      </c>
      <c r="F341" s="23" t="s">
        <v>891</v>
      </c>
      <c r="G341" s="69" t="s">
        <v>34</v>
      </c>
      <c r="H341" s="33">
        <v>72315009</v>
      </c>
      <c r="I341" s="23"/>
      <c r="J341" s="23"/>
      <c r="K341" s="23"/>
      <c r="L341" s="23"/>
      <c r="M341" s="23"/>
      <c r="N341" s="22"/>
      <c r="O341" s="23"/>
      <c r="P341" s="23"/>
      <c r="Q341" s="23"/>
      <c r="R341" s="4"/>
      <c r="S341" s="23">
        <v>0</v>
      </c>
      <c r="T341" s="23">
        <v>0</v>
      </c>
      <c r="U341" s="23">
        <v>0</v>
      </c>
      <c r="V341" s="5">
        <v>0</v>
      </c>
      <c r="W341" s="39"/>
      <c r="X341" s="22"/>
      <c r="Y341" s="41"/>
    </row>
    <row r="342" spans="1:25" ht="13.95" customHeight="1">
      <c r="A342" s="23" t="s">
        <v>146</v>
      </c>
      <c r="B342" s="23" t="s">
        <v>86</v>
      </c>
      <c r="C342" s="23" t="s">
        <v>86</v>
      </c>
      <c r="D342" s="23" t="str">
        <f t="shared" si="6"/>
        <v>Unconfirmed</v>
      </c>
      <c r="E342" s="32" t="s">
        <v>883</v>
      </c>
      <c r="F342" s="23" t="s">
        <v>892</v>
      </c>
      <c r="G342" s="69" t="s">
        <v>36</v>
      </c>
      <c r="H342" s="33">
        <v>72315009</v>
      </c>
      <c r="I342" s="23"/>
      <c r="J342" s="23"/>
      <c r="K342" s="23"/>
      <c r="L342" s="23"/>
      <c r="M342" s="23"/>
      <c r="N342" s="22"/>
      <c r="O342" s="23"/>
      <c r="P342" s="23"/>
      <c r="Q342" s="23"/>
      <c r="R342" s="4"/>
      <c r="S342" s="23">
        <v>0</v>
      </c>
      <c r="T342" s="23">
        <v>0</v>
      </c>
      <c r="U342" s="23">
        <v>0</v>
      </c>
      <c r="V342" s="5">
        <v>0</v>
      </c>
      <c r="W342" s="39"/>
      <c r="X342" s="22"/>
      <c r="Y342" s="41"/>
    </row>
    <row r="343" spans="1:25" ht="13.95" customHeight="1">
      <c r="A343" s="23" t="s">
        <v>281</v>
      </c>
      <c r="B343" s="23" t="s">
        <v>238</v>
      </c>
      <c r="C343" s="23" t="s">
        <v>73</v>
      </c>
      <c r="D343" s="23" t="str">
        <f t="shared" si="6"/>
        <v>Autoimmune</v>
      </c>
      <c r="E343" s="32" t="s">
        <v>893</v>
      </c>
      <c r="F343" s="32" t="s">
        <v>562</v>
      </c>
      <c r="G343" s="69" t="s">
        <v>236</v>
      </c>
      <c r="H343" s="33">
        <v>24526004</v>
      </c>
      <c r="I343" s="23">
        <v>4074815</v>
      </c>
      <c r="J343" s="22" t="s">
        <v>894</v>
      </c>
      <c r="K343" s="23"/>
      <c r="L343" s="23"/>
      <c r="M343" s="23"/>
      <c r="N343" s="22"/>
      <c r="O343" s="23"/>
      <c r="P343" s="23"/>
      <c r="Q343" s="23"/>
      <c r="R343" s="4"/>
      <c r="S343" s="23">
        <v>0</v>
      </c>
      <c r="T343" s="23">
        <v>0</v>
      </c>
      <c r="U343" s="23">
        <v>0</v>
      </c>
      <c r="V343" s="5">
        <v>0</v>
      </c>
      <c r="W343" s="39"/>
      <c r="X343" s="22"/>
      <c r="Y343" s="41"/>
    </row>
    <row r="344" spans="1:25" ht="13.95" customHeight="1">
      <c r="A344" s="23" t="s">
        <v>281</v>
      </c>
      <c r="B344" s="23" t="s">
        <v>238</v>
      </c>
      <c r="C344" s="23" t="s">
        <v>73</v>
      </c>
      <c r="D344" s="23" t="str">
        <f t="shared" si="6"/>
        <v>Autoimmune</v>
      </c>
      <c r="E344" s="32" t="s">
        <v>893</v>
      </c>
      <c r="F344" s="32" t="s">
        <v>893</v>
      </c>
      <c r="G344" s="69" t="s">
        <v>236</v>
      </c>
      <c r="H344" s="33">
        <v>24526004</v>
      </c>
      <c r="I344" s="23">
        <v>4074815</v>
      </c>
      <c r="J344" s="22" t="s">
        <v>894</v>
      </c>
      <c r="K344" s="23"/>
      <c r="L344" s="23"/>
      <c r="M344" s="23"/>
      <c r="N344" s="22"/>
      <c r="O344" s="23"/>
      <c r="P344" s="23"/>
      <c r="Q344" s="23"/>
      <c r="R344" s="4"/>
      <c r="S344" s="23">
        <v>0</v>
      </c>
      <c r="T344" s="23">
        <v>0</v>
      </c>
      <c r="U344" s="23">
        <v>0</v>
      </c>
      <c r="V344" s="5">
        <v>0</v>
      </c>
      <c r="W344" s="39"/>
      <c r="X344" s="22"/>
      <c r="Y344" s="41"/>
    </row>
    <row r="345" spans="1:25" ht="13.95" customHeight="1">
      <c r="A345" s="23" t="s">
        <v>281</v>
      </c>
      <c r="B345" s="23" t="s">
        <v>238</v>
      </c>
      <c r="C345" s="23" t="s">
        <v>73</v>
      </c>
      <c r="D345" s="23" t="str">
        <f t="shared" si="6"/>
        <v>Autoimmune</v>
      </c>
      <c r="E345" s="32" t="s">
        <v>893</v>
      </c>
      <c r="F345" s="23" t="s">
        <v>895</v>
      </c>
      <c r="G345" s="69" t="s">
        <v>236</v>
      </c>
      <c r="H345" s="33">
        <v>24526004</v>
      </c>
      <c r="I345" s="23">
        <v>4074815</v>
      </c>
      <c r="J345" s="22" t="s">
        <v>894</v>
      </c>
      <c r="K345" s="23"/>
      <c r="L345" s="23"/>
      <c r="M345" s="23"/>
      <c r="N345" s="22"/>
      <c r="O345" s="23"/>
      <c r="P345" s="23"/>
      <c r="Q345" s="23"/>
      <c r="R345" s="4"/>
      <c r="S345" s="23">
        <v>0</v>
      </c>
      <c r="T345" s="23">
        <v>0</v>
      </c>
      <c r="U345" s="23">
        <v>0</v>
      </c>
      <c r="V345" s="5">
        <v>0</v>
      </c>
      <c r="W345" s="39"/>
      <c r="X345" s="22"/>
      <c r="Y345" s="41"/>
    </row>
    <row r="346" spans="1:25" ht="13.95" customHeight="1">
      <c r="A346" s="23" t="s">
        <v>281</v>
      </c>
      <c r="B346" s="23" t="s">
        <v>238</v>
      </c>
      <c r="C346" s="23" t="s">
        <v>73</v>
      </c>
      <c r="D346" s="23" t="str">
        <f t="shared" si="6"/>
        <v>Autoimmune</v>
      </c>
      <c r="E346" s="32" t="s">
        <v>893</v>
      </c>
      <c r="F346" s="23" t="s">
        <v>896</v>
      </c>
      <c r="G346" s="69" t="s">
        <v>236</v>
      </c>
      <c r="H346" s="33">
        <v>24526004</v>
      </c>
      <c r="I346" s="23">
        <v>4074815</v>
      </c>
      <c r="J346" s="22" t="s">
        <v>894</v>
      </c>
      <c r="K346" s="23"/>
      <c r="L346" s="23"/>
      <c r="M346" s="23"/>
      <c r="N346" s="22"/>
      <c r="O346" s="23"/>
      <c r="P346" s="23"/>
      <c r="Q346" s="23"/>
      <c r="R346" s="4"/>
      <c r="S346" s="23">
        <v>0</v>
      </c>
      <c r="T346" s="23">
        <v>0</v>
      </c>
      <c r="U346" s="23">
        <v>0</v>
      </c>
      <c r="V346" s="5">
        <v>0</v>
      </c>
      <c r="W346" s="39"/>
      <c r="X346" s="22"/>
      <c r="Y346" s="41"/>
    </row>
    <row r="347" spans="1:25" ht="13.95" customHeight="1">
      <c r="A347" s="23" t="s">
        <v>49</v>
      </c>
      <c r="B347" s="23" t="s">
        <v>218</v>
      </c>
      <c r="C347" s="23" t="s">
        <v>23</v>
      </c>
      <c r="D347" s="23" t="str">
        <f t="shared" si="6"/>
        <v>Autoimmune</v>
      </c>
      <c r="E347" s="32" t="s">
        <v>897</v>
      </c>
      <c r="F347" s="23" t="s">
        <v>898</v>
      </c>
      <c r="G347" s="69" t="s">
        <v>52</v>
      </c>
      <c r="H347" s="33">
        <v>45688009</v>
      </c>
      <c r="I347" s="23">
        <v>434026</v>
      </c>
      <c r="J347" s="22"/>
      <c r="K347" s="2" t="s">
        <v>899</v>
      </c>
      <c r="L347" s="2" t="s">
        <v>900</v>
      </c>
      <c r="M347" s="3" t="s">
        <v>78</v>
      </c>
      <c r="N347" s="22" t="s">
        <v>902</v>
      </c>
      <c r="O347" s="1"/>
      <c r="P347" s="23">
        <v>1.4</v>
      </c>
      <c r="Q347" s="23">
        <v>2</v>
      </c>
      <c r="R347" s="4">
        <v>100000</v>
      </c>
      <c r="S347" s="4">
        <f>+(P347/R347)*[1]Population!$C$2</f>
        <v>4666.2</v>
      </c>
      <c r="T347" s="4">
        <f>IF(ISBLANK(Q347),S347,+(Q347/R347)*[1]Population!$C$2)</f>
        <v>6666.0000000000009</v>
      </c>
      <c r="U347" s="1">
        <f>+AVERAGE(S347:T347)</f>
        <v>5666.1</v>
      </c>
      <c r="V347" s="5">
        <f>+(U347/[1]Population!$C$2)*100000</f>
        <v>1.7</v>
      </c>
      <c r="W347" s="23"/>
      <c r="X347" s="22" t="s">
        <v>901</v>
      </c>
      <c r="Y347" s="40" t="s">
        <v>903</v>
      </c>
    </row>
    <row r="348" spans="1:25" ht="13.95" customHeight="1">
      <c r="A348" s="23" t="s">
        <v>49</v>
      </c>
      <c r="B348" s="23" t="s">
        <v>218</v>
      </c>
      <c r="C348" s="23" t="s">
        <v>23</v>
      </c>
      <c r="D348" s="23" t="str">
        <f t="shared" si="6"/>
        <v>Autoimmune</v>
      </c>
      <c r="E348" s="32" t="s">
        <v>897</v>
      </c>
      <c r="F348" s="23" t="s">
        <v>897</v>
      </c>
      <c r="G348" s="69" t="s">
        <v>25</v>
      </c>
      <c r="H348" s="33">
        <v>314429009</v>
      </c>
      <c r="I348" s="23">
        <v>4197155</v>
      </c>
      <c r="J348" s="22" t="s">
        <v>904</v>
      </c>
      <c r="K348" s="2" t="s">
        <v>899</v>
      </c>
      <c r="L348" s="2" t="s">
        <v>900</v>
      </c>
      <c r="M348" s="3" t="s">
        <v>78</v>
      </c>
      <c r="N348" s="22" t="s">
        <v>902</v>
      </c>
      <c r="O348" s="1"/>
      <c r="P348" s="23">
        <v>1.4</v>
      </c>
      <c r="Q348" s="23">
        <v>2</v>
      </c>
      <c r="R348" s="4">
        <v>100000</v>
      </c>
      <c r="S348" s="4">
        <f>+(P348/R348)*[1]Population!$C$2</f>
        <v>4666.2</v>
      </c>
      <c r="T348" s="4">
        <f>IF(ISBLANK(Q348),S348,+(Q348/R348)*[1]Population!$C$2)</f>
        <v>6666.0000000000009</v>
      </c>
      <c r="U348" s="1">
        <f>+AVERAGE(S348:T348)</f>
        <v>5666.1</v>
      </c>
      <c r="V348" s="5">
        <f>+(U348/[1]Population!$C$2)*100000</f>
        <v>1.7</v>
      </c>
      <c r="W348" s="23"/>
      <c r="X348" s="22" t="s">
        <v>901</v>
      </c>
      <c r="Y348" s="40" t="s">
        <v>903</v>
      </c>
    </row>
    <row r="349" spans="1:25" ht="13.95" customHeight="1">
      <c r="A349" s="23" t="s">
        <v>49</v>
      </c>
      <c r="B349" s="23" t="s">
        <v>218</v>
      </c>
      <c r="C349" s="23" t="s">
        <v>23</v>
      </c>
      <c r="D349" s="23" t="str">
        <f t="shared" si="6"/>
        <v>Autoimmune</v>
      </c>
      <c r="E349" s="32" t="s">
        <v>897</v>
      </c>
      <c r="F349" s="23" t="s">
        <v>905</v>
      </c>
      <c r="G349" s="69" t="s">
        <v>34</v>
      </c>
      <c r="H349" s="33">
        <v>314429009</v>
      </c>
      <c r="I349" s="23"/>
      <c r="J349" s="23"/>
      <c r="K349" s="23"/>
      <c r="L349" s="23"/>
      <c r="M349" s="23"/>
      <c r="N349" s="22"/>
      <c r="O349" s="23"/>
      <c r="P349" s="23"/>
      <c r="Q349" s="23"/>
      <c r="R349" s="4"/>
      <c r="S349" s="23">
        <v>0</v>
      </c>
      <c r="T349" s="23">
        <v>0</v>
      </c>
      <c r="U349" s="23">
        <v>0</v>
      </c>
      <c r="V349" s="5">
        <v>0</v>
      </c>
      <c r="W349" s="39"/>
      <c r="X349" s="22"/>
      <c r="Y349" s="41"/>
    </row>
    <row r="350" spans="1:25" ht="13.95" customHeight="1">
      <c r="A350" s="23" t="s">
        <v>49</v>
      </c>
      <c r="B350" s="23" t="s">
        <v>218</v>
      </c>
      <c r="C350" s="23" t="s">
        <v>23</v>
      </c>
      <c r="D350" s="23" t="str">
        <f t="shared" si="6"/>
        <v>Autoimmune</v>
      </c>
      <c r="E350" s="32" t="s">
        <v>897</v>
      </c>
      <c r="F350" s="23" t="s">
        <v>906</v>
      </c>
      <c r="G350" s="69" t="s">
        <v>36</v>
      </c>
      <c r="H350" s="33">
        <v>314429009</v>
      </c>
      <c r="I350" s="23"/>
      <c r="J350" s="23"/>
      <c r="K350" s="23"/>
      <c r="L350" s="23"/>
      <c r="M350" s="23"/>
      <c r="N350" s="22"/>
      <c r="O350" s="23"/>
      <c r="P350" s="23"/>
      <c r="Q350" s="23"/>
      <c r="R350" s="4"/>
      <c r="S350" s="23">
        <v>0</v>
      </c>
      <c r="T350" s="23">
        <v>0</v>
      </c>
      <c r="U350" s="23">
        <v>0</v>
      </c>
      <c r="V350" s="5">
        <v>0</v>
      </c>
      <c r="W350" s="39"/>
      <c r="X350" s="22"/>
      <c r="Y350" s="41"/>
    </row>
    <row r="351" spans="1:25" ht="13.95" customHeight="1">
      <c r="A351" s="23" t="s">
        <v>49</v>
      </c>
      <c r="B351" s="23" t="s">
        <v>218</v>
      </c>
      <c r="C351" s="23" t="s">
        <v>23</v>
      </c>
      <c r="D351" s="23" t="str">
        <f t="shared" si="6"/>
        <v>Autoimmune</v>
      </c>
      <c r="E351" s="32" t="s">
        <v>897</v>
      </c>
      <c r="F351" s="23" t="s">
        <v>907</v>
      </c>
      <c r="G351" s="69" t="s">
        <v>36</v>
      </c>
      <c r="H351" s="33">
        <v>314429009</v>
      </c>
      <c r="I351" s="23"/>
      <c r="J351" s="23"/>
      <c r="K351" s="23"/>
      <c r="L351" s="23"/>
      <c r="M351" s="23"/>
      <c r="N351" s="22"/>
      <c r="O351" s="23"/>
      <c r="P351" s="23"/>
      <c r="Q351" s="23"/>
      <c r="R351" s="4"/>
      <c r="S351" s="23">
        <v>0</v>
      </c>
      <c r="T351" s="23">
        <v>0</v>
      </c>
      <c r="U351" s="23">
        <v>0</v>
      </c>
      <c r="V351" s="5">
        <v>0</v>
      </c>
      <c r="W351" s="39"/>
      <c r="X351" s="22"/>
      <c r="Y351" s="41"/>
    </row>
    <row r="352" spans="1:25" ht="13.95" customHeight="1">
      <c r="A352" s="23" t="s">
        <v>49</v>
      </c>
      <c r="B352" s="23" t="s">
        <v>218</v>
      </c>
      <c r="C352" s="23" t="s">
        <v>23</v>
      </c>
      <c r="D352" s="23" t="str">
        <f t="shared" si="6"/>
        <v>Autoimmune</v>
      </c>
      <c r="E352" s="32" t="s">
        <v>897</v>
      </c>
      <c r="F352" s="23" t="s">
        <v>908</v>
      </c>
      <c r="G352" s="69" t="s">
        <v>36</v>
      </c>
      <c r="H352" s="33">
        <v>314429009</v>
      </c>
      <c r="I352" s="23">
        <v>4197155</v>
      </c>
      <c r="J352" s="22"/>
      <c r="K352" s="2" t="s">
        <v>899</v>
      </c>
      <c r="L352" s="2" t="s">
        <v>900</v>
      </c>
      <c r="M352" s="3" t="s">
        <v>78</v>
      </c>
      <c r="N352" s="22" t="s">
        <v>902</v>
      </c>
      <c r="O352" s="1"/>
      <c r="P352" s="23">
        <v>1.4</v>
      </c>
      <c r="Q352" s="23">
        <v>2</v>
      </c>
      <c r="R352" s="4">
        <v>100000</v>
      </c>
      <c r="S352" s="4">
        <f>+(P352/R352)*[1]Population!$C$2</f>
        <v>4666.2</v>
      </c>
      <c r="T352" s="4">
        <f>IF(ISBLANK(Q352),S352,+(Q352/R352)*[1]Population!$C$2)</f>
        <v>6666.0000000000009</v>
      </c>
      <c r="U352" s="1">
        <f>+AVERAGE(S352:T352)</f>
        <v>5666.1</v>
      </c>
      <c r="V352" s="5">
        <f>+(U352/[1]Population!$C$2)*100000</f>
        <v>1.7</v>
      </c>
      <c r="W352" s="23"/>
      <c r="X352" s="22" t="s">
        <v>901</v>
      </c>
      <c r="Y352" s="40" t="s">
        <v>903</v>
      </c>
    </row>
    <row r="353" spans="1:25" ht="13.95" customHeight="1">
      <c r="A353" s="23" t="s">
        <v>49</v>
      </c>
      <c r="B353" s="23" t="s">
        <v>218</v>
      </c>
      <c r="C353" s="23" t="s">
        <v>23</v>
      </c>
      <c r="D353" s="23" t="str">
        <f t="shared" si="6"/>
        <v>Autoimmune</v>
      </c>
      <c r="E353" s="32" t="s">
        <v>897</v>
      </c>
      <c r="F353" s="23" t="s">
        <v>909</v>
      </c>
      <c r="G353" s="69" t="s">
        <v>36</v>
      </c>
      <c r="H353" s="33">
        <v>314429009</v>
      </c>
      <c r="I353" s="23"/>
      <c r="J353" s="23"/>
      <c r="K353" s="23"/>
      <c r="L353" s="23"/>
      <c r="M353" s="23"/>
      <c r="N353" s="22"/>
      <c r="O353" s="23"/>
      <c r="P353" s="23"/>
      <c r="Q353" s="23"/>
      <c r="R353" s="4"/>
      <c r="S353" s="23">
        <v>0</v>
      </c>
      <c r="T353" s="23">
        <v>0</v>
      </c>
      <c r="U353" s="23">
        <v>0</v>
      </c>
      <c r="V353" s="5">
        <v>0</v>
      </c>
      <c r="W353" s="39"/>
      <c r="X353" s="22"/>
      <c r="Y353" s="41"/>
    </row>
    <row r="354" spans="1:25" ht="13.95" customHeight="1">
      <c r="A354" s="23" t="s">
        <v>49</v>
      </c>
      <c r="B354" s="23" t="s">
        <v>218</v>
      </c>
      <c r="C354" s="23" t="s">
        <v>23</v>
      </c>
      <c r="D354" s="23" t="str">
        <f t="shared" si="6"/>
        <v>Autoimmune</v>
      </c>
      <c r="E354" s="32" t="s">
        <v>897</v>
      </c>
      <c r="F354" s="23" t="s">
        <v>910</v>
      </c>
      <c r="G354" s="69" t="s">
        <v>36</v>
      </c>
      <c r="H354" s="33">
        <v>314429009</v>
      </c>
      <c r="I354" s="23"/>
      <c r="J354" s="23"/>
      <c r="K354" s="23"/>
      <c r="L354" s="23"/>
      <c r="M354" s="23"/>
      <c r="N354" s="22"/>
      <c r="O354" s="23"/>
      <c r="P354" s="23"/>
      <c r="Q354" s="23"/>
      <c r="R354" s="4"/>
      <c r="S354" s="23">
        <v>0</v>
      </c>
      <c r="T354" s="23">
        <v>0</v>
      </c>
      <c r="U354" s="23">
        <v>0</v>
      </c>
      <c r="V354" s="5">
        <v>0</v>
      </c>
      <c r="W354" s="39"/>
      <c r="X354" s="22"/>
      <c r="Y354" s="41"/>
    </row>
    <row r="355" spans="1:25" ht="13.95" customHeight="1">
      <c r="A355" s="23" t="s">
        <v>574</v>
      </c>
      <c r="B355" s="23" t="s">
        <v>238</v>
      </c>
      <c r="C355" s="23" t="s">
        <v>23</v>
      </c>
      <c r="D355" s="23" t="str">
        <f t="shared" si="6"/>
        <v>Autoimmune</v>
      </c>
      <c r="E355" s="32" t="s">
        <v>911</v>
      </c>
      <c r="F355" s="23" t="s">
        <v>575</v>
      </c>
      <c r="G355" s="69" t="s">
        <v>236</v>
      </c>
      <c r="H355" s="33">
        <v>233703007</v>
      </c>
      <c r="I355" s="23">
        <v>4119786</v>
      </c>
      <c r="J355" s="23" t="s">
        <v>912</v>
      </c>
      <c r="K355" s="23"/>
      <c r="L355" s="23"/>
      <c r="M355" s="23"/>
      <c r="N355" s="22"/>
      <c r="O355" s="23"/>
      <c r="P355" s="23"/>
      <c r="Q355" s="23"/>
      <c r="R355" s="4"/>
      <c r="S355" s="23">
        <v>0</v>
      </c>
      <c r="T355" s="23">
        <v>0</v>
      </c>
      <c r="U355" s="23">
        <v>0</v>
      </c>
      <c r="V355" s="5">
        <v>0</v>
      </c>
      <c r="W355" s="39"/>
      <c r="X355" s="22"/>
      <c r="Y355" s="41"/>
    </row>
    <row r="356" spans="1:25" ht="13.95" customHeight="1">
      <c r="A356" s="23" t="s">
        <v>574</v>
      </c>
      <c r="B356" s="23" t="s">
        <v>238</v>
      </c>
      <c r="C356" s="23" t="s">
        <v>23</v>
      </c>
      <c r="D356" s="23" t="str">
        <f t="shared" si="6"/>
        <v>Autoimmune</v>
      </c>
      <c r="E356" s="32" t="s">
        <v>911</v>
      </c>
      <c r="F356" s="23" t="s">
        <v>802</v>
      </c>
      <c r="G356" s="69" t="s">
        <v>236</v>
      </c>
      <c r="H356" s="33">
        <v>233703007</v>
      </c>
      <c r="I356" s="23">
        <v>4119786</v>
      </c>
      <c r="J356" s="23" t="s">
        <v>912</v>
      </c>
      <c r="K356" s="23"/>
      <c r="L356" s="23"/>
      <c r="M356" s="23"/>
      <c r="N356" s="22"/>
      <c r="O356" s="23"/>
      <c r="P356" s="23"/>
      <c r="Q356" s="23"/>
      <c r="R356" s="4"/>
      <c r="S356" s="23">
        <v>0</v>
      </c>
      <c r="T356" s="23">
        <v>0</v>
      </c>
      <c r="U356" s="23">
        <v>0</v>
      </c>
      <c r="V356" s="5">
        <v>0</v>
      </c>
      <c r="W356" s="39"/>
      <c r="X356" s="22"/>
      <c r="Y356" s="41"/>
    </row>
    <row r="357" spans="1:25" ht="13.95" customHeight="1">
      <c r="A357" s="23" t="s">
        <v>574</v>
      </c>
      <c r="B357" s="23" t="s">
        <v>238</v>
      </c>
      <c r="C357" s="23" t="s">
        <v>23</v>
      </c>
      <c r="D357" s="23" t="str">
        <f t="shared" si="6"/>
        <v>Autoimmune</v>
      </c>
      <c r="E357" s="32" t="s">
        <v>911</v>
      </c>
      <c r="F357" s="23" t="s">
        <v>911</v>
      </c>
      <c r="G357" s="69" t="s">
        <v>236</v>
      </c>
      <c r="H357" s="33">
        <v>233703007</v>
      </c>
      <c r="I357" s="23">
        <v>4119786</v>
      </c>
      <c r="J357" s="23" t="s">
        <v>912</v>
      </c>
      <c r="K357" s="23"/>
      <c r="L357" s="23"/>
      <c r="M357" s="23"/>
      <c r="N357" s="22"/>
      <c r="O357" s="23"/>
      <c r="P357" s="23"/>
      <c r="Q357" s="23"/>
      <c r="R357" s="4"/>
      <c r="S357" s="23">
        <v>0</v>
      </c>
      <c r="T357" s="23">
        <v>0</v>
      </c>
      <c r="U357" s="23">
        <v>0</v>
      </c>
      <c r="V357" s="5">
        <v>0</v>
      </c>
      <c r="W357" s="39"/>
      <c r="X357" s="22"/>
      <c r="Y357" s="41"/>
    </row>
    <row r="358" spans="1:25" ht="13.95" customHeight="1">
      <c r="A358" s="23" t="s">
        <v>146</v>
      </c>
      <c r="B358" s="23" t="s">
        <v>22</v>
      </c>
      <c r="C358" s="23" t="s">
        <v>73</v>
      </c>
      <c r="D358" s="23" t="str">
        <f t="shared" si="6"/>
        <v>Autoimmune</v>
      </c>
      <c r="E358" s="32" t="s">
        <v>913</v>
      </c>
      <c r="F358" s="23" t="s">
        <v>914</v>
      </c>
      <c r="G358" s="69" t="s">
        <v>36</v>
      </c>
      <c r="H358" s="33">
        <v>239796000</v>
      </c>
      <c r="I358" s="23">
        <v>4079731</v>
      </c>
      <c r="J358" s="22"/>
      <c r="K358" s="23"/>
      <c r="L358" s="23"/>
      <c r="M358" s="23"/>
      <c r="N358" s="22"/>
      <c r="O358" s="23"/>
      <c r="P358" s="23"/>
      <c r="Q358" s="23"/>
      <c r="R358" s="4"/>
      <c r="S358" s="23">
        <v>0</v>
      </c>
      <c r="T358" s="23">
        <v>0</v>
      </c>
      <c r="U358" s="23">
        <v>0</v>
      </c>
      <c r="V358" s="5">
        <v>0</v>
      </c>
      <c r="W358" s="39"/>
      <c r="X358" s="22"/>
      <c r="Y358" s="41"/>
    </row>
    <row r="359" spans="1:25" ht="13.95" customHeight="1">
      <c r="A359" s="23" t="s">
        <v>146</v>
      </c>
      <c r="B359" s="23" t="s">
        <v>22</v>
      </c>
      <c r="C359" s="23" t="s">
        <v>73</v>
      </c>
      <c r="D359" s="23" t="str">
        <f t="shared" si="6"/>
        <v>Autoimmune</v>
      </c>
      <c r="E359" s="32" t="s">
        <v>913</v>
      </c>
      <c r="F359" s="23" t="s">
        <v>915</v>
      </c>
      <c r="G359" s="69" t="s">
        <v>34</v>
      </c>
      <c r="H359" s="33">
        <v>410795001</v>
      </c>
      <c r="I359" s="23"/>
      <c r="J359" s="23"/>
      <c r="K359" s="23"/>
      <c r="L359" s="23"/>
      <c r="M359" s="23"/>
      <c r="N359" s="22"/>
      <c r="O359" s="23"/>
      <c r="P359" s="23"/>
      <c r="Q359" s="23"/>
      <c r="R359" s="4"/>
      <c r="S359" s="23">
        <v>0</v>
      </c>
      <c r="T359" s="23">
        <v>0</v>
      </c>
      <c r="U359" s="23">
        <v>0</v>
      </c>
      <c r="V359" s="5">
        <v>0</v>
      </c>
      <c r="W359" s="39"/>
      <c r="X359" s="22"/>
      <c r="Y359" s="41"/>
    </row>
    <row r="360" spans="1:25" ht="13.95" customHeight="1">
      <c r="A360" s="23" t="s">
        <v>146</v>
      </c>
      <c r="B360" s="23" t="s">
        <v>22</v>
      </c>
      <c r="C360" s="23" t="s">
        <v>73</v>
      </c>
      <c r="D360" s="23" t="str">
        <f t="shared" si="6"/>
        <v>Autoimmune</v>
      </c>
      <c r="E360" s="32" t="s">
        <v>913</v>
      </c>
      <c r="F360" s="23" t="s">
        <v>916</v>
      </c>
      <c r="G360" s="69" t="s">
        <v>34</v>
      </c>
      <c r="H360" s="33">
        <v>410795001</v>
      </c>
      <c r="I360" s="23"/>
      <c r="J360" s="23"/>
      <c r="K360" s="23"/>
      <c r="L360" s="23"/>
      <c r="M360" s="23"/>
      <c r="N360" s="22"/>
      <c r="O360" s="23"/>
      <c r="P360" s="23"/>
      <c r="Q360" s="23"/>
      <c r="R360" s="4"/>
      <c r="S360" s="23">
        <v>0</v>
      </c>
      <c r="T360" s="23">
        <v>0</v>
      </c>
      <c r="U360" s="23">
        <v>0</v>
      </c>
      <c r="V360" s="5">
        <v>0</v>
      </c>
      <c r="W360" s="39"/>
      <c r="X360" s="22"/>
      <c r="Y360" s="41"/>
    </row>
    <row r="361" spans="1:25" ht="13.95" customHeight="1">
      <c r="A361" s="23" t="s">
        <v>146</v>
      </c>
      <c r="B361" s="23" t="s">
        <v>22</v>
      </c>
      <c r="C361" s="23" t="s">
        <v>73</v>
      </c>
      <c r="D361" s="23" t="str">
        <f t="shared" si="6"/>
        <v>Autoimmune</v>
      </c>
      <c r="E361" s="32" t="s">
        <v>913</v>
      </c>
      <c r="F361" s="23" t="s">
        <v>913</v>
      </c>
      <c r="G361" s="69" t="s">
        <v>25</v>
      </c>
      <c r="H361" s="33">
        <v>410795001</v>
      </c>
      <c r="I361" s="23">
        <v>4253901</v>
      </c>
      <c r="J361" s="22" t="s">
        <v>917</v>
      </c>
      <c r="K361" s="2" t="s">
        <v>918</v>
      </c>
      <c r="L361" s="2" t="s">
        <v>919</v>
      </c>
      <c r="M361" s="3" t="s">
        <v>78</v>
      </c>
      <c r="N361" s="22" t="s">
        <v>922</v>
      </c>
      <c r="O361" s="4" t="s">
        <v>920</v>
      </c>
      <c r="P361" s="23">
        <v>39.1</v>
      </c>
      <c r="Q361" s="23">
        <v>50.2</v>
      </c>
      <c r="R361" s="4">
        <v>100000</v>
      </c>
      <c r="S361" s="4">
        <f>+(P361/R361)*74000000</f>
        <v>28934</v>
      </c>
      <c r="T361" s="4">
        <f>+(Q361/R361)*74000000</f>
        <v>37148.000000000007</v>
      </c>
      <c r="U361" s="1">
        <f>+AVERAGE(S361:T361)</f>
        <v>33041</v>
      </c>
      <c r="V361" s="5">
        <f>+(U361/[1]Population!$C$2)*100000</f>
        <v>9.9132913291329139</v>
      </c>
      <c r="W361" s="23"/>
      <c r="X361" s="22" t="s">
        <v>921</v>
      </c>
      <c r="Y361" s="40"/>
    </row>
    <row r="362" spans="1:25" ht="13.95" customHeight="1">
      <c r="A362" s="23" t="s">
        <v>146</v>
      </c>
      <c r="B362" s="23" t="s">
        <v>22</v>
      </c>
      <c r="C362" s="23" t="s">
        <v>73</v>
      </c>
      <c r="D362" s="23" t="str">
        <f t="shared" si="6"/>
        <v>Autoimmune</v>
      </c>
      <c r="E362" s="32" t="s">
        <v>913</v>
      </c>
      <c r="F362" s="23" t="s">
        <v>923</v>
      </c>
      <c r="G362" s="69" t="s">
        <v>36</v>
      </c>
      <c r="H362" s="33">
        <v>410795001</v>
      </c>
      <c r="I362" s="23"/>
      <c r="J362" s="23"/>
      <c r="K362" s="23"/>
      <c r="L362" s="23"/>
      <c r="M362" s="23"/>
      <c r="N362" s="22"/>
      <c r="O362" s="23"/>
      <c r="P362" s="23"/>
      <c r="Q362" s="23"/>
      <c r="R362" s="4"/>
      <c r="S362" s="23">
        <v>0</v>
      </c>
      <c r="T362" s="23">
        <v>0</v>
      </c>
      <c r="U362" s="23">
        <v>0</v>
      </c>
      <c r="V362" s="5">
        <v>0</v>
      </c>
      <c r="W362" s="39"/>
      <c r="X362" s="22"/>
      <c r="Y362" s="41"/>
    </row>
    <row r="363" spans="1:25" ht="13.95" customHeight="1">
      <c r="A363" s="23" t="s">
        <v>146</v>
      </c>
      <c r="B363" s="23" t="s">
        <v>22</v>
      </c>
      <c r="C363" s="23" t="s">
        <v>73</v>
      </c>
      <c r="D363" s="23" t="str">
        <f t="shared" si="6"/>
        <v>Autoimmune</v>
      </c>
      <c r="E363" s="32" t="s">
        <v>913</v>
      </c>
      <c r="F363" s="23" t="s">
        <v>924</v>
      </c>
      <c r="G363" s="69" t="s">
        <v>36</v>
      </c>
      <c r="H363" s="33">
        <v>410795001</v>
      </c>
      <c r="I363" s="23">
        <v>4259507</v>
      </c>
      <c r="J363" s="22"/>
      <c r="K363" s="23"/>
      <c r="L363" s="23"/>
      <c r="M363" s="23"/>
      <c r="N363" s="22"/>
      <c r="O363" s="23"/>
      <c r="P363" s="23"/>
      <c r="Q363" s="23"/>
      <c r="R363" s="4"/>
      <c r="S363" s="23">
        <v>0</v>
      </c>
      <c r="T363" s="23">
        <v>0</v>
      </c>
      <c r="U363" s="23">
        <v>0</v>
      </c>
      <c r="V363" s="5">
        <v>0</v>
      </c>
      <c r="W363" s="39"/>
      <c r="X363" s="22"/>
      <c r="Y363" s="41"/>
    </row>
    <row r="364" spans="1:25" ht="13.95" customHeight="1">
      <c r="A364" s="23" t="s">
        <v>146</v>
      </c>
      <c r="B364" s="23" t="s">
        <v>22</v>
      </c>
      <c r="C364" s="23" t="s">
        <v>73</v>
      </c>
      <c r="D364" s="23" t="str">
        <f t="shared" si="6"/>
        <v>Autoimmune</v>
      </c>
      <c r="E364" s="32" t="s">
        <v>913</v>
      </c>
      <c r="F364" s="23" t="s">
        <v>925</v>
      </c>
      <c r="G364" s="69" t="s">
        <v>36</v>
      </c>
      <c r="H364" s="33">
        <v>410795001</v>
      </c>
      <c r="I364" s="23"/>
      <c r="J364" s="23"/>
      <c r="K364" s="23"/>
      <c r="L364" s="23"/>
      <c r="M364" s="23"/>
      <c r="N364" s="22"/>
      <c r="O364" s="23"/>
      <c r="P364" s="23"/>
      <c r="Q364" s="23"/>
      <c r="R364" s="4"/>
      <c r="S364" s="23">
        <v>0</v>
      </c>
      <c r="T364" s="23">
        <v>0</v>
      </c>
      <c r="U364" s="23">
        <v>0</v>
      </c>
      <c r="V364" s="5">
        <v>0</v>
      </c>
      <c r="W364" s="39"/>
      <c r="X364" s="22"/>
      <c r="Y364" s="41"/>
    </row>
    <row r="365" spans="1:25" ht="13.95" customHeight="1">
      <c r="A365" s="23" t="s">
        <v>21</v>
      </c>
      <c r="B365" s="23" t="s">
        <v>86</v>
      </c>
      <c r="C365" s="23" t="s">
        <v>86</v>
      </c>
      <c r="D365" s="23" t="str">
        <f t="shared" si="6"/>
        <v>Unconfirmed</v>
      </c>
      <c r="E365" s="32" t="s">
        <v>926</v>
      </c>
      <c r="F365" s="23" t="s">
        <v>926</v>
      </c>
      <c r="G365" s="69" t="s">
        <v>25</v>
      </c>
      <c r="H365" s="33">
        <v>4776004</v>
      </c>
      <c r="I365" s="23">
        <v>132703</v>
      </c>
      <c r="J365" s="26" t="s">
        <v>927</v>
      </c>
      <c r="K365" s="39" t="s">
        <v>928</v>
      </c>
      <c r="L365" s="39" t="s">
        <v>929</v>
      </c>
      <c r="M365" s="9" t="s">
        <v>78</v>
      </c>
      <c r="N365" s="22"/>
      <c r="O365" s="11"/>
      <c r="P365" s="23">
        <v>0.36</v>
      </c>
      <c r="Q365" s="23">
        <v>0.42</v>
      </c>
      <c r="R365" s="4">
        <v>100</v>
      </c>
      <c r="S365" s="4">
        <f>+(P365/R365)*([1]Population!$C$2-74000000)</f>
        <v>933480</v>
      </c>
      <c r="T365" s="4">
        <f>+(Q365/R365)*([1]Population!$C$2-74000000)</f>
        <v>1089060</v>
      </c>
      <c r="U365" s="1">
        <f>+AVERAGE(S365:T365)</f>
        <v>1011270</v>
      </c>
      <c r="V365" s="5">
        <f>+(U365/[1]Population!$C$2)*100000</f>
        <v>303.4113411341134</v>
      </c>
      <c r="W365" s="23"/>
      <c r="X365" s="22" t="s">
        <v>930</v>
      </c>
      <c r="Y365" s="41"/>
    </row>
    <row r="366" spans="1:25" ht="13.95" customHeight="1">
      <c r="A366" s="23" t="s">
        <v>21</v>
      </c>
      <c r="B366" s="23" t="s">
        <v>238</v>
      </c>
      <c r="C366" s="23" t="s">
        <v>23</v>
      </c>
      <c r="D366" s="23" t="str">
        <f t="shared" si="6"/>
        <v>Autoimmune</v>
      </c>
      <c r="E366" s="32" t="s">
        <v>931</v>
      </c>
      <c r="F366" s="23" t="s">
        <v>932</v>
      </c>
      <c r="G366" s="69" t="s">
        <v>162</v>
      </c>
      <c r="H366" s="33" t="s">
        <v>933</v>
      </c>
      <c r="I366" s="23">
        <v>4119189</v>
      </c>
      <c r="J366" s="23"/>
      <c r="K366" s="23"/>
      <c r="L366" s="23"/>
      <c r="M366" s="23"/>
      <c r="N366" s="22"/>
      <c r="O366" s="23"/>
      <c r="P366" s="23"/>
      <c r="Q366" s="23"/>
      <c r="R366" s="4"/>
      <c r="S366" s="23">
        <v>0</v>
      </c>
      <c r="T366" s="23">
        <v>0</v>
      </c>
      <c r="U366" s="23">
        <v>0</v>
      </c>
      <c r="V366" s="5">
        <v>0</v>
      </c>
      <c r="W366" s="39"/>
      <c r="X366" s="22"/>
      <c r="Y366" s="41"/>
    </row>
    <row r="367" spans="1:25" ht="13.95" customHeight="1">
      <c r="A367" s="23" t="s">
        <v>21</v>
      </c>
      <c r="B367" s="23" t="s">
        <v>238</v>
      </c>
      <c r="C367" s="23" t="s">
        <v>23</v>
      </c>
      <c r="D367" s="23" t="str">
        <f t="shared" si="6"/>
        <v>Autoimmune</v>
      </c>
      <c r="E367" s="32" t="s">
        <v>931</v>
      </c>
      <c r="F367" s="23" t="s">
        <v>931</v>
      </c>
      <c r="G367" s="69" t="s">
        <v>25</v>
      </c>
      <c r="H367" s="33">
        <v>895454001</v>
      </c>
      <c r="I367" s="23">
        <v>619430</v>
      </c>
      <c r="J367" s="22" t="s">
        <v>934</v>
      </c>
      <c r="K367" s="2" t="s">
        <v>935</v>
      </c>
      <c r="L367" s="2" t="s">
        <v>936</v>
      </c>
      <c r="M367" s="9" t="s">
        <v>78</v>
      </c>
      <c r="N367" s="22" t="s">
        <v>939</v>
      </c>
      <c r="O367" s="45" t="s">
        <v>937</v>
      </c>
      <c r="P367" s="23">
        <v>50</v>
      </c>
      <c r="Q367" s="23"/>
      <c r="R367" s="4">
        <v>100000</v>
      </c>
      <c r="S367" s="4">
        <f>+(P367/R367)*[1]Population!$C$2</f>
        <v>166650</v>
      </c>
      <c r="T367" s="4">
        <f>IF(ISBLANK(Q367),S367,+(Q367/R367)*[1]Population!$C$2)</f>
        <v>166650</v>
      </c>
      <c r="U367" s="1">
        <f>+AVERAGE(S367:T367)</f>
        <v>166650</v>
      </c>
      <c r="V367" s="5">
        <f>+(U367/[1]Population!$C$2)*100000</f>
        <v>50</v>
      </c>
      <c r="W367" s="23"/>
      <c r="X367" s="22" t="s">
        <v>938</v>
      </c>
      <c r="Y367" s="40" t="s">
        <v>940</v>
      </c>
    </row>
    <row r="368" spans="1:25" ht="13.95" customHeight="1">
      <c r="A368" s="23" t="s">
        <v>21</v>
      </c>
      <c r="B368" s="23" t="s">
        <v>238</v>
      </c>
      <c r="C368" s="23" t="s">
        <v>23</v>
      </c>
      <c r="D368" s="23" t="str">
        <f t="shared" si="6"/>
        <v>Autoimmune</v>
      </c>
      <c r="E368" s="32" t="s">
        <v>931</v>
      </c>
      <c r="F368" s="23" t="s">
        <v>941</v>
      </c>
      <c r="G368" s="69" t="s">
        <v>36</v>
      </c>
      <c r="H368" s="33">
        <v>895454001</v>
      </c>
      <c r="I368" s="23"/>
      <c r="J368" s="23"/>
      <c r="K368" s="23"/>
      <c r="L368" s="23"/>
      <c r="M368" s="23"/>
      <c r="N368" s="22"/>
      <c r="O368" s="23"/>
      <c r="P368" s="23"/>
      <c r="Q368" s="23"/>
      <c r="R368" s="4"/>
      <c r="S368" s="23">
        <v>0</v>
      </c>
      <c r="T368" s="23">
        <v>0</v>
      </c>
      <c r="U368" s="23">
        <v>0</v>
      </c>
      <c r="V368" s="5">
        <v>0</v>
      </c>
      <c r="W368" s="39"/>
      <c r="X368" s="22"/>
      <c r="Y368" s="41"/>
    </row>
    <row r="369" spans="1:25" ht="13.95" customHeight="1">
      <c r="A369" s="23" t="s">
        <v>49</v>
      </c>
      <c r="B369" s="23" t="s">
        <v>86</v>
      </c>
      <c r="C369" s="23" t="s">
        <v>73</v>
      </c>
      <c r="D369" s="23" t="str">
        <f t="shared" si="6"/>
        <v>Unconfirmed</v>
      </c>
      <c r="E369" s="32" t="s">
        <v>942</v>
      </c>
      <c r="F369" s="23" t="s">
        <v>942</v>
      </c>
      <c r="G369" s="69" t="s">
        <v>25</v>
      </c>
      <c r="H369" s="33">
        <v>403435005</v>
      </c>
      <c r="I369" s="23">
        <v>4296491</v>
      </c>
      <c r="J369" s="22" t="s">
        <v>943</v>
      </c>
      <c r="K369" s="39" t="s">
        <v>410</v>
      </c>
      <c r="L369" s="39" t="s">
        <v>411</v>
      </c>
      <c r="M369" s="9" t="s">
        <v>78</v>
      </c>
      <c r="N369" s="22" t="s">
        <v>944</v>
      </c>
      <c r="O369" s="11" t="s">
        <v>258</v>
      </c>
      <c r="P369" s="50"/>
      <c r="Q369" s="50"/>
      <c r="R369" s="50">
        <v>0</v>
      </c>
      <c r="S369" s="11">
        <v>50</v>
      </c>
      <c r="T369" s="11">
        <v>50</v>
      </c>
      <c r="U369" s="1">
        <f>+AVERAGE(S369:T369)</f>
        <v>50</v>
      </c>
      <c r="V369" s="5">
        <f>+(U369/[1]Population!$C$2)*100000</f>
        <v>1.5001500150015001E-2</v>
      </c>
      <c r="W369" s="23"/>
      <c r="X369" s="22" t="s">
        <v>368</v>
      </c>
      <c r="Y369" s="41"/>
    </row>
    <row r="370" spans="1:25" ht="13.95" customHeight="1">
      <c r="A370" s="23" t="s">
        <v>49</v>
      </c>
      <c r="B370" s="23" t="s">
        <v>86</v>
      </c>
      <c r="C370" s="23" t="s">
        <v>73</v>
      </c>
      <c r="D370" s="23" t="str">
        <f t="shared" si="6"/>
        <v>Unconfirmed</v>
      </c>
      <c r="E370" s="32" t="s">
        <v>942</v>
      </c>
      <c r="F370" s="23" t="s">
        <v>945</v>
      </c>
      <c r="G370" s="69" t="s">
        <v>36</v>
      </c>
      <c r="H370" s="33">
        <v>403435005</v>
      </c>
      <c r="I370" s="23"/>
      <c r="J370" s="23"/>
      <c r="K370" s="23"/>
      <c r="L370" s="23"/>
      <c r="M370" s="23"/>
      <c r="N370" s="22"/>
      <c r="O370" s="23"/>
      <c r="P370" s="23"/>
      <c r="Q370" s="23"/>
      <c r="R370" s="4"/>
      <c r="S370" s="23">
        <v>0</v>
      </c>
      <c r="T370" s="23">
        <v>0</v>
      </c>
      <c r="U370" s="23">
        <v>0</v>
      </c>
      <c r="V370" s="5">
        <v>0</v>
      </c>
      <c r="W370" s="39"/>
      <c r="X370" s="22"/>
      <c r="Y370" s="41"/>
    </row>
    <row r="371" spans="1:25" ht="13.95" customHeight="1">
      <c r="A371" s="23" t="s">
        <v>49</v>
      </c>
      <c r="B371" s="23" t="s">
        <v>86</v>
      </c>
      <c r="C371" s="23" t="s">
        <v>73</v>
      </c>
      <c r="D371" s="23" t="str">
        <f t="shared" si="6"/>
        <v>Unconfirmed</v>
      </c>
      <c r="E371" s="32" t="s">
        <v>942</v>
      </c>
      <c r="F371" s="23" t="s">
        <v>946</v>
      </c>
      <c r="G371" s="69" t="s">
        <v>36</v>
      </c>
      <c r="H371" s="33">
        <v>403435005</v>
      </c>
      <c r="I371" s="23"/>
      <c r="J371" s="23"/>
      <c r="K371" s="23"/>
      <c r="L371" s="23"/>
      <c r="M371" s="23"/>
      <c r="N371" s="22"/>
      <c r="O371" s="23"/>
      <c r="P371" s="23"/>
      <c r="Q371" s="23"/>
      <c r="R371" s="4"/>
      <c r="S371" s="23">
        <v>0</v>
      </c>
      <c r="T371" s="23">
        <v>0</v>
      </c>
      <c r="U371" s="23">
        <v>0</v>
      </c>
      <c r="V371" s="5">
        <v>0</v>
      </c>
      <c r="W371" s="39"/>
      <c r="X371" s="22"/>
      <c r="Y371" s="41"/>
    </row>
    <row r="372" spans="1:25" ht="13.95" customHeight="1">
      <c r="A372" s="23" t="s">
        <v>49</v>
      </c>
      <c r="B372" s="23" t="s">
        <v>86</v>
      </c>
      <c r="C372" s="23" t="s">
        <v>73</v>
      </c>
      <c r="D372" s="23" t="str">
        <f t="shared" si="6"/>
        <v>Unconfirmed</v>
      </c>
      <c r="E372" s="32" t="s">
        <v>942</v>
      </c>
      <c r="F372" s="23" t="s">
        <v>947</v>
      </c>
      <c r="G372" s="69" t="s">
        <v>36</v>
      </c>
      <c r="H372" s="33">
        <v>403435005</v>
      </c>
      <c r="I372" s="23"/>
      <c r="J372" s="23"/>
      <c r="K372" s="23"/>
      <c r="L372" s="23"/>
      <c r="M372" s="23"/>
      <c r="N372" s="22"/>
      <c r="O372" s="23"/>
      <c r="P372" s="23"/>
      <c r="Q372" s="23"/>
      <c r="R372" s="4"/>
      <c r="S372" s="23">
        <v>0</v>
      </c>
      <c r="T372" s="23">
        <v>0</v>
      </c>
      <c r="U372" s="23">
        <v>0</v>
      </c>
      <c r="V372" s="5">
        <v>0</v>
      </c>
      <c r="W372" s="39"/>
      <c r="X372" s="22"/>
      <c r="Y372" s="41"/>
    </row>
    <row r="373" spans="1:25" ht="13.95" customHeight="1">
      <c r="A373" s="23" t="s">
        <v>72</v>
      </c>
      <c r="B373" s="23" t="s">
        <v>22</v>
      </c>
      <c r="C373" s="23" t="s">
        <v>23</v>
      </c>
      <c r="D373" s="23" t="str">
        <f t="shared" si="6"/>
        <v>Autoimmune</v>
      </c>
      <c r="E373" s="32" t="s">
        <v>948</v>
      </c>
      <c r="F373" s="23" t="s">
        <v>948</v>
      </c>
      <c r="G373" s="69" t="s">
        <v>25</v>
      </c>
      <c r="H373" s="33">
        <v>95330001</v>
      </c>
      <c r="I373" s="23">
        <v>4317262</v>
      </c>
      <c r="J373" s="22" t="s">
        <v>949</v>
      </c>
      <c r="K373" s="2" t="s">
        <v>950</v>
      </c>
      <c r="L373" s="2" t="s">
        <v>951</v>
      </c>
      <c r="M373" s="9" t="s">
        <v>78</v>
      </c>
      <c r="N373" s="22" t="s">
        <v>953</v>
      </c>
      <c r="O373" s="4"/>
      <c r="P373" s="23">
        <v>0.05</v>
      </c>
      <c r="Q373" s="23">
        <v>0.23</v>
      </c>
      <c r="R373" s="4">
        <v>100000</v>
      </c>
      <c r="S373" s="4">
        <f>+(P373/R373)*[1]Population!$C$2</f>
        <v>166.65</v>
      </c>
      <c r="T373" s="4">
        <f>IF(ISBLANK(Q373),S373,+(Q373/R373)*[1]Population!$C$2)</f>
        <v>766.59</v>
      </c>
      <c r="U373" s="1">
        <f>+AVERAGE(S373:T373)</f>
        <v>466.62</v>
      </c>
      <c r="V373" s="5">
        <f>+(U373/[1]Population!$C$2)*100000</f>
        <v>0.13999999999999999</v>
      </c>
      <c r="W373" s="23"/>
      <c r="X373" s="22" t="s">
        <v>952</v>
      </c>
      <c r="Y373" s="40" t="s">
        <v>954</v>
      </c>
    </row>
    <row r="374" spans="1:25" ht="13.95" customHeight="1">
      <c r="A374" s="23" t="s">
        <v>72</v>
      </c>
      <c r="B374" s="23" t="s">
        <v>22</v>
      </c>
      <c r="C374" s="23" t="s">
        <v>23</v>
      </c>
      <c r="D374" s="23" t="str">
        <f t="shared" si="6"/>
        <v>Autoimmune</v>
      </c>
      <c r="E374" s="32" t="s">
        <v>948</v>
      </c>
      <c r="F374" s="23" t="s">
        <v>955</v>
      </c>
      <c r="G374" s="69" t="s">
        <v>36</v>
      </c>
      <c r="H374" s="33">
        <v>95330001</v>
      </c>
      <c r="I374" s="23"/>
      <c r="J374" s="23"/>
      <c r="K374" s="23"/>
      <c r="L374" s="23"/>
      <c r="M374" s="23"/>
      <c r="N374" s="22"/>
      <c r="O374" s="23"/>
      <c r="P374" s="23"/>
      <c r="Q374" s="23"/>
      <c r="R374" s="4"/>
      <c r="S374" s="23">
        <v>0</v>
      </c>
      <c r="T374" s="23">
        <v>0</v>
      </c>
      <c r="U374" s="23">
        <v>0</v>
      </c>
      <c r="V374" s="5">
        <v>0</v>
      </c>
      <c r="W374" s="39"/>
      <c r="X374" s="22"/>
      <c r="Y374" s="41"/>
    </row>
    <row r="375" spans="1:25" ht="13.95" customHeight="1">
      <c r="A375" s="23" t="s">
        <v>72</v>
      </c>
      <c r="B375" s="23" t="s">
        <v>22</v>
      </c>
      <c r="C375" s="23" t="s">
        <v>23</v>
      </c>
      <c r="D375" s="23" t="str">
        <f t="shared" si="6"/>
        <v>Autoimmune</v>
      </c>
      <c r="E375" s="32" t="s">
        <v>948</v>
      </c>
      <c r="F375" s="23" t="s">
        <v>956</v>
      </c>
      <c r="G375" s="69" t="s">
        <v>36</v>
      </c>
      <c r="H375" s="33">
        <v>95330001</v>
      </c>
      <c r="I375" s="23"/>
      <c r="J375" s="23"/>
      <c r="K375" s="23"/>
      <c r="L375" s="23"/>
      <c r="M375" s="23"/>
      <c r="N375" s="22"/>
      <c r="O375" s="23"/>
      <c r="P375" s="23"/>
      <c r="Q375" s="23"/>
      <c r="R375" s="4"/>
      <c r="S375" s="23">
        <v>0</v>
      </c>
      <c r="T375" s="23">
        <v>0</v>
      </c>
      <c r="U375" s="23">
        <v>0</v>
      </c>
      <c r="V375" s="5">
        <v>0</v>
      </c>
      <c r="W375" s="39"/>
      <c r="X375" s="22"/>
      <c r="Y375" s="41"/>
    </row>
    <row r="376" spans="1:25" ht="13.95" customHeight="1">
      <c r="A376" s="23" t="s">
        <v>72</v>
      </c>
      <c r="B376" s="23" t="s">
        <v>22</v>
      </c>
      <c r="C376" s="23" t="s">
        <v>23</v>
      </c>
      <c r="D376" s="23" t="str">
        <f t="shared" si="6"/>
        <v>Autoimmune</v>
      </c>
      <c r="E376" s="32" t="s">
        <v>948</v>
      </c>
      <c r="F376" s="23" t="s">
        <v>957</v>
      </c>
      <c r="G376" s="69" t="s">
        <v>36</v>
      </c>
      <c r="H376" s="33">
        <v>95330001</v>
      </c>
      <c r="I376" s="23">
        <v>4317262</v>
      </c>
      <c r="J376" s="22"/>
      <c r="K376" s="2" t="s">
        <v>950</v>
      </c>
      <c r="L376" s="2" t="s">
        <v>951</v>
      </c>
      <c r="M376" s="9" t="s">
        <v>78</v>
      </c>
      <c r="N376" s="22" t="s">
        <v>953</v>
      </c>
      <c r="O376" s="4"/>
      <c r="P376" s="23">
        <v>0.05</v>
      </c>
      <c r="Q376" s="23">
        <v>0.23</v>
      </c>
      <c r="R376" s="4">
        <v>100000</v>
      </c>
      <c r="S376" s="4">
        <f>+(P376/R376)*[1]Population!$C$2</f>
        <v>166.65</v>
      </c>
      <c r="T376" s="4">
        <f>IF(ISBLANK(Q376),S376,+(Q376/R376)*[1]Population!$C$2)</f>
        <v>766.59</v>
      </c>
      <c r="U376" s="1">
        <f>+AVERAGE(S376:T376)</f>
        <v>466.62</v>
      </c>
      <c r="V376" s="5">
        <f>+(U376/[1]Population!$C$2)*100000</f>
        <v>0.13999999999999999</v>
      </c>
      <c r="W376" s="23"/>
      <c r="X376" s="22" t="s">
        <v>952</v>
      </c>
      <c r="Y376" s="40" t="s">
        <v>954</v>
      </c>
    </row>
    <row r="377" spans="1:25" ht="13.95" customHeight="1">
      <c r="A377" s="23" t="s">
        <v>146</v>
      </c>
      <c r="B377" s="23" t="s">
        <v>86</v>
      </c>
      <c r="C377" s="23" t="s">
        <v>86</v>
      </c>
      <c r="D377" s="23" t="str">
        <f t="shared" si="6"/>
        <v>Unconfirmed</v>
      </c>
      <c r="E377" s="32" t="s">
        <v>958</v>
      </c>
      <c r="F377" s="23" t="s">
        <v>958</v>
      </c>
      <c r="G377" s="69" t="s">
        <v>25</v>
      </c>
      <c r="H377" s="33" t="s">
        <v>959</v>
      </c>
      <c r="I377" s="23">
        <v>4324974</v>
      </c>
      <c r="J377" s="22" t="s">
        <v>960</v>
      </c>
      <c r="K377" s="2" t="s">
        <v>961</v>
      </c>
      <c r="L377" s="2" t="s">
        <v>962</v>
      </c>
      <c r="M377" s="9" t="s">
        <v>78</v>
      </c>
      <c r="N377" s="22" t="s">
        <v>261</v>
      </c>
      <c r="O377" s="11" t="s">
        <v>258</v>
      </c>
      <c r="P377" s="23"/>
      <c r="Q377" s="23"/>
      <c r="R377" s="4"/>
      <c r="S377" s="11">
        <v>50</v>
      </c>
      <c r="T377" s="11">
        <v>50</v>
      </c>
      <c r="U377" s="1">
        <f>+AVERAGE(S377:T377)</f>
        <v>50</v>
      </c>
      <c r="V377" s="5">
        <f>+(U377/[1]Population!$C$2)*100000</f>
        <v>1.5001500150015001E-2</v>
      </c>
      <c r="W377" s="39"/>
      <c r="X377" s="22" t="s">
        <v>368</v>
      </c>
      <c r="Y377" s="41"/>
    </row>
    <row r="378" spans="1:25" ht="13.95" customHeight="1">
      <c r="A378" s="23" t="s">
        <v>146</v>
      </c>
      <c r="B378" s="23" t="s">
        <v>86</v>
      </c>
      <c r="C378" s="23" t="s">
        <v>86</v>
      </c>
      <c r="D378" s="23" t="str">
        <f t="shared" si="6"/>
        <v>Unconfirmed</v>
      </c>
      <c r="E378" s="32" t="s">
        <v>958</v>
      </c>
      <c r="F378" s="23" t="s">
        <v>963</v>
      </c>
      <c r="G378" s="69" t="s">
        <v>36</v>
      </c>
      <c r="H378" s="33" t="s">
        <v>959</v>
      </c>
      <c r="I378" s="23"/>
      <c r="J378" s="22"/>
      <c r="K378" s="2"/>
      <c r="L378" s="2"/>
      <c r="M378" s="9"/>
      <c r="N378" s="22"/>
      <c r="O378" s="11"/>
      <c r="P378" s="23"/>
      <c r="Q378" s="23"/>
      <c r="R378" s="4"/>
      <c r="S378" s="23">
        <v>0</v>
      </c>
      <c r="T378" s="23">
        <v>0</v>
      </c>
      <c r="U378" s="23">
        <v>0</v>
      </c>
      <c r="V378" s="5">
        <v>0</v>
      </c>
      <c r="W378" s="39"/>
      <c r="X378" s="22"/>
      <c r="Y378" s="41"/>
    </row>
    <row r="379" spans="1:25" ht="13.95" customHeight="1">
      <c r="A379" s="23" t="s">
        <v>146</v>
      </c>
      <c r="B379" s="23" t="s">
        <v>86</v>
      </c>
      <c r="C379" s="23" t="s">
        <v>86</v>
      </c>
      <c r="D379" s="23" t="str">
        <f t="shared" si="6"/>
        <v>Unconfirmed</v>
      </c>
      <c r="E379" s="32" t="s">
        <v>958</v>
      </c>
      <c r="F379" s="23" t="s">
        <v>964</v>
      </c>
      <c r="G379" s="69" t="s">
        <v>36</v>
      </c>
      <c r="H379" s="33" t="s">
        <v>959</v>
      </c>
      <c r="I379" s="23"/>
      <c r="J379" s="23"/>
      <c r="K379" s="23"/>
      <c r="L379" s="23"/>
      <c r="M379" s="23"/>
      <c r="N379" s="22"/>
      <c r="O379" s="23"/>
      <c r="P379" s="23"/>
      <c r="Q379" s="23"/>
      <c r="R379" s="4"/>
      <c r="S379" s="23">
        <v>0</v>
      </c>
      <c r="T379" s="23">
        <v>0</v>
      </c>
      <c r="U379" s="23">
        <v>0</v>
      </c>
      <c r="V379" s="5">
        <v>0</v>
      </c>
      <c r="W379" s="39"/>
      <c r="X379" s="22"/>
      <c r="Y379" s="41"/>
    </row>
    <row r="380" spans="1:25" ht="13.95" customHeight="1">
      <c r="A380" s="23" t="s">
        <v>146</v>
      </c>
      <c r="B380" s="23" t="s">
        <v>86</v>
      </c>
      <c r="C380" s="23" t="s">
        <v>86</v>
      </c>
      <c r="D380" s="23" t="str">
        <f t="shared" si="6"/>
        <v>Unconfirmed</v>
      </c>
      <c r="E380" s="32" t="s">
        <v>958</v>
      </c>
      <c r="F380" s="23" t="s">
        <v>965</v>
      </c>
      <c r="G380" s="69" t="s">
        <v>36</v>
      </c>
      <c r="H380" s="33" t="s">
        <v>959</v>
      </c>
      <c r="I380" s="23"/>
      <c r="J380" s="22"/>
      <c r="K380" s="2"/>
      <c r="L380" s="2"/>
      <c r="M380" s="9"/>
      <c r="N380" s="22"/>
      <c r="O380" s="11"/>
      <c r="P380" s="23"/>
      <c r="Q380" s="23"/>
      <c r="R380" s="4"/>
      <c r="S380" s="23">
        <v>0</v>
      </c>
      <c r="T380" s="23">
        <v>0</v>
      </c>
      <c r="U380" s="23">
        <v>0</v>
      </c>
      <c r="V380" s="5">
        <v>0</v>
      </c>
      <c r="W380" s="39"/>
      <c r="X380" s="22"/>
      <c r="Y380" s="41"/>
    </row>
    <row r="381" spans="1:25" ht="13.95" customHeight="1">
      <c r="A381" s="23" t="s">
        <v>146</v>
      </c>
      <c r="B381" s="23" t="s">
        <v>86</v>
      </c>
      <c r="C381" s="23" t="s">
        <v>86</v>
      </c>
      <c r="D381" s="23" t="str">
        <f t="shared" si="6"/>
        <v>Unconfirmed</v>
      </c>
      <c r="E381" s="32" t="s">
        <v>958</v>
      </c>
      <c r="F381" s="23" t="s">
        <v>966</v>
      </c>
      <c r="G381" s="69" t="s">
        <v>36</v>
      </c>
      <c r="H381" s="33" t="s">
        <v>959</v>
      </c>
      <c r="I381" s="23"/>
      <c r="J381" s="23"/>
      <c r="K381" s="23"/>
      <c r="L381" s="23"/>
      <c r="M381" s="23"/>
      <c r="N381" s="22"/>
      <c r="O381" s="23"/>
      <c r="P381" s="23"/>
      <c r="Q381" s="23"/>
      <c r="R381" s="4"/>
      <c r="S381" s="23">
        <v>0</v>
      </c>
      <c r="T381" s="23">
        <v>0</v>
      </c>
      <c r="U381" s="23">
        <v>0</v>
      </c>
      <c r="V381" s="5">
        <v>0</v>
      </c>
      <c r="W381" s="39"/>
      <c r="X381" s="22"/>
      <c r="Y381" s="41"/>
    </row>
    <row r="382" spans="1:25" ht="13.95" customHeight="1">
      <c r="A382" s="23" t="s">
        <v>146</v>
      </c>
      <c r="B382" s="23" t="s">
        <v>86</v>
      </c>
      <c r="C382" s="23" t="s">
        <v>86</v>
      </c>
      <c r="D382" s="23" t="str">
        <f t="shared" si="6"/>
        <v>Unconfirmed</v>
      </c>
      <c r="E382" s="32" t="s">
        <v>958</v>
      </c>
      <c r="F382" s="23" t="s">
        <v>967</v>
      </c>
      <c r="G382" s="69" t="s">
        <v>36</v>
      </c>
      <c r="H382" s="33" t="s">
        <v>959</v>
      </c>
      <c r="I382" s="23"/>
      <c r="J382" s="23"/>
      <c r="K382" s="23"/>
      <c r="L382" s="23"/>
      <c r="M382" s="23"/>
      <c r="N382" s="22"/>
      <c r="O382" s="23"/>
      <c r="P382" s="23"/>
      <c r="Q382" s="23"/>
      <c r="R382" s="4"/>
      <c r="S382" s="23">
        <v>0</v>
      </c>
      <c r="T382" s="23">
        <v>0</v>
      </c>
      <c r="U382" s="23">
        <v>0</v>
      </c>
      <c r="V382" s="5">
        <v>0</v>
      </c>
      <c r="W382" s="39"/>
      <c r="X382" s="22"/>
      <c r="Y382" s="41"/>
    </row>
    <row r="383" spans="1:25" ht="13.95" customHeight="1">
      <c r="A383" s="23" t="s">
        <v>146</v>
      </c>
      <c r="B383" s="23" t="s">
        <v>86</v>
      </c>
      <c r="C383" s="23" t="s">
        <v>86</v>
      </c>
      <c r="D383" s="23" t="str">
        <f t="shared" si="6"/>
        <v>Unconfirmed</v>
      </c>
      <c r="E383" s="32" t="s">
        <v>958</v>
      </c>
      <c r="F383" s="23" t="s">
        <v>968</v>
      </c>
      <c r="G383" s="69" t="s">
        <v>36</v>
      </c>
      <c r="H383" s="33" t="s">
        <v>959</v>
      </c>
      <c r="I383" s="23"/>
      <c r="J383" s="23"/>
      <c r="K383" s="23"/>
      <c r="L383" s="23"/>
      <c r="M383" s="23"/>
      <c r="N383" s="22"/>
      <c r="O383" s="23"/>
      <c r="P383" s="23"/>
      <c r="Q383" s="23"/>
      <c r="R383" s="4"/>
      <c r="S383" s="23">
        <v>0</v>
      </c>
      <c r="T383" s="23">
        <v>0</v>
      </c>
      <c r="U383" s="23">
        <v>0</v>
      </c>
      <c r="V383" s="5">
        <v>0</v>
      </c>
      <c r="W383" s="39"/>
      <c r="X383" s="22"/>
      <c r="Y383" s="41"/>
    </row>
    <row r="384" spans="1:25" ht="13.95" customHeight="1">
      <c r="A384" s="23" t="s">
        <v>72</v>
      </c>
      <c r="B384" s="23" t="s">
        <v>22</v>
      </c>
      <c r="C384" s="23" t="s">
        <v>73</v>
      </c>
      <c r="D384" s="23" t="str">
        <f t="shared" si="6"/>
        <v>Autoimmune</v>
      </c>
      <c r="E384" s="32" t="s">
        <v>969</v>
      </c>
      <c r="F384" s="23" t="s">
        <v>969</v>
      </c>
      <c r="G384" s="69" t="s">
        <v>25</v>
      </c>
      <c r="H384" s="33">
        <v>239944008</v>
      </c>
      <c r="I384" s="23">
        <v>4344495</v>
      </c>
      <c r="J384" s="22" t="s">
        <v>970</v>
      </c>
      <c r="K384" s="2" t="s">
        <v>971</v>
      </c>
      <c r="L384" s="2" t="s">
        <v>972</v>
      </c>
      <c r="M384" s="9" t="s">
        <v>78</v>
      </c>
      <c r="N384" s="22" t="s">
        <v>975</v>
      </c>
      <c r="O384" s="4" t="s">
        <v>973</v>
      </c>
      <c r="P384" s="23">
        <f>72.1*0.11</f>
        <v>7.9309999999999992</v>
      </c>
      <c r="Q384" s="23">
        <f>74.4*0.11</f>
        <v>8.1840000000000011</v>
      </c>
      <c r="R384" s="4">
        <v>100000</v>
      </c>
      <c r="S384" s="4">
        <f>+(P384/R384)*[1]Population!$C$2</f>
        <v>26434.023000000001</v>
      </c>
      <c r="T384" s="17">
        <f>+(Q384/R384)*[1]Population!$C$2</f>
        <v>27277.272000000004</v>
      </c>
      <c r="U384" s="1">
        <f>+AVERAGE(S384:T384)</f>
        <v>26855.647500000003</v>
      </c>
      <c r="V384" s="5">
        <f>+(U384/[1]Population!$C$2)*100000</f>
        <v>8.057500000000001</v>
      </c>
      <c r="W384" s="23"/>
      <c r="X384" s="22" t="s">
        <v>974</v>
      </c>
      <c r="Y384" s="40"/>
    </row>
    <row r="385" spans="1:25" ht="13.95" customHeight="1">
      <c r="A385" s="23" t="s">
        <v>98</v>
      </c>
      <c r="B385" s="23" t="s">
        <v>22</v>
      </c>
      <c r="C385" s="23" t="s">
        <v>73</v>
      </c>
      <c r="D385" s="23" t="str">
        <f t="shared" si="6"/>
        <v>Autoimmune</v>
      </c>
      <c r="E385" s="32" t="s">
        <v>976</v>
      </c>
      <c r="F385" s="32" t="s">
        <v>976</v>
      </c>
      <c r="G385" s="69" t="s">
        <v>25</v>
      </c>
      <c r="H385" s="33" t="s">
        <v>977</v>
      </c>
      <c r="I385" s="23">
        <v>4212192</v>
      </c>
      <c r="J385" s="22" t="s">
        <v>978</v>
      </c>
      <c r="K385" s="2" t="s">
        <v>728</v>
      </c>
      <c r="L385" s="2" t="s">
        <v>729</v>
      </c>
      <c r="M385" s="9" t="s">
        <v>78</v>
      </c>
      <c r="N385" s="22" t="s">
        <v>261</v>
      </c>
      <c r="O385" s="23" t="s">
        <v>730</v>
      </c>
      <c r="P385" s="23"/>
      <c r="Q385" s="23"/>
      <c r="R385" s="4"/>
      <c r="S385" s="11">
        <v>50</v>
      </c>
      <c r="T385" s="11">
        <v>50</v>
      </c>
      <c r="U385" s="1">
        <f>+AVERAGE(S385:T385)</f>
        <v>50</v>
      </c>
      <c r="V385" s="5">
        <f>+(U385/[1]Population!$C$2)*100000</f>
        <v>1.5001500150015001E-2</v>
      </c>
      <c r="W385" s="23"/>
      <c r="X385" s="22" t="s">
        <v>731</v>
      </c>
      <c r="Y385" s="22"/>
    </row>
    <row r="386" spans="1:25" ht="13.95" customHeight="1">
      <c r="A386" s="23" t="s">
        <v>98</v>
      </c>
      <c r="B386" s="23" t="s">
        <v>22</v>
      </c>
      <c r="C386" s="23" t="s">
        <v>73</v>
      </c>
      <c r="D386" s="23" t="str">
        <f t="shared" si="6"/>
        <v>Autoimmune</v>
      </c>
      <c r="E386" s="32" t="s">
        <v>976</v>
      </c>
      <c r="F386" s="23" t="s">
        <v>979</v>
      </c>
      <c r="G386" s="69" t="s">
        <v>36</v>
      </c>
      <c r="H386" s="33" t="s">
        <v>977</v>
      </c>
      <c r="I386" s="23">
        <v>4212192</v>
      </c>
      <c r="J386" s="22"/>
      <c r="K386" s="39" t="s">
        <v>410</v>
      </c>
      <c r="L386" s="39" t="s">
        <v>411</v>
      </c>
      <c r="M386" s="9" t="s">
        <v>78</v>
      </c>
      <c r="N386" s="22" t="s">
        <v>261</v>
      </c>
      <c r="O386" s="11" t="s">
        <v>258</v>
      </c>
      <c r="P386" s="23"/>
      <c r="Q386" s="23"/>
      <c r="R386" s="50">
        <v>0</v>
      </c>
      <c r="S386" s="11">
        <v>50</v>
      </c>
      <c r="T386" s="11">
        <v>50</v>
      </c>
      <c r="U386" s="1">
        <f>+AVERAGE(S386:T386)</f>
        <v>50</v>
      </c>
      <c r="V386" s="5">
        <f>+(U386/[1]Population!$C$2)*100000</f>
        <v>1.5001500150015001E-2</v>
      </c>
      <c r="W386" s="23"/>
      <c r="X386" s="22" t="s">
        <v>980</v>
      </c>
      <c r="Y386" s="41"/>
    </row>
    <row r="387" spans="1:25" ht="13.95" customHeight="1">
      <c r="A387" s="23" t="s">
        <v>281</v>
      </c>
      <c r="B387" s="23" t="s">
        <v>86</v>
      </c>
      <c r="C387" s="23" t="s">
        <v>86</v>
      </c>
      <c r="D387" s="23" t="str">
        <f t="shared" si="6"/>
        <v>Unconfirmed</v>
      </c>
      <c r="E387" s="32" t="s">
        <v>895</v>
      </c>
      <c r="F387" s="23" t="s">
        <v>895</v>
      </c>
      <c r="G387" s="69" t="s">
        <v>25</v>
      </c>
      <c r="H387" s="33">
        <v>235753003</v>
      </c>
      <c r="I387" s="23">
        <v>4340799</v>
      </c>
      <c r="J387" s="22" t="s">
        <v>981</v>
      </c>
      <c r="K387" s="2" t="s">
        <v>982</v>
      </c>
      <c r="L387" s="2" t="s">
        <v>983</v>
      </c>
      <c r="M387" s="9" t="s">
        <v>78</v>
      </c>
      <c r="N387" s="22" t="s">
        <v>984</v>
      </c>
      <c r="O387" s="4"/>
      <c r="P387" s="23">
        <v>103</v>
      </c>
      <c r="Q387" s="23"/>
      <c r="R387" s="4">
        <v>100000</v>
      </c>
      <c r="S387" s="4">
        <f>+(P387/R387)*[1]Population!$C$2</f>
        <v>343299.00000000006</v>
      </c>
      <c r="T387" s="4">
        <f>IF(ISBLANK(Q387),S387,+(Q387/R387)*[1]Population!$C$2)</f>
        <v>343299.00000000006</v>
      </c>
      <c r="U387" s="1">
        <f>+AVERAGE(S387:T387)</f>
        <v>343299.00000000006</v>
      </c>
      <c r="V387" s="5">
        <f>+(U387/[1]Population!$C$2)*100000</f>
        <v>103.00000000000001</v>
      </c>
      <c r="W387" s="23"/>
      <c r="X387" s="22" t="s">
        <v>368</v>
      </c>
      <c r="Y387" s="41"/>
    </row>
    <row r="388" spans="1:25" ht="13.95" customHeight="1">
      <c r="A388" s="23" t="s">
        <v>72</v>
      </c>
      <c r="B388" s="23" t="s">
        <v>22</v>
      </c>
      <c r="C388" s="23" t="s">
        <v>73</v>
      </c>
      <c r="D388" s="23" t="str">
        <f t="shared" si="6"/>
        <v>Autoimmune</v>
      </c>
      <c r="E388" s="32" t="s">
        <v>985</v>
      </c>
      <c r="F388" s="23" t="s">
        <v>985</v>
      </c>
      <c r="G388" s="69" t="s">
        <v>25</v>
      </c>
      <c r="H388" s="33">
        <v>1144805008</v>
      </c>
      <c r="I388" s="23">
        <v>606328</v>
      </c>
      <c r="J388" s="22" t="s">
        <v>986</v>
      </c>
      <c r="K388" s="23"/>
      <c r="L388" s="23"/>
      <c r="M388" s="23"/>
      <c r="N388" s="22"/>
      <c r="O388" s="23"/>
      <c r="P388" s="23"/>
      <c r="Q388" s="23"/>
      <c r="R388" s="4"/>
      <c r="S388" s="23">
        <v>0</v>
      </c>
      <c r="T388" s="23">
        <v>0</v>
      </c>
      <c r="U388" s="23">
        <v>0</v>
      </c>
      <c r="V388" s="5">
        <v>0</v>
      </c>
      <c r="W388" s="39"/>
      <c r="X388" s="22"/>
      <c r="Y388" s="41"/>
    </row>
    <row r="389" spans="1:25" ht="13.95" customHeight="1">
      <c r="A389" s="23" t="s">
        <v>72</v>
      </c>
      <c r="B389" s="23" t="s">
        <v>22</v>
      </c>
      <c r="C389" s="23" t="s">
        <v>73</v>
      </c>
      <c r="D389" s="23" t="str">
        <f t="shared" si="6"/>
        <v>Autoimmune</v>
      </c>
      <c r="E389" s="32" t="s">
        <v>985</v>
      </c>
      <c r="F389" s="23" t="s">
        <v>987</v>
      </c>
      <c r="G389" s="69" t="s">
        <v>34</v>
      </c>
      <c r="H389" s="33">
        <v>1144805008</v>
      </c>
      <c r="I389" s="23"/>
      <c r="J389" s="23"/>
      <c r="K389" s="23"/>
      <c r="L389" s="23"/>
      <c r="M389" s="23"/>
      <c r="N389" s="22"/>
      <c r="O389" s="23"/>
      <c r="P389" s="23"/>
      <c r="Q389" s="23"/>
      <c r="R389" s="4"/>
      <c r="S389" s="23">
        <v>0</v>
      </c>
      <c r="T389" s="23">
        <v>0</v>
      </c>
      <c r="U389" s="23">
        <v>0</v>
      </c>
      <c r="V389" s="5">
        <v>0</v>
      </c>
      <c r="W389" s="39"/>
      <c r="X389" s="22"/>
      <c r="Y389" s="41"/>
    </row>
    <row r="390" spans="1:25" ht="13.95" customHeight="1">
      <c r="A390" s="23" t="s">
        <v>72</v>
      </c>
      <c r="B390" s="23" t="s">
        <v>22</v>
      </c>
      <c r="C390" s="23" t="s">
        <v>73</v>
      </c>
      <c r="D390" s="23" t="str">
        <f t="shared" ref="D390:D453" si="7">+IF(OR(B390="Antibody Suspected",B390="Antibody",B390="TCELL", B390="Immune-mediated",B390="Genetic"),"Autoimmune","Unconfirmed")</f>
        <v>Autoimmune</v>
      </c>
      <c r="E390" s="32" t="s">
        <v>985</v>
      </c>
      <c r="F390" s="23" t="s">
        <v>988</v>
      </c>
      <c r="G390" s="69" t="s">
        <v>36</v>
      </c>
      <c r="H390" s="33">
        <v>1144805008</v>
      </c>
      <c r="I390" s="23">
        <v>606328</v>
      </c>
      <c r="J390" s="22"/>
      <c r="K390" s="23"/>
      <c r="L390" s="23"/>
      <c r="M390" s="23"/>
      <c r="N390" s="22"/>
      <c r="O390" s="23"/>
      <c r="P390" s="23"/>
      <c r="Q390" s="23"/>
      <c r="R390" s="4"/>
      <c r="S390" s="23">
        <v>0</v>
      </c>
      <c r="T390" s="23">
        <v>0</v>
      </c>
      <c r="U390" s="23">
        <v>0</v>
      </c>
      <c r="V390" s="5">
        <v>0</v>
      </c>
      <c r="W390" s="39"/>
      <c r="X390" s="22"/>
      <c r="Y390" s="41"/>
    </row>
    <row r="391" spans="1:25" ht="13.95" customHeight="1">
      <c r="A391" s="23" t="s">
        <v>112</v>
      </c>
      <c r="B391" s="23" t="s">
        <v>22</v>
      </c>
      <c r="C391" s="23" t="s">
        <v>73</v>
      </c>
      <c r="D391" s="23" t="str">
        <f t="shared" si="7"/>
        <v>Autoimmune</v>
      </c>
      <c r="E391" s="32" t="s">
        <v>989</v>
      </c>
      <c r="F391" s="23" t="s">
        <v>990</v>
      </c>
      <c r="G391" s="69" t="s">
        <v>34</v>
      </c>
      <c r="H391" s="33">
        <v>398049005</v>
      </c>
      <c r="I391" s="23"/>
      <c r="J391" s="23"/>
      <c r="K391" s="23"/>
      <c r="L391" s="23"/>
      <c r="M391" s="23"/>
      <c r="N391" s="22"/>
      <c r="O391" s="23"/>
      <c r="P391" s="23"/>
      <c r="Q391" s="23"/>
      <c r="R391" s="4"/>
      <c r="S391" s="23">
        <v>0</v>
      </c>
      <c r="T391" s="23">
        <v>0</v>
      </c>
      <c r="U391" s="23">
        <v>0</v>
      </c>
      <c r="V391" s="5">
        <v>0</v>
      </c>
      <c r="W391" s="39"/>
      <c r="X391" s="22"/>
      <c r="Y391" s="41"/>
    </row>
    <row r="392" spans="1:25" ht="13.95" customHeight="1">
      <c r="A392" s="23" t="s">
        <v>112</v>
      </c>
      <c r="B392" s="23" t="s">
        <v>22</v>
      </c>
      <c r="C392" s="23" t="s">
        <v>73</v>
      </c>
      <c r="D392" s="23" t="str">
        <f t="shared" si="7"/>
        <v>Autoimmune</v>
      </c>
      <c r="E392" s="32" t="s">
        <v>989</v>
      </c>
      <c r="F392" s="23" t="s">
        <v>989</v>
      </c>
      <c r="G392" s="69" t="s">
        <v>25</v>
      </c>
      <c r="H392" s="33">
        <v>398049005</v>
      </c>
      <c r="I392" s="23">
        <v>4134867</v>
      </c>
      <c r="J392" s="22" t="s">
        <v>991</v>
      </c>
      <c r="K392" s="2" t="s">
        <v>992</v>
      </c>
      <c r="L392" s="2" t="s">
        <v>993</v>
      </c>
      <c r="M392" s="9" t="s">
        <v>78</v>
      </c>
      <c r="N392" s="22" t="s">
        <v>996</v>
      </c>
      <c r="O392" s="4" t="s">
        <v>994</v>
      </c>
      <c r="P392" s="23">
        <v>3.2</v>
      </c>
      <c r="Q392" s="23">
        <v>4.4000000000000004</v>
      </c>
      <c r="R392" s="4">
        <v>100000</v>
      </c>
      <c r="S392" s="4">
        <f>+(P392/R392)*([1]Population!$C$2-74000000)</f>
        <v>8297.6</v>
      </c>
      <c r="T392" s="4">
        <f>+(Q392/R392)*([1]Population!$C$2-74000000)</f>
        <v>11409.2</v>
      </c>
      <c r="U392" s="1">
        <f>+AVERAGE(S392:T392)</f>
        <v>9853.4000000000015</v>
      </c>
      <c r="V392" s="5">
        <f>+(U392/[1]Population!$C$2)*100000</f>
        <v>2.9563156315631569</v>
      </c>
      <c r="W392" s="23"/>
      <c r="X392" s="54" t="s">
        <v>995</v>
      </c>
      <c r="Y392" s="40"/>
    </row>
    <row r="393" spans="1:25" ht="13.95" customHeight="1">
      <c r="A393" s="23" t="s">
        <v>112</v>
      </c>
      <c r="B393" s="23" t="s">
        <v>22</v>
      </c>
      <c r="C393" s="23" t="s">
        <v>73</v>
      </c>
      <c r="D393" s="23" t="str">
        <f t="shared" si="7"/>
        <v>Autoimmune</v>
      </c>
      <c r="E393" s="32" t="s">
        <v>989</v>
      </c>
      <c r="F393" s="23" t="s">
        <v>997</v>
      </c>
      <c r="G393" s="69" t="s">
        <v>36</v>
      </c>
      <c r="H393" s="33">
        <v>398049005</v>
      </c>
      <c r="I393" s="23">
        <v>4134867</v>
      </c>
      <c r="J393" s="22"/>
      <c r="K393" s="2" t="s">
        <v>992</v>
      </c>
      <c r="L393" s="2" t="s">
        <v>993</v>
      </c>
      <c r="M393" s="9" t="s">
        <v>78</v>
      </c>
      <c r="N393" s="22" t="s">
        <v>996</v>
      </c>
      <c r="O393" s="4" t="s">
        <v>994</v>
      </c>
      <c r="P393" s="23">
        <v>3.2</v>
      </c>
      <c r="Q393" s="23">
        <v>4.4000000000000004</v>
      </c>
      <c r="R393" s="4">
        <v>100000</v>
      </c>
      <c r="S393" s="4">
        <f>+(P393/R393)*([1]Population!$C$2-74000000)</f>
        <v>8297.6</v>
      </c>
      <c r="T393" s="4">
        <f>+(Q393/R393)*([1]Population!$C$2-74000000)</f>
        <v>11409.2</v>
      </c>
      <c r="U393" s="1">
        <f>+AVERAGE(S393:T393)</f>
        <v>9853.4000000000015</v>
      </c>
      <c r="V393" s="5">
        <f>+(U393/[1]Population!$C$2)*100000</f>
        <v>2.9563156315631569</v>
      </c>
      <c r="W393" s="23"/>
      <c r="X393" s="54" t="s">
        <v>995</v>
      </c>
      <c r="Y393" s="40"/>
    </row>
    <row r="394" spans="1:25" ht="13.95" customHeight="1">
      <c r="A394" s="23" t="s">
        <v>112</v>
      </c>
      <c r="B394" s="23" t="s">
        <v>22</v>
      </c>
      <c r="C394" s="23" t="s">
        <v>73</v>
      </c>
      <c r="D394" s="23" t="str">
        <f t="shared" si="7"/>
        <v>Autoimmune</v>
      </c>
      <c r="E394" s="32" t="s">
        <v>989</v>
      </c>
      <c r="F394" s="23" t="s">
        <v>998</v>
      </c>
      <c r="G394" s="69" t="s">
        <v>36</v>
      </c>
      <c r="H394" s="33">
        <v>398049005</v>
      </c>
      <c r="I394" s="23"/>
      <c r="J394" s="23"/>
      <c r="K394" s="23"/>
      <c r="L394" s="23"/>
      <c r="M394" s="23"/>
      <c r="N394" s="22"/>
      <c r="O394" s="23"/>
      <c r="P394" s="23"/>
      <c r="Q394" s="23"/>
      <c r="R394" s="4"/>
      <c r="S394" s="23">
        <v>0</v>
      </c>
      <c r="T394" s="23">
        <v>0</v>
      </c>
      <c r="U394" s="23">
        <v>0</v>
      </c>
      <c r="V394" s="5">
        <v>0</v>
      </c>
      <c r="W394" s="39"/>
      <c r="X394" s="22"/>
      <c r="Y394" s="41"/>
    </row>
    <row r="395" spans="1:25" ht="13.95" customHeight="1">
      <c r="A395" s="23" t="s">
        <v>49</v>
      </c>
      <c r="B395" s="23" t="s">
        <v>86</v>
      </c>
      <c r="C395" s="23" t="s">
        <v>86</v>
      </c>
      <c r="D395" s="23" t="str">
        <f t="shared" si="7"/>
        <v>Unconfirmed</v>
      </c>
      <c r="E395" s="32" t="s">
        <v>999</v>
      </c>
      <c r="F395" s="23" t="s">
        <v>999</v>
      </c>
      <c r="G395" s="69" t="s">
        <v>25</v>
      </c>
      <c r="H395" s="33">
        <v>22440001</v>
      </c>
      <c r="I395" s="23">
        <v>435271</v>
      </c>
      <c r="J395" s="22" t="s">
        <v>1000</v>
      </c>
      <c r="K395" s="39" t="s">
        <v>410</v>
      </c>
      <c r="L395" s="39" t="s">
        <v>411</v>
      </c>
      <c r="M395" s="9" t="s">
        <v>78</v>
      </c>
      <c r="N395" s="22" t="s">
        <v>261</v>
      </c>
      <c r="O395" s="11" t="s">
        <v>258</v>
      </c>
      <c r="P395" s="50"/>
      <c r="Q395" s="50"/>
      <c r="R395" s="50">
        <v>0</v>
      </c>
      <c r="S395" s="11">
        <v>50</v>
      </c>
      <c r="T395" s="11">
        <v>50</v>
      </c>
      <c r="U395" s="1">
        <f>+AVERAGE(S395:T395)</f>
        <v>50</v>
      </c>
      <c r="V395" s="5">
        <f>+(U395/[1]Population!$C$2)*100000</f>
        <v>1.5001500150015001E-2</v>
      </c>
      <c r="W395" s="23"/>
      <c r="X395" s="22" t="s">
        <v>368</v>
      </c>
      <c r="Y395" s="41"/>
    </row>
    <row r="396" spans="1:25" ht="13.95" customHeight="1">
      <c r="A396" s="23" t="s">
        <v>49</v>
      </c>
      <c r="B396" s="23" t="s">
        <v>86</v>
      </c>
      <c r="C396" s="23" t="s">
        <v>86</v>
      </c>
      <c r="D396" s="23" t="str">
        <f t="shared" si="7"/>
        <v>Unconfirmed</v>
      </c>
      <c r="E396" s="32" t="s">
        <v>999</v>
      </c>
      <c r="F396" s="23" t="s">
        <v>1001</v>
      </c>
      <c r="G396" s="69" t="s">
        <v>36</v>
      </c>
      <c r="H396" s="33">
        <v>22440001</v>
      </c>
      <c r="I396" s="23"/>
      <c r="J396" s="23"/>
      <c r="K396" s="23"/>
      <c r="L396" s="23"/>
      <c r="M396" s="23"/>
      <c r="N396" s="22"/>
      <c r="O396" s="23"/>
      <c r="P396" s="23"/>
      <c r="Q396" s="23"/>
      <c r="R396" s="4"/>
      <c r="S396" s="23">
        <v>0</v>
      </c>
      <c r="T396" s="23">
        <v>0</v>
      </c>
      <c r="U396" s="23">
        <v>0</v>
      </c>
      <c r="V396" s="5">
        <v>0</v>
      </c>
      <c r="W396" s="39"/>
      <c r="X396" s="22"/>
      <c r="Y396" s="41"/>
    </row>
    <row r="397" spans="1:25" ht="13.95" customHeight="1">
      <c r="A397" s="23" t="s">
        <v>49</v>
      </c>
      <c r="B397" s="23" t="s">
        <v>86</v>
      </c>
      <c r="C397" s="23" t="s">
        <v>86</v>
      </c>
      <c r="D397" s="23" t="str">
        <f t="shared" si="7"/>
        <v>Unconfirmed</v>
      </c>
      <c r="E397" s="32" t="s">
        <v>999</v>
      </c>
      <c r="F397" s="23" t="s">
        <v>1002</v>
      </c>
      <c r="G397" s="69" t="s">
        <v>36</v>
      </c>
      <c r="H397" s="33">
        <v>22440001</v>
      </c>
      <c r="I397" s="23"/>
      <c r="J397" s="23"/>
      <c r="K397" s="23"/>
      <c r="L397" s="23"/>
      <c r="M397" s="23"/>
      <c r="N397" s="22"/>
      <c r="O397" s="23"/>
      <c r="P397" s="23"/>
      <c r="Q397" s="23"/>
      <c r="R397" s="4"/>
      <c r="S397" s="23">
        <v>0</v>
      </c>
      <c r="T397" s="23">
        <v>0</v>
      </c>
      <c r="U397" s="23">
        <v>0</v>
      </c>
      <c r="V397" s="5">
        <v>0</v>
      </c>
      <c r="W397" s="39"/>
      <c r="X397" s="22"/>
      <c r="Y397" s="41"/>
    </row>
    <row r="398" spans="1:25" ht="13.95" customHeight="1">
      <c r="A398" s="23" t="s">
        <v>21</v>
      </c>
      <c r="B398" s="23" t="s">
        <v>86</v>
      </c>
      <c r="C398" s="23" t="s">
        <v>23</v>
      </c>
      <c r="D398" s="23" t="str">
        <f t="shared" si="7"/>
        <v>Unconfirmed</v>
      </c>
      <c r="E398" s="32" t="s">
        <v>1003</v>
      </c>
      <c r="F398" s="23" t="s">
        <v>1004</v>
      </c>
      <c r="G398" s="69" t="s">
        <v>52</v>
      </c>
      <c r="H398" s="33">
        <v>201048007</v>
      </c>
      <c r="I398" s="23">
        <v>441928</v>
      </c>
      <c r="J398" s="22"/>
      <c r="K398" s="2" t="s">
        <v>1005</v>
      </c>
      <c r="L398" s="2" t="s">
        <v>1006</v>
      </c>
      <c r="M398" s="9" t="s">
        <v>78</v>
      </c>
      <c r="N398" s="22" t="s">
        <v>1008</v>
      </c>
      <c r="O398" s="4"/>
      <c r="P398" s="23">
        <v>0.4</v>
      </c>
      <c r="Q398" s="23">
        <v>2.7</v>
      </c>
      <c r="R398" s="4">
        <v>100000</v>
      </c>
      <c r="S398" s="4">
        <f>+(P398/R398)*[1]Population!$C$2</f>
        <v>1333.2</v>
      </c>
      <c r="T398" s="4">
        <f>IF(ISBLANK(Q398),S398,+(Q398/R398)*[1]Population!$C$2)</f>
        <v>8999.1</v>
      </c>
      <c r="U398" s="1">
        <f>+AVERAGE(S398:T398)</f>
        <v>5166.1500000000005</v>
      </c>
      <c r="V398" s="5">
        <f>+(U398/[1]Population!$C$2)*100000</f>
        <v>1.55</v>
      </c>
      <c r="W398" s="23"/>
      <c r="X398" s="22" t="s">
        <v>1007</v>
      </c>
      <c r="Y398" s="40"/>
    </row>
    <row r="399" spans="1:25" ht="13.95" customHeight="1">
      <c r="A399" s="23" t="s">
        <v>21</v>
      </c>
      <c r="B399" s="23" t="s">
        <v>86</v>
      </c>
      <c r="C399" s="23" t="s">
        <v>23</v>
      </c>
      <c r="D399" s="23" t="str">
        <f t="shared" si="7"/>
        <v>Unconfirmed</v>
      </c>
      <c r="E399" s="32" t="s">
        <v>1003</v>
      </c>
      <c r="F399" s="23" t="s">
        <v>1003</v>
      </c>
      <c r="G399" s="69" t="s">
        <v>25</v>
      </c>
      <c r="H399" s="33">
        <v>201049004</v>
      </c>
      <c r="I399" s="23">
        <v>4066845</v>
      </c>
      <c r="J399" s="22" t="s">
        <v>1009</v>
      </c>
      <c r="K399" s="2" t="s">
        <v>1005</v>
      </c>
      <c r="L399" s="2" t="s">
        <v>1006</v>
      </c>
      <c r="M399" s="9" t="s">
        <v>78</v>
      </c>
      <c r="N399" s="22" t="s">
        <v>1008</v>
      </c>
      <c r="O399" s="4"/>
      <c r="P399" s="23">
        <v>0.4</v>
      </c>
      <c r="Q399" s="23">
        <v>2.7</v>
      </c>
      <c r="R399" s="4">
        <v>100000</v>
      </c>
      <c r="S399" s="4">
        <f>+(P399/R399)*[1]Population!$C$2</f>
        <v>1333.2</v>
      </c>
      <c r="T399" s="4">
        <f>IF(ISBLANK(Q399),S399,+(Q399/R399)*[1]Population!$C$2)</f>
        <v>8999.1</v>
      </c>
      <c r="U399" s="1">
        <f>+AVERAGE(S399:T399)</f>
        <v>5166.1500000000005</v>
      </c>
      <c r="V399" s="5">
        <f>+(U399/[1]Population!$C$2)*100000</f>
        <v>1.55</v>
      </c>
      <c r="W399" s="23"/>
      <c r="X399" s="22" t="s">
        <v>1007</v>
      </c>
      <c r="Y399" s="40"/>
    </row>
    <row r="400" spans="1:25" ht="13.95" customHeight="1">
      <c r="A400" s="23" t="s">
        <v>72</v>
      </c>
      <c r="B400" s="23" t="s">
        <v>86</v>
      </c>
      <c r="C400" s="23" t="s">
        <v>86</v>
      </c>
      <c r="D400" s="23" t="str">
        <f t="shared" si="7"/>
        <v>Unconfirmed</v>
      </c>
      <c r="E400" s="32" t="s">
        <v>1010</v>
      </c>
      <c r="F400" s="23" t="s">
        <v>1010</v>
      </c>
      <c r="G400" s="69" t="s">
        <v>25</v>
      </c>
      <c r="H400" s="33" t="s">
        <v>1011</v>
      </c>
      <c r="I400" s="23">
        <v>378774</v>
      </c>
      <c r="J400" s="22" t="s">
        <v>1012</v>
      </c>
      <c r="K400" s="23"/>
      <c r="L400" s="23"/>
      <c r="M400" s="23"/>
      <c r="N400" s="22"/>
      <c r="O400" s="23"/>
      <c r="P400" s="23"/>
      <c r="Q400" s="23"/>
      <c r="R400" s="4"/>
      <c r="S400" s="23">
        <v>0</v>
      </c>
      <c r="T400" s="23">
        <v>0</v>
      </c>
      <c r="U400" s="23">
        <v>0</v>
      </c>
      <c r="V400" s="5">
        <v>0</v>
      </c>
      <c r="W400" s="39"/>
      <c r="X400" s="22"/>
      <c r="Y400" s="41"/>
    </row>
    <row r="401" spans="1:25" ht="13.95" customHeight="1">
      <c r="A401" s="23" t="s">
        <v>72</v>
      </c>
      <c r="B401" s="23" t="s">
        <v>86</v>
      </c>
      <c r="C401" s="23" t="s">
        <v>86</v>
      </c>
      <c r="D401" s="23" t="str">
        <f t="shared" si="7"/>
        <v>Unconfirmed</v>
      </c>
      <c r="E401" s="32" t="s">
        <v>1010</v>
      </c>
      <c r="F401" s="23" t="s">
        <v>1013</v>
      </c>
      <c r="G401" s="69" t="s">
        <v>36</v>
      </c>
      <c r="H401" s="33" t="s">
        <v>1011</v>
      </c>
      <c r="I401" s="23"/>
      <c r="J401" s="23"/>
      <c r="K401" s="23"/>
      <c r="L401" s="23"/>
      <c r="M401" s="23"/>
      <c r="N401" s="22"/>
      <c r="O401" s="23"/>
      <c r="P401" s="23"/>
      <c r="Q401" s="23"/>
      <c r="R401" s="4"/>
      <c r="S401" s="23">
        <v>0</v>
      </c>
      <c r="T401" s="23">
        <v>0</v>
      </c>
      <c r="U401" s="23">
        <v>0</v>
      </c>
      <c r="V401" s="5">
        <v>0</v>
      </c>
      <c r="W401" s="39"/>
      <c r="X401" s="22"/>
      <c r="Y401" s="41"/>
    </row>
    <row r="402" spans="1:25" ht="13.95" customHeight="1">
      <c r="A402" s="23" t="s">
        <v>72</v>
      </c>
      <c r="B402" s="23" t="s">
        <v>86</v>
      </c>
      <c r="C402" s="23" t="s">
        <v>86</v>
      </c>
      <c r="D402" s="23" t="str">
        <f t="shared" si="7"/>
        <v>Unconfirmed</v>
      </c>
      <c r="E402" s="32" t="s">
        <v>1010</v>
      </c>
      <c r="F402" s="23" t="s">
        <v>1014</v>
      </c>
      <c r="G402" s="69" t="s">
        <v>36</v>
      </c>
      <c r="H402" s="33" t="s">
        <v>1011</v>
      </c>
      <c r="I402" s="23"/>
      <c r="J402" s="23"/>
      <c r="K402" s="23"/>
      <c r="L402" s="23"/>
      <c r="M402" s="23"/>
      <c r="N402" s="22"/>
      <c r="O402" s="23"/>
      <c r="P402" s="23"/>
      <c r="Q402" s="23"/>
      <c r="R402" s="4"/>
      <c r="S402" s="23">
        <v>0</v>
      </c>
      <c r="T402" s="23">
        <v>0</v>
      </c>
      <c r="U402" s="23">
        <v>0</v>
      </c>
      <c r="V402" s="5">
        <v>0</v>
      </c>
      <c r="W402" s="39"/>
      <c r="X402" s="22"/>
      <c r="Y402" s="41"/>
    </row>
    <row r="403" spans="1:25" ht="13.95" customHeight="1">
      <c r="A403" s="23" t="s">
        <v>72</v>
      </c>
      <c r="B403" s="23" t="s">
        <v>86</v>
      </c>
      <c r="C403" s="23" t="s">
        <v>86</v>
      </c>
      <c r="D403" s="23" t="str">
        <f t="shared" si="7"/>
        <v>Unconfirmed</v>
      </c>
      <c r="E403" s="32" t="s">
        <v>1010</v>
      </c>
      <c r="F403" s="23" t="s">
        <v>1015</v>
      </c>
      <c r="G403" s="69" t="s">
        <v>36</v>
      </c>
      <c r="H403" s="33" t="s">
        <v>1011</v>
      </c>
      <c r="I403" s="23"/>
      <c r="J403" s="23"/>
      <c r="K403" s="23"/>
      <c r="L403" s="23"/>
      <c r="M403" s="23"/>
      <c r="N403" s="22"/>
      <c r="O403" s="23"/>
      <c r="P403" s="23"/>
      <c r="Q403" s="23"/>
      <c r="R403" s="4"/>
      <c r="S403" s="23">
        <v>0</v>
      </c>
      <c r="T403" s="23">
        <v>0</v>
      </c>
      <c r="U403" s="23">
        <v>0</v>
      </c>
      <c r="V403" s="5">
        <v>0</v>
      </c>
      <c r="W403" s="39"/>
      <c r="X403" s="22"/>
      <c r="Y403" s="41"/>
    </row>
    <row r="404" spans="1:25" ht="13.95" customHeight="1">
      <c r="A404" s="23" t="s">
        <v>72</v>
      </c>
      <c r="B404" s="23" t="s">
        <v>86</v>
      </c>
      <c r="C404" s="23" t="s">
        <v>86</v>
      </c>
      <c r="D404" s="23" t="str">
        <f t="shared" si="7"/>
        <v>Unconfirmed</v>
      </c>
      <c r="E404" s="32" t="s">
        <v>1010</v>
      </c>
      <c r="F404" s="23" t="s">
        <v>1016</v>
      </c>
      <c r="G404" s="69" t="s">
        <v>36</v>
      </c>
      <c r="H404" s="33" t="s">
        <v>1011</v>
      </c>
      <c r="I404" s="23"/>
      <c r="J404" s="23"/>
      <c r="K404" s="23"/>
      <c r="L404" s="23"/>
      <c r="M404" s="23"/>
      <c r="N404" s="22"/>
      <c r="O404" s="23"/>
      <c r="P404" s="23"/>
      <c r="Q404" s="23"/>
      <c r="R404" s="4"/>
      <c r="S404" s="23">
        <v>0</v>
      </c>
      <c r="T404" s="23">
        <v>0</v>
      </c>
      <c r="U404" s="23">
        <v>0</v>
      </c>
      <c r="V404" s="5">
        <v>0</v>
      </c>
      <c r="W404" s="39"/>
      <c r="X404" s="22"/>
      <c r="Y404" s="41"/>
    </row>
    <row r="405" spans="1:25" ht="13.95" customHeight="1">
      <c r="A405" s="23" t="s">
        <v>72</v>
      </c>
      <c r="B405" s="23" t="s">
        <v>86</v>
      </c>
      <c r="C405" s="23" t="s">
        <v>86</v>
      </c>
      <c r="D405" s="23" t="str">
        <f t="shared" si="7"/>
        <v>Unconfirmed</v>
      </c>
      <c r="E405" s="32" t="s">
        <v>1010</v>
      </c>
      <c r="F405" s="23" t="s">
        <v>1017</v>
      </c>
      <c r="G405" s="69" t="s">
        <v>36</v>
      </c>
      <c r="H405" s="33" t="s">
        <v>1011</v>
      </c>
      <c r="I405" s="23"/>
      <c r="J405" s="23"/>
      <c r="K405" s="23"/>
      <c r="L405" s="23"/>
      <c r="M405" s="23"/>
      <c r="N405" s="22"/>
      <c r="O405" s="23"/>
      <c r="P405" s="23"/>
      <c r="Q405" s="23"/>
      <c r="R405" s="4"/>
      <c r="S405" s="23">
        <v>0</v>
      </c>
      <c r="T405" s="23">
        <v>0</v>
      </c>
      <c r="U405" s="23">
        <v>0</v>
      </c>
      <c r="V405" s="5">
        <v>0</v>
      </c>
      <c r="W405" s="39"/>
      <c r="X405" s="22"/>
      <c r="Y405" s="41"/>
    </row>
    <row r="406" spans="1:25" ht="13.95" customHeight="1">
      <c r="A406" s="23" t="s">
        <v>49</v>
      </c>
      <c r="B406" s="23" t="s">
        <v>22</v>
      </c>
      <c r="C406" s="23" t="s">
        <v>73</v>
      </c>
      <c r="D406" s="23" t="str">
        <f t="shared" si="7"/>
        <v>Autoimmune</v>
      </c>
      <c r="E406" s="32" t="s">
        <v>1018</v>
      </c>
      <c r="F406" s="23" t="s">
        <v>1019</v>
      </c>
      <c r="G406" s="69" t="s">
        <v>34</v>
      </c>
      <c r="H406" s="33">
        <v>24700007</v>
      </c>
      <c r="I406" s="23"/>
      <c r="J406" s="23"/>
      <c r="K406" s="23"/>
      <c r="L406" s="23"/>
      <c r="M406" s="23"/>
      <c r="N406" s="22"/>
      <c r="O406" s="23"/>
      <c r="P406" s="23"/>
      <c r="Q406" s="23"/>
      <c r="R406" s="4"/>
      <c r="S406" s="23">
        <v>0</v>
      </c>
      <c r="T406" s="23">
        <v>0</v>
      </c>
      <c r="U406" s="23">
        <v>0</v>
      </c>
      <c r="V406" s="5">
        <v>0</v>
      </c>
      <c r="W406" s="39"/>
      <c r="X406" s="22"/>
      <c r="Y406" s="41"/>
    </row>
    <row r="407" spans="1:25" ht="13.95" customHeight="1">
      <c r="A407" s="23" t="s">
        <v>49</v>
      </c>
      <c r="B407" s="23" t="s">
        <v>22</v>
      </c>
      <c r="C407" s="23" t="s">
        <v>73</v>
      </c>
      <c r="D407" s="23" t="str">
        <f t="shared" si="7"/>
        <v>Autoimmune</v>
      </c>
      <c r="E407" s="32" t="s">
        <v>1020</v>
      </c>
      <c r="F407" s="23" t="s">
        <v>1020</v>
      </c>
      <c r="G407" s="69" t="s">
        <v>25</v>
      </c>
      <c r="H407" s="33">
        <v>24700007</v>
      </c>
      <c r="I407" s="21">
        <v>374919</v>
      </c>
      <c r="J407" s="22" t="s">
        <v>1021</v>
      </c>
      <c r="K407" s="2" t="s">
        <v>1022</v>
      </c>
      <c r="L407" s="2" t="s">
        <v>1023</v>
      </c>
      <c r="M407" s="9" t="s">
        <v>78</v>
      </c>
      <c r="N407" s="22" t="s">
        <v>1026</v>
      </c>
      <c r="O407" s="4" t="s">
        <v>1024</v>
      </c>
      <c r="P407" s="23">
        <v>308.10000000000002</v>
      </c>
      <c r="Q407" s="23">
        <v>310.10000000000002</v>
      </c>
      <c r="R407" s="4">
        <v>100000</v>
      </c>
      <c r="S407" s="4">
        <f>+(P407/R407)*([1]Population!$C$2-74000000)</f>
        <v>798903.30000000016</v>
      </c>
      <c r="T407" s="4">
        <f>+(Q407/R407)*([1]Population!$C$2-74000000)</f>
        <v>804089.3</v>
      </c>
      <c r="U407" s="1">
        <f>+AVERAGE(S407:T407)</f>
        <v>801496.3</v>
      </c>
      <c r="V407" s="5">
        <f>+(U407/[1]Population!$C$2)*100000</f>
        <v>240.47293729372939</v>
      </c>
      <c r="W407" s="23"/>
      <c r="X407" s="22" t="s">
        <v>1025</v>
      </c>
      <c r="Y407" s="41"/>
    </row>
    <row r="408" spans="1:25" ht="13.95" customHeight="1">
      <c r="A408" s="23" t="s">
        <v>49</v>
      </c>
      <c r="B408" s="23" t="s">
        <v>22</v>
      </c>
      <c r="C408" s="23" t="s">
        <v>73</v>
      </c>
      <c r="D408" s="23" t="str">
        <f t="shared" si="7"/>
        <v>Autoimmune</v>
      </c>
      <c r="E408" s="32" t="s">
        <v>1020</v>
      </c>
      <c r="F408" s="23" t="s">
        <v>1027</v>
      </c>
      <c r="G408" s="69" t="s">
        <v>36</v>
      </c>
      <c r="H408" s="33">
        <v>24700007</v>
      </c>
      <c r="I408" s="21">
        <v>374919</v>
      </c>
      <c r="J408" s="22"/>
      <c r="K408" s="2" t="s">
        <v>1022</v>
      </c>
      <c r="L408" s="2" t="s">
        <v>1023</v>
      </c>
      <c r="M408" s="9" t="s">
        <v>78</v>
      </c>
      <c r="N408" s="22" t="s">
        <v>1026</v>
      </c>
      <c r="O408" s="4" t="s">
        <v>1024</v>
      </c>
      <c r="P408" s="23">
        <v>308.10000000000002</v>
      </c>
      <c r="Q408" s="23">
        <v>310.10000000000002</v>
      </c>
      <c r="R408" s="4">
        <v>100000</v>
      </c>
      <c r="S408" s="4">
        <f>+(P408/R408)*([1]Population!$C$2-74000000)</f>
        <v>798903.30000000016</v>
      </c>
      <c r="T408" s="4">
        <f>+(Q408/R408)*([1]Population!$C$2-74000000)</f>
        <v>804089.3</v>
      </c>
      <c r="U408" s="1">
        <f>+AVERAGE(S408:T408)</f>
        <v>801496.3</v>
      </c>
      <c r="V408" s="5">
        <f>+(U408/[1]Population!$C$2)*100000</f>
        <v>240.47293729372939</v>
      </c>
      <c r="W408" s="23"/>
      <c r="X408" s="22" t="s">
        <v>1025</v>
      </c>
      <c r="Y408" s="41"/>
    </row>
    <row r="409" spans="1:25" ht="13.95" customHeight="1">
      <c r="A409" s="23" t="s">
        <v>49</v>
      </c>
      <c r="B409" s="23" t="s">
        <v>22</v>
      </c>
      <c r="C409" s="23" t="s">
        <v>73</v>
      </c>
      <c r="D409" s="23" t="str">
        <f t="shared" si="7"/>
        <v>Autoimmune</v>
      </c>
      <c r="E409" s="32" t="s">
        <v>1020</v>
      </c>
      <c r="F409" s="23" t="s">
        <v>1028</v>
      </c>
      <c r="G409" s="69" t="s">
        <v>52</v>
      </c>
      <c r="H409" s="33">
        <v>49692006</v>
      </c>
      <c r="I409" s="23">
        <v>376970</v>
      </c>
      <c r="J409" s="22"/>
      <c r="K409" s="23"/>
      <c r="L409" s="23"/>
      <c r="M409" s="23"/>
      <c r="N409" s="22"/>
      <c r="O409" s="23"/>
      <c r="P409" s="23"/>
      <c r="Q409" s="23"/>
      <c r="R409" s="4"/>
      <c r="S409" s="23">
        <v>0</v>
      </c>
      <c r="T409" s="23">
        <v>0</v>
      </c>
      <c r="U409" s="23">
        <v>0</v>
      </c>
      <c r="V409" s="5">
        <v>0</v>
      </c>
      <c r="W409" s="39"/>
      <c r="X409" s="22"/>
      <c r="Y409" s="41"/>
    </row>
    <row r="410" spans="1:25" ht="13.95" customHeight="1">
      <c r="A410" s="23" t="s">
        <v>49</v>
      </c>
      <c r="B410" s="23" t="s">
        <v>22</v>
      </c>
      <c r="C410" s="23" t="s">
        <v>73</v>
      </c>
      <c r="D410" s="23" t="str">
        <f t="shared" si="7"/>
        <v>Autoimmune</v>
      </c>
      <c r="E410" s="32" t="s">
        <v>1020</v>
      </c>
      <c r="F410" s="23" t="s">
        <v>1029</v>
      </c>
      <c r="G410" s="69" t="s">
        <v>52</v>
      </c>
      <c r="H410" s="33">
        <v>128460000</v>
      </c>
      <c r="I410" s="23">
        <v>4027727</v>
      </c>
      <c r="J410" s="22"/>
      <c r="K410" s="23"/>
      <c r="L410" s="23"/>
      <c r="M410" s="23"/>
      <c r="N410" s="22"/>
      <c r="O410" s="23"/>
      <c r="P410" s="23"/>
      <c r="Q410" s="23"/>
      <c r="R410" s="4"/>
      <c r="S410" s="23">
        <v>0</v>
      </c>
      <c r="T410" s="23">
        <v>0</v>
      </c>
      <c r="U410" s="23">
        <v>0</v>
      </c>
      <c r="V410" s="5">
        <v>0</v>
      </c>
      <c r="W410" s="39"/>
      <c r="X410" s="22"/>
      <c r="Y410" s="41"/>
    </row>
    <row r="411" spans="1:25" ht="13.95" customHeight="1">
      <c r="A411" s="23" t="s">
        <v>49</v>
      </c>
      <c r="B411" s="23" t="s">
        <v>22</v>
      </c>
      <c r="C411" s="23" t="s">
        <v>73</v>
      </c>
      <c r="D411" s="23" t="str">
        <f t="shared" si="7"/>
        <v>Autoimmune</v>
      </c>
      <c r="E411" s="32" t="s">
        <v>1020</v>
      </c>
      <c r="F411" s="23" t="s">
        <v>1030</v>
      </c>
      <c r="G411" s="69" t="s">
        <v>52</v>
      </c>
      <c r="H411" s="33">
        <v>426373005</v>
      </c>
      <c r="I411" s="23">
        <v>4145049</v>
      </c>
      <c r="J411" s="22"/>
      <c r="K411" s="23"/>
      <c r="L411" s="23"/>
      <c r="M411" s="23"/>
      <c r="N411" s="22"/>
      <c r="O411" s="23"/>
      <c r="P411" s="23"/>
      <c r="Q411" s="23"/>
      <c r="R411" s="4"/>
      <c r="S411" s="23">
        <v>0</v>
      </c>
      <c r="T411" s="23">
        <v>0</v>
      </c>
      <c r="U411" s="23">
        <v>0</v>
      </c>
      <c r="V411" s="5">
        <v>0</v>
      </c>
      <c r="W411" s="39"/>
      <c r="X411" s="22"/>
      <c r="Y411" s="41"/>
    </row>
    <row r="412" spans="1:25" ht="13.95" customHeight="1">
      <c r="A412" s="23" t="s">
        <v>49</v>
      </c>
      <c r="B412" s="23" t="s">
        <v>22</v>
      </c>
      <c r="C412" s="23" t="s">
        <v>73</v>
      </c>
      <c r="D412" s="23" t="str">
        <f t="shared" si="7"/>
        <v>Autoimmune</v>
      </c>
      <c r="E412" s="32" t="s">
        <v>1020</v>
      </c>
      <c r="F412" s="23" t="s">
        <v>1031</v>
      </c>
      <c r="G412" s="69" t="s">
        <v>52</v>
      </c>
      <c r="H412" s="33">
        <v>428700003</v>
      </c>
      <c r="I412" s="23">
        <v>4178929</v>
      </c>
      <c r="J412" s="22"/>
      <c r="K412" s="23"/>
      <c r="L412" s="23"/>
      <c r="M412" s="23"/>
      <c r="N412" s="22"/>
      <c r="O412" s="23"/>
      <c r="P412" s="23"/>
      <c r="Q412" s="23"/>
      <c r="R412" s="4"/>
      <c r="S412" s="23">
        <v>0</v>
      </c>
      <c r="T412" s="23">
        <v>0</v>
      </c>
      <c r="U412" s="23">
        <v>0</v>
      </c>
      <c r="V412" s="5">
        <v>0</v>
      </c>
      <c r="W412" s="39"/>
      <c r="X412" s="22"/>
      <c r="Y412" s="41"/>
    </row>
    <row r="413" spans="1:25" ht="13.95" customHeight="1">
      <c r="A413" s="23" t="s">
        <v>49</v>
      </c>
      <c r="B413" s="23" t="s">
        <v>22</v>
      </c>
      <c r="C413" s="23" t="s">
        <v>73</v>
      </c>
      <c r="D413" s="23" t="str">
        <f t="shared" si="7"/>
        <v>Autoimmune</v>
      </c>
      <c r="E413" s="32" t="s">
        <v>1032</v>
      </c>
      <c r="F413" s="23" t="s">
        <v>1033</v>
      </c>
      <c r="G413" s="69" t="s">
        <v>34</v>
      </c>
      <c r="H413" s="33">
        <v>91637004</v>
      </c>
      <c r="I413" s="23"/>
      <c r="J413" s="23"/>
      <c r="K413" s="23"/>
      <c r="L413" s="23"/>
      <c r="M413" s="23"/>
      <c r="N413" s="22"/>
      <c r="O413" s="23"/>
      <c r="P413" s="23"/>
      <c r="Q413" s="23"/>
      <c r="R413" s="4"/>
      <c r="S413" s="23">
        <v>0</v>
      </c>
      <c r="T413" s="23">
        <v>0</v>
      </c>
      <c r="U413" s="23">
        <v>0</v>
      </c>
      <c r="V413" s="5">
        <v>0</v>
      </c>
      <c r="W413" s="39"/>
      <c r="X413" s="22"/>
      <c r="Y413" s="41"/>
    </row>
    <row r="414" spans="1:25" ht="13.95" customHeight="1">
      <c r="A414" s="23" t="s">
        <v>49</v>
      </c>
      <c r="B414" s="23" t="s">
        <v>22</v>
      </c>
      <c r="C414" s="23" t="s">
        <v>73</v>
      </c>
      <c r="D414" s="23" t="str">
        <f t="shared" si="7"/>
        <v>Autoimmune</v>
      </c>
      <c r="E414" s="51" t="s">
        <v>1032</v>
      </c>
      <c r="F414" s="21" t="s">
        <v>1032</v>
      </c>
      <c r="G414" s="69" t="s">
        <v>25</v>
      </c>
      <c r="H414" s="33">
        <v>91637004</v>
      </c>
      <c r="I414" s="21">
        <v>76685</v>
      </c>
      <c r="J414" s="22" t="s">
        <v>1034</v>
      </c>
      <c r="K414" s="2" t="s">
        <v>1035</v>
      </c>
      <c r="L414" s="2" t="s">
        <v>1036</v>
      </c>
      <c r="M414" s="9" t="s">
        <v>78</v>
      </c>
      <c r="N414" s="22" t="s">
        <v>1040</v>
      </c>
      <c r="O414" s="23" t="s">
        <v>1037</v>
      </c>
      <c r="P414" s="23">
        <v>15</v>
      </c>
      <c r="Q414" s="23">
        <v>20</v>
      </c>
      <c r="R414" s="4">
        <v>100000</v>
      </c>
      <c r="S414" s="4">
        <f>+(P414/R414)*[1]Population!$C$2</f>
        <v>49994.999999999993</v>
      </c>
      <c r="T414" s="4">
        <f>IF(ISBLANK(Q414),S414,+(Q414/R414)*[1]Population!$C$2)</f>
        <v>66660</v>
      </c>
      <c r="U414" s="1">
        <f>+AVERAGE(S414:T414)</f>
        <v>58327.5</v>
      </c>
      <c r="V414" s="5">
        <f>+(U414/[1]Population!$C$2)*100000</f>
        <v>17.5</v>
      </c>
      <c r="W414" s="23" t="s">
        <v>1038</v>
      </c>
      <c r="X414" s="54" t="s">
        <v>1039</v>
      </c>
      <c r="Y414" s="40"/>
    </row>
    <row r="415" spans="1:25" ht="13.95" customHeight="1">
      <c r="A415" s="23" t="s">
        <v>49</v>
      </c>
      <c r="B415" s="23" t="s">
        <v>22</v>
      </c>
      <c r="C415" s="23" t="s">
        <v>73</v>
      </c>
      <c r="D415" s="23" t="str">
        <f t="shared" si="7"/>
        <v>Autoimmune</v>
      </c>
      <c r="E415" s="32" t="s">
        <v>1032</v>
      </c>
      <c r="F415" s="23" t="s">
        <v>1041</v>
      </c>
      <c r="G415" s="69" t="s">
        <v>36</v>
      </c>
      <c r="H415" s="33">
        <v>91637004</v>
      </c>
      <c r="I415" s="23"/>
      <c r="J415" s="23"/>
      <c r="K415" s="23"/>
      <c r="L415" s="23"/>
      <c r="M415" s="23"/>
      <c r="N415" s="22"/>
      <c r="O415" s="23"/>
      <c r="P415" s="23"/>
      <c r="Q415" s="23"/>
      <c r="R415" s="4"/>
      <c r="S415" s="23">
        <v>0</v>
      </c>
      <c r="T415" s="23">
        <v>0</v>
      </c>
      <c r="U415" s="23">
        <v>0</v>
      </c>
      <c r="V415" s="5">
        <v>0</v>
      </c>
      <c r="W415" s="39"/>
      <c r="X415" s="22"/>
      <c r="Y415" s="41"/>
    </row>
    <row r="416" spans="1:25" ht="13.95" customHeight="1">
      <c r="A416" s="23" t="s">
        <v>49</v>
      </c>
      <c r="B416" s="23" t="s">
        <v>22</v>
      </c>
      <c r="C416" s="23" t="s">
        <v>73</v>
      </c>
      <c r="D416" s="23" t="str">
        <f t="shared" si="7"/>
        <v>Autoimmune</v>
      </c>
      <c r="E416" s="32" t="s">
        <v>1032</v>
      </c>
      <c r="F416" s="23" t="s">
        <v>1042</v>
      </c>
      <c r="G416" s="69" t="s">
        <v>36</v>
      </c>
      <c r="H416" s="33">
        <v>91637004</v>
      </c>
      <c r="I416" s="23"/>
      <c r="J416" s="23"/>
      <c r="K416" s="23"/>
      <c r="L416" s="23"/>
      <c r="M416" s="23"/>
      <c r="N416" s="22"/>
      <c r="O416" s="23"/>
      <c r="P416" s="23"/>
      <c r="Q416" s="23"/>
      <c r="R416" s="4"/>
      <c r="S416" s="23">
        <v>0</v>
      </c>
      <c r="T416" s="23">
        <v>0</v>
      </c>
      <c r="U416" s="23">
        <v>0</v>
      </c>
      <c r="V416" s="5">
        <v>0</v>
      </c>
      <c r="W416" s="39"/>
      <c r="X416" s="22"/>
      <c r="Y416" s="41"/>
    </row>
    <row r="417" spans="1:25" ht="13.95" customHeight="1">
      <c r="A417" s="23" t="s">
        <v>49</v>
      </c>
      <c r="B417" s="23" t="s">
        <v>22</v>
      </c>
      <c r="C417" s="23" t="s">
        <v>23</v>
      </c>
      <c r="D417" s="23" t="str">
        <f t="shared" si="7"/>
        <v>Autoimmune</v>
      </c>
      <c r="E417" s="32" t="s">
        <v>1043</v>
      </c>
      <c r="F417" s="23" t="s">
        <v>1044</v>
      </c>
      <c r="G417" s="69" t="s">
        <v>36</v>
      </c>
      <c r="H417" s="33">
        <v>718213001</v>
      </c>
      <c r="I417" s="23">
        <v>37397549</v>
      </c>
      <c r="J417" s="22"/>
      <c r="K417" s="2" t="s">
        <v>1045</v>
      </c>
      <c r="L417" s="2" t="s">
        <v>1046</v>
      </c>
      <c r="M417" s="3" t="s">
        <v>78</v>
      </c>
      <c r="N417" s="22"/>
      <c r="O417" s="1"/>
      <c r="P417" s="23"/>
      <c r="Q417" s="23"/>
      <c r="R417" s="4"/>
      <c r="S417" s="23">
        <v>0</v>
      </c>
      <c r="T417" s="23">
        <v>0</v>
      </c>
      <c r="U417" s="23">
        <v>0</v>
      </c>
      <c r="V417" s="5">
        <v>0</v>
      </c>
      <c r="W417" s="23"/>
      <c r="X417" s="22"/>
      <c r="Y417" s="41"/>
    </row>
    <row r="418" spans="1:25" ht="13.95" customHeight="1">
      <c r="A418" s="23" t="s">
        <v>49</v>
      </c>
      <c r="B418" s="23" t="s">
        <v>22</v>
      </c>
      <c r="C418" s="23" t="s">
        <v>23</v>
      </c>
      <c r="D418" s="23" t="str">
        <f t="shared" si="7"/>
        <v>Autoimmune</v>
      </c>
      <c r="E418" s="32" t="s">
        <v>1043</v>
      </c>
      <c r="F418" s="23" t="s">
        <v>1047</v>
      </c>
      <c r="G418" s="69" t="s">
        <v>34</v>
      </c>
      <c r="H418" s="33" t="s">
        <v>1048</v>
      </c>
      <c r="I418" s="23"/>
      <c r="J418" s="23"/>
      <c r="K418" s="23"/>
      <c r="L418" s="23"/>
      <c r="M418" s="23"/>
      <c r="N418" s="22"/>
      <c r="O418" s="23"/>
      <c r="P418" s="23"/>
      <c r="Q418" s="23"/>
      <c r="R418" s="4"/>
      <c r="S418" s="23">
        <v>0</v>
      </c>
      <c r="T418" s="23">
        <v>0</v>
      </c>
      <c r="U418" s="23">
        <v>0</v>
      </c>
      <c r="V418" s="5">
        <v>0</v>
      </c>
      <c r="W418" s="39"/>
      <c r="X418" s="22"/>
      <c r="Y418" s="41"/>
    </row>
    <row r="419" spans="1:25" ht="13.95" customHeight="1">
      <c r="A419" s="23" t="s">
        <v>49</v>
      </c>
      <c r="B419" s="23" t="s">
        <v>22</v>
      </c>
      <c r="C419" s="23" t="s">
        <v>23</v>
      </c>
      <c r="D419" s="23" t="str">
        <f t="shared" si="7"/>
        <v>Autoimmune</v>
      </c>
      <c r="E419" s="32" t="s">
        <v>1043</v>
      </c>
      <c r="F419" s="23" t="s">
        <v>1043</v>
      </c>
      <c r="G419" s="69" t="s">
        <v>25</v>
      </c>
      <c r="H419" s="33" t="s">
        <v>1048</v>
      </c>
      <c r="I419" s="23">
        <v>37164973</v>
      </c>
      <c r="J419" s="22" t="s">
        <v>1049</v>
      </c>
      <c r="K419" s="2" t="s">
        <v>1045</v>
      </c>
      <c r="L419" s="2" t="s">
        <v>1046</v>
      </c>
      <c r="M419" s="3" t="s">
        <v>78</v>
      </c>
      <c r="N419" s="22" t="s">
        <v>1052</v>
      </c>
      <c r="O419" s="23" t="s">
        <v>1050</v>
      </c>
      <c r="P419" s="23">
        <v>1.6</v>
      </c>
      <c r="Q419" s="23">
        <v>3.42</v>
      </c>
      <c r="R419" s="4">
        <v>100000</v>
      </c>
      <c r="S419" s="4">
        <f>+(P419/R419)*[1]Population!$C$2</f>
        <v>5332.8</v>
      </c>
      <c r="T419" s="4">
        <f>IF(ISBLANK(Q419),S419,+(Q419/R419)*[1]Population!$C$2)</f>
        <v>11398.859999999999</v>
      </c>
      <c r="U419" s="1">
        <f>+AVERAGE(S419:T419)</f>
        <v>8365.83</v>
      </c>
      <c r="V419" s="5">
        <f>+(U419/[1]Population!$C$2)*100000</f>
        <v>2.5100000000000002</v>
      </c>
      <c r="W419" s="23"/>
      <c r="X419" s="22" t="s">
        <v>1051</v>
      </c>
      <c r="Y419" s="41"/>
    </row>
    <row r="420" spans="1:25" ht="13.95" customHeight="1">
      <c r="A420" s="23" t="s">
        <v>49</v>
      </c>
      <c r="B420" s="23" t="s">
        <v>22</v>
      </c>
      <c r="C420" s="23" t="s">
        <v>23</v>
      </c>
      <c r="D420" s="23" t="str">
        <f t="shared" si="7"/>
        <v>Autoimmune</v>
      </c>
      <c r="E420" s="32" t="s">
        <v>1043</v>
      </c>
      <c r="F420" s="23" t="s">
        <v>1053</v>
      </c>
      <c r="G420" s="69" t="s">
        <v>36</v>
      </c>
      <c r="H420" s="33" t="s">
        <v>1048</v>
      </c>
      <c r="I420" s="23"/>
      <c r="J420" s="23"/>
      <c r="K420" s="23"/>
      <c r="L420" s="23"/>
      <c r="M420" s="23"/>
      <c r="N420" s="22"/>
      <c r="O420" s="23"/>
      <c r="P420" s="23"/>
      <c r="Q420" s="23"/>
      <c r="R420" s="4"/>
      <c r="S420" s="23">
        <v>0</v>
      </c>
      <c r="T420" s="23">
        <v>0</v>
      </c>
      <c r="U420" s="23">
        <v>0</v>
      </c>
      <c r="V420" s="5">
        <v>0</v>
      </c>
      <c r="W420" s="39"/>
      <c r="X420" s="22"/>
      <c r="Y420" s="41"/>
    </row>
    <row r="421" spans="1:25" ht="13.95" customHeight="1">
      <c r="A421" s="23" t="s">
        <v>49</v>
      </c>
      <c r="B421" s="23" t="s">
        <v>22</v>
      </c>
      <c r="C421" s="23" t="s">
        <v>23</v>
      </c>
      <c r="D421" s="23" t="str">
        <f t="shared" si="7"/>
        <v>Autoimmune</v>
      </c>
      <c r="E421" s="32" t="s">
        <v>1043</v>
      </c>
      <c r="F421" s="23" t="s">
        <v>1054</v>
      </c>
      <c r="G421" s="69" t="s">
        <v>36</v>
      </c>
      <c r="H421" s="33" t="s">
        <v>1048</v>
      </c>
      <c r="I421" s="23"/>
      <c r="J421" s="23"/>
      <c r="K421" s="23"/>
      <c r="L421" s="23"/>
      <c r="M421" s="23"/>
      <c r="N421" s="22"/>
      <c r="O421" s="23"/>
      <c r="P421" s="23"/>
      <c r="Q421" s="23"/>
      <c r="R421" s="4"/>
      <c r="S421" s="23">
        <v>0</v>
      </c>
      <c r="T421" s="23">
        <v>0</v>
      </c>
      <c r="U421" s="23">
        <v>0</v>
      </c>
      <c r="V421" s="5">
        <v>0</v>
      </c>
      <c r="W421" s="39"/>
      <c r="X421" s="22"/>
      <c r="Y421" s="41"/>
    </row>
    <row r="422" spans="1:25" ht="13.95" customHeight="1">
      <c r="A422" s="23" t="s">
        <v>49</v>
      </c>
      <c r="B422" s="23" t="s">
        <v>22</v>
      </c>
      <c r="C422" s="23" t="s">
        <v>23</v>
      </c>
      <c r="D422" s="23" t="str">
        <f t="shared" si="7"/>
        <v>Autoimmune</v>
      </c>
      <c r="E422" s="32" t="s">
        <v>1043</v>
      </c>
      <c r="F422" s="23" t="s">
        <v>1055</v>
      </c>
      <c r="G422" s="69" t="s">
        <v>36</v>
      </c>
      <c r="H422" s="33" t="s">
        <v>1048</v>
      </c>
      <c r="I422" s="23"/>
      <c r="J422" s="22"/>
      <c r="K422" s="2"/>
      <c r="L422" s="2"/>
      <c r="M422" s="3"/>
      <c r="N422" s="22"/>
      <c r="O422" s="1"/>
      <c r="P422" s="23"/>
      <c r="Q422" s="23"/>
      <c r="R422" s="4"/>
      <c r="S422" s="23">
        <v>0</v>
      </c>
      <c r="T422" s="23">
        <v>0</v>
      </c>
      <c r="U422" s="23">
        <v>0</v>
      </c>
      <c r="V422" s="5">
        <v>0</v>
      </c>
      <c r="W422" s="23"/>
      <c r="X422" s="22"/>
      <c r="Y422" s="41"/>
    </row>
    <row r="423" spans="1:25" ht="13.95" customHeight="1">
      <c r="A423" s="23" t="s">
        <v>49</v>
      </c>
      <c r="B423" s="23" t="s">
        <v>22</v>
      </c>
      <c r="C423" s="23" t="s">
        <v>23</v>
      </c>
      <c r="D423" s="23" t="str">
        <f t="shared" si="7"/>
        <v>Autoimmune</v>
      </c>
      <c r="E423" s="32" t="s">
        <v>1043</v>
      </c>
      <c r="F423" s="23" t="s">
        <v>1056</v>
      </c>
      <c r="G423" s="69" t="s">
        <v>36</v>
      </c>
      <c r="H423" s="33" t="s">
        <v>1048</v>
      </c>
      <c r="I423" s="23"/>
      <c r="J423" s="22"/>
      <c r="K423" s="2"/>
      <c r="L423" s="2"/>
      <c r="M423" s="3"/>
      <c r="N423" s="22"/>
      <c r="O423" s="1"/>
      <c r="P423" s="23"/>
      <c r="Q423" s="23"/>
      <c r="R423" s="4"/>
      <c r="S423" s="23">
        <v>0</v>
      </c>
      <c r="T423" s="23">
        <v>0</v>
      </c>
      <c r="U423" s="23">
        <v>0</v>
      </c>
      <c r="V423" s="5">
        <v>0</v>
      </c>
      <c r="W423" s="23"/>
      <c r="X423" s="22"/>
      <c r="Y423" s="41"/>
    </row>
    <row r="424" spans="1:25" ht="13.95" customHeight="1">
      <c r="A424" s="23" t="s">
        <v>1057</v>
      </c>
      <c r="B424" s="23" t="s">
        <v>22</v>
      </c>
      <c r="C424" s="23" t="s">
        <v>23</v>
      </c>
      <c r="D424" s="23" t="str">
        <f t="shared" si="7"/>
        <v>Autoimmune</v>
      </c>
      <c r="E424" s="42" t="s">
        <v>1058</v>
      </c>
      <c r="F424" s="23" t="s">
        <v>1059</v>
      </c>
      <c r="G424" s="69" t="s">
        <v>36</v>
      </c>
      <c r="H424" s="33">
        <v>37217002</v>
      </c>
      <c r="I424" s="23"/>
      <c r="J424" s="23"/>
      <c r="K424" s="23"/>
      <c r="L424" s="23"/>
      <c r="M424" s="23"/>
      <c r="N424" s="22"/>
      <c r="O424" s="23"/>
      <c r="P424" s="23"/>
      <c r="Q424" s="23"/>
      <c r="R424" s="4"/>
      <c r="S424" s="23">
        <v>0</v>
      </c>
      <c r="T424" s="23">
        <v>0</v>
      </c>
      <c r="U424" s="23">
        <v>0</v>
      </c>
      <c r="V424" s="5">
        <v>0</v>
      </c>
      <c r="W424" s="39"/>
      <c r="X424" s="22"/>
      <c r="Y424" s="41"/>
    </row>
    <row r="425" spans="1:25" ht="13.95" customHeight="1">
      <c r="A425" s="23" t="s">
        <v>1057</v>
      </c>
      <c r="B425" s="23" t="s">
        <v>22</v>
      </c>
      <c r="C425" s="23" t="s">
        <v>23</v>
      </c>
      <c r="D425" s="23" t="str">
        <f t="shared" si="7"/>
        <v>Autoimmune</v>
      </c>
      <c r="E425" s="42" t="s">
        <v>1058</v>
      </c>
      <c r="F425" s="22" t="s">
        <v>1058</v>
      </c>
      <c r="G425" s="69" t="s">
        <v>25</v>
      </c>
      <c r="H425" s="33">
        <v>871640001</v>
      </c>
      <c r="I425" s="23">
        <v>321578</v>
      </c>
      <c r="J425" s="22" t="s">
        <v>1060</v>
      </c>
      <c r="K425" s="23"/>
      <c r="L425" s="23"/>
      <c r="M425" s="23"/>
      <c r="N425" s="22"/>
      <c r="O425" s="23"/>
      <c r="P425" s="23"/>
      <c r="Q425" s="23"/>
      <c r="R425" s="4"/>
      <c r="S425" s="23">
        <v>0</v>
      </c>
      <c r="T425" s="23">
        <v>0</v>
      </c>
      <c r="U425" s="23">
        <v>0</v>
      </c>
      <c r="V425" s="5">
        <v>0</v>
      </c>
      <c r="W425" s="39"/>
      <c r="X425" s="22"/>
      <c r="Y425" s="41"/>
    </row>
    <row r="426" spans="1:25" ht="13.95" customHeight="1">
      <c r="A426" s="23" t="s">
        <v>1057</v>
      </c>
      <c r="B426" s="23" t="s">
        <v>22</v>
      </c>
      <c r="C426" s="23" t="s">
        <v>23</v>
      </c>
      <c r="D426" s="23" t="str">
        <f t="shared" si="7"/>
        <v>Autoimmune</v>
      </c>
      <c r="E426" s="42" t="s">
        <v>1058</v>
      </c>
      <c r="F426" s="23" t="s">
        <v>1061</v>
      </c>
      <c r="G426" s="69" t="s">
        <v>36</v>
      </c>
      <c r="H426" s="33">
        <v>871640001</v>
      </c>
      <c r="I426" s="23"/>
      <c r="J426" s="23"/>
      <c r="K426" s="23"/>
      <c r="L426" s="23"/>
      <c r="M426" s="23"/>
      <c r="N426" s="22"/>
      <c r="O426" s="23"/>
      <c r="P426" s="23"/>
      <c r="Q426" s="23"/>
      <c r="R426" s="4"/>
      <c r="S426" s="23">
        <v>0</v>
      </c>
      <c r="T426" s="23">
        <v>0</v>
      </c>
      <c r="U426" s="23">
        <v>0</v>
      </c>
      <c r="V426" s="5">
        <v>0</v>
      </c>
      <c r="W426" s="39"/>
      <c r="X426" s="22"/>
      <c r="Y426" s="41"/>
    </row>
    <row r="427" spans="1:25" ht="13.95" customHeight="1">
      <c r="A427" s="23" t="s">
        <v>1057</v>
      </c>
      <c r="B427" s="23" t="s">
        <v>22</v>
      </c>
      <c r="C427" s="23" t="s">
        <v>23</v>
      </c>
      <c r="D427" s="23" t="str">
        <f t="shared" si="7"/>
        <v>Autoimmune</v>
      </c>
      <c r="E427" s="32" t="s">
        <v>1058</v>
      </c>
      <c r="F427" s="23" t="s">
        <v>1062</v>
      </c>
      <c r="G427" s="69" t="s">
        <v>36</v>
      </c>
      <c r="H427" s="33">
        <v>871640001</v>
      </c>
      <c r="I427" s="53">
        <v>3656114</v>
      </c>
      <c r="J427" s="22" t="s">
        <v>1063</v>
      </c>
      <c r="K427" s="2" t="s">
        <v>1064</v>
      </c>
      <c r="L427" s="2" t="s">
        <v>1065</v>
      </c>
      <c r="M427" s="23" t="s">
        <v>78</v>
      </c>
      <c r="N427" s="22" t="s">
        <v>1069</v>
      </c>
      <c r="O427" s="4" t="s">
        <v>1066</v>
      </c>
      <c r="P427" s="23">
        <v>21</v>
      </c>
      <c r="Q427" s="23">
        <v>26</v>
      </c>
      <c r="R427" s="4">
        <v>100000</v>
      </c>
      <c r="S427" s="4">
        <f>+(P427/R427)*[1]Population!$C$2</f>
        <v>69993</v>
      </c>
      <c r="T427" s="4">
        <f>IF(ISBLANK(Q427),S427,+(Q427/R427)*[1]Population!$C$2)</f>
        <v>86657.999999999985</v>
      </c>
      <c r="U427" s="1">
        <f>+AVERAGE(S427:T427)</f>
        <v>78325.5</v>
      </c>
      <c r="V427" s="5">
        <f>+(U427/[1]Population!$C$2)*100000</f>
        <v>23.5</v>
      </c>
      <c r="W427" s="23" t="s">
        <v>1067</v>
      </c>
      <c r="X427" s="22" t="s">
        <v>1068</v>
      </c>
      <c r="Y427" s="40"/>
    </row>
    <row r="428" spans="1:25" ht="13.95" customHeight="1">
      <c r="A428" s="23" t="s">
        <v>146</v>
      </c>
      <c r="B428" s="23" t="s">
        <v>22</v>
      </c>
      <c r="C428" s="23" t="s">
        <v>73</v>
      </c>
      <c r="D428" s="23" t="str">
        <f t="shared" si="7"/>
        <v>Autoimmune</v>
      </c>
      <c r="E428" s="32" t="s">
        <v>1070</v>
      </c>
      <c r="F428" s="23" t="s">
        <v>1070</v>
      </c>
      <c r="G428" s="69" t="s">
        <v>25</v>
      </c>
      <c r="H428" s="33">
        <v>26889001</v>
      </c>
      <c r="I428" s="23">
        <v>73001</v>
      </c>
      <c r="J428" s="22" t="s">
        <v>1071</v>
      </c>
      <c r="K428" s="2" t="s">
        <v>1072</v>
      </c>
      <c r="L428" s="2" t="s">
        <v>1073</v>
      </c>
      <c r="M428" s="9" t="s">
        <v>78</v>
      </c>
      <c r="N428" s="22" t="s">
        <v>1075</v>
      </c>
      <c r="O428" s="4"/>
      <c r="P428" s="23">
        <v>12.84</v>
      </c>
      <c r="Q428" s="23">
        <v>15.46</v>
      </c>
      <c r="R428" s="4">
        <v>100000</v>
      </c>
      <c r="S428" s="4">
        <f>+(P428/R428)*[1]Population!$C$2</f>
        <v>42795.72</v>
      </c>
      <c r="T428" s="4">
        <f>IF(ISBLANK(Q428),S428,+(Q428/R428)*[1]Population!$C$2)</f>
        <v>51528.180000000008</v>
      </c>
      <c r="U428" s="1">
        <f>+AVERAGE(S428:T428)</f>
        <v>47161.950000000004</v>
      </c>
      <c r="V428" s="5">
        <f>+(U428/[1]Population!$C$2)*100000</f>
        <v>14.150000000000002</v>
      </c>
      <c r="W428" s="23"/>
      <c r="X428" s="54" t="s">
        <v>1074</v>
      </c>
      <c r="Y428" s="41"/>
    </row>
    <row r="429" spans="1:25" ht="13.95" customHeight="1">
      <c r="A429" s="23" t="s">
        <v>146</v>
      </c>
      <c r="B429" s="23" t="s">
        <v>22</v>
      </c>
      <c r="C429" s="23" t="s">
        <v>73</v>
      </c>
      <c r="D429" s="23" t="str">
        <f t="shared" si="7"/>
        <v>Autoimmune</v>
      </c>
      <c r="E429" s="32" t="s">
        <v>1070</v>
      </c>
      <c r="F429" s="23" t="s">
        <v>1076</v>
      </c>
      <c r="G429" s="69" t="s">
        <v>36</v>
      </c>
      <c r="H429" s="33">
        <v>26889001</v>
      </c>
      <c r="I429" s="23"/>
      <c r="J429" s="23"/>
      <c r="K429" s="23"/>
      <c r="L429" s="23"/>
      <c r="M429" s="23"/>
      <c r="N429" s="22"/>
      <c r="O429" s="23"/>
      <c r="P429" s="23"/>
      <c r="Q429" s="23"/>
      <c r="R429" s="4"/>
      <c r="S429" s="23">
        <v>0</v>
      </c>
      <c r="T429" s="23">
        <v>0</v>
      </c>
      <c r="U429" s="23">
        <v>0</v>
      </c>
      <c r="V429" s="5">
        <v>0</v>
      </c>
      <c r="W429" s="39"/>
      <c r="X429" s="22"/>
      <c r="Y429" s="41"/>
    </row>
    <row r="430" spans="1:25" ht="13.95" customHeight="1">
      <c r="A430" s="23" t="s">
        <v>146</v>
      </c>
      <c r="B430" s="23" t="s">
        <v>22</v>
      </c>
      <c r="C430" s="23" t="s">
        <v>73</v>
      </c>
      <c r="D430" s="23" t="str">
        <f t="shared" si="7"/>
        <v>Autoimmune</v>
      </c>
      <c r="E430" s="32" t="s">
        <v>1070</v>
      </c>
      <c r="F430" s="23" t="s">
        <v>1077</v>
      </c>
      <c r="G430" s="69" t="s">
        <v>36</v>
      </c>
      <c r="H430" s="33">
        <v>702380008</v>
      </c>
      <c r="I430" s="23"/>
      <c r="J430" s="23"/>
      <c r="K430" s="23"/>
      <c r="L430" s="23"/>
      <c r="M430" s="23"/>
      <c r="N430" s="22"/>
      <c r="O430" s="23"/>
      <c r="P430" s="23"/>
      <c r="Q430" s="23"/>
      <c r="R430" s="4"/>
      <c r="S430" s="23">
        <v>0</v>
      </c>
      <c r="T430" s="23">
        <v>0</v>
      </c>
      <c r="U430" s="23">
        <v>0</v>
      </c>
      <c r="V430" s="5">
        <v>0</v>
      </c>
      <c r="W430" s="39"/>
      <c r="X430" s="22"/>
      <c r="Y430" s="41"/>
    </row>
    <row r="431" spans="1:25" ht="13.95" customHeight="1">
      <c r="A431" s="23" t="s">
        <v>146</v>
      </c>
      <c r="B431" s="23" t="s">
        <v>22</v>
      </c>
      <c r="C431" s="23" t="s">
        <v>73</v>
      </c>
      <c r="D431" s="23" t="str">
        <f t="shared" si="7"/>
        <v>Autoimmune</v>
      </c>
      <c r="E431" s="32" t="s">
        <v>1070</v>
      </c>
      <c r="F431" s="23" t="s">
        <v>1078</v>
      </c>
      <c r="G431" s="69" t="s">
        <v>52</v>
      </c>
      <c r="H431" s="33">
        <v>702380008</v>
      </c>
      <c r="I431" s="23">
        <v>45765443</v>
      </c>
      <c r="J431" s="22"/>
      <c r="K431" s="23"/>
      <c r="L431" s="23"/>
      <c r="M431" s="23"/>
      <c r="N431" s="22"/>
      <c r="O431" s="23"/>
      <c r="P431" s="23"/>
      <c r="Q431" s="23"/>
      <c r="R431" s="4"/>
      <c r="S431" s="23">
        <v>0</v>
      </c>
      <c r="T431" s="23">
        <v>0</v>
      </c>
      <c r="U431" s="23">
        <v>0</v>
      </c>
      <c r="V431" s="5">
        <v>0</v>
      </c>
      <c r="W431" s="39"/>
      <c r="X431" s="22"/>
      <c r="Y431" s="41"/>
    </row>
    <row r="432" spans="1:25" ht="13.95" customHeight="1">
      <c r="A432" s="23" t="s">
        <v>146</v>
      </c>
      <c r="B432" s="23" t="s">
        <v>22</v>
      </c>
      <c r="C432" s="23" t="s">
        <v>73</v>
      </c>
      <c r="D432" s="23" t="str">
        <f t="shared" si="7"/>
        <v>Autoimmune</v>
      </c>
      <c r="E432" s="32" t="s">
        <v>1070</v>
      </c>
      <c r="F432" s="23" t="s">
        <v>1079</v>
      </c>
      <c r="G432" s="69" t="s">
        <v>52</v>
      </c>
      <c r="H432" s="33">
        <v>715863001</v>
      </c>
      <c r="I432" s="23">
        <v>37396156</v>
      </c>
      <c r="J432" s="22"/>
      <c r="K432" s="23"/>
      <c r="L432" s="23"/>
      <c r="M432" s="23"/>
      <c r="N432" s="22"/>
      <c r="O432" s="23"/>
      <c r="P432" s="23"/>
      <c r="Q432" s="23"/>
      <c r="R432" s="4"/>
      <c r="S432" s="23">
        <v>0</v>
      </c>
      <c r="T432" s="23">
        <v>0</v>
      </c>
      <c r="U432" s="23">
        <v>0</v>
      </c>
      <c r="V432" s="5">
        <v>0</v>
      </c>
      <c r="W432" s="39"/>
      <c r="X432" s="22"/>
      <c r="Y432" s="41"/>
    </row>
    <row r="433" spans="1:25" ht="13.95" customHeight="1">
      <c r="A433" s="23" t="s">
        <v>146</v>
      </c>
      <c r="B433" s="23" t="s">
        <v>22</v>
      </c>
      <c r="C433" s="23" t="s">
        <v>73</v>
      </c>
      <c r="D433" s="23" t="str">
        <f t="shared" si="7"/>
        <v>Autoimmune</v>
      </c>
      <c r="E433" s="32" t="s">
        <v>1070</v>
      </c>
      <c r="F433" s="23" t="s">
        <v>1080</v>
      </c>
      <c r="G433" s="69" t="s">
        <v>52</v>
      </c>
      <c r="H433" s="33">
        <v>722991004</v>
      </c>
      <c r="I433" s="23">
        <v>36716807</v>
      </c>
      <c r="J433" s="22"/>
      <c r="K433" s="23"/>
      <c r="L433" s="23"/>
      <c r="M433" s="23"/>
      <c r="N433" s="22"/>
      <c r="O433" s="23"/>
      <c r="P433" s="23"/>
      <c r="Q433" s="23"/>
      <c r="R433" s="4"/>
      <c r="S433" s="23">
        <v>0</v>
      </c>
      <c r="T433" s="23">
        <v>0</v>
      </c>
      <c r="U433" s="23">
        <v>0</v>
      </c>
      <c r="V433" s="5">
        <v>0</v>
      </c>
      <c r="W433" s="39"/>
      <c r="X433" s="22"/>
      <c r="Y433" s="41"/>
    </row>
    <row r="434" spans="1:25" ht="13.95" customHeight="1">
      <c r="A434" s="23" t="s">
        <v>72</v>
      </c>
      <c r="B434" s="23" t="s">
        <v>238</v>
      </c>
      <c r="C434" s="23" t="s">
        <v>73</v>
      </c>
      <c r="D434" s="23" t="str">
        <f t="shared" si="7"/>
        <v>Autoimmune</v>
      </c>
      <c r="E434" s="32" t="s">
        <v>1081</v>
      </c>
      <c r="F434" s="23" t="s">
        <v>1081</v>
      </c>
      <c r="G434" s="69" t="s">
        <v>25</v>
      </c>
      <c r="H434" s="33" t="s">
        <v>1082</v>
      </c>
      <c r="I434" s="23">
        <v>4039691</v>
      </c>
      <c r="J434" s="22" t="s">
        <v>1083</v>
      </c>
      <c r="K434" s="2" t="s">
        <v>1084</v>
      </c>
      <c r="L434" s="2" t="s">
        <v>1085</v>
      </c>
      <c r="M434" s="9" t="s">
        <v>29</v>
      </c>
      <c r="N434" s="22" t="s">
        <v>1087</v>
      </c>
      <c r="O434" s="1" t="s">
        <v>43</v>
      </c>
      <c r="P434" s="23">
        <v>4.5</v>
      </c>
      <c r="Q434" s="23"/>
      <c r="R434" s="4">
        <v>100000</v>
      </c>
      <c r="S434" s="4">
        <f>+(P434/R434)*[1]Population!$C$2</f>
        <v>14998.500000000002</v>
      </c>
      <c r="T434" s="4">
        <f>IF(ISBLANK(Q434),S434,+(Q434/R434)*[1]Population!$C$2)</f>
        <v>14998.500000000002</v>
      </c>
      <c r="U434" s="1">
        <f>+AVERAGE(S434:T434)</f>
        <v>14998.500000000002</v>
      </c>
      <c r="V434" s="5">
        <f>+(U434/[1]Population!$C$2)*100000</f>
        <v>4.5</v>
      </c>
      <c r="W434" s="23"/>
      <c r="X434" s="22" t="s">
        <v>1086</v>
      </c>
      <c r="Y434" s="41"/>
    </row>
    <row r="435" spans="1:25" ht="13.95" customHeight="1">
      <c r="A435" s="23" t="s">
        <v>49</v>
      </c>
      <c r="B435" s="23" t="s">
        <v>86</v>
      </c>
      <c r="C435" s="23" t="s">
        <v>86</v>
      </c>
      <c r="D435" s="23" t="str">
        <f t="shared" si="7"/>
        <v>Unconfirmed</v>
      </c>
      <c r="E435" s="32" t="s">
        <v>1088</v>
      </c>
      <c r="F435" s="23" t="s">
        <v>1089</v>
      </c>
      <c r="G435" s="69" t="s">
        <v>36</v>
      </c>
      <c r="H435" s="33">
        <v>3548001</v>
      </c>
      <c r="I435" s="23"/>
      <c r="J435" s="23"/>
      <c r="K435" s="23"/>
      <c r="L435" s="23"/>
      <c r="M435" s="23"/>
      <c r="N435" s="22"/>
      <c r="O435" s="23"/>
      <c r="P435" s="23"/>
      <c r="Q435" s="23"/>
      <c r="R435" s="4"/>
      <c r="S435" s="23">
        <v>0</v>
      </c>
      <c r="T435" s="23">
        <v>0</v>
      </c>
      <c r="U435" s="23">
        <v>0</v>
      </c>
      <c r="V435" s="5">
        <v>0</v>
      </c>
      <c r="W435" s="39"/>
      <c r="X435" s="22"/>
      <c r="Y435" s="41"/>
    </row>
    <row r="436" spans="1:25" ht="13.95" customHeight="1">
      <c r="A436" s="23" t="s">
        <v>49</v>
      </c>
      <c r="B436" s="23" t="s">
        <v>86</v>
      </c>
      <c r="C436" s="23" t="s">
        <v>86</v>
      </c>
      <c r="D436" s="23" t="str">
        <f t="shared" si="7"/>
        <v>Unconfirmed</v>
      </c>
      <c r="E436" s="32" t="s">
        <v>1088</v>
      </c>
      <c r="F436" s="23" t="s">
        <v>1090</v>
      </c>
      <c r="G436" s="69" t="s">
        <v>36</v>
      </c>
      <c r="H436" s="33">
        <v>3548001</v>
      </c>
      <c r="I436" s="23"/>
      <c r="J436" s="23"/>
      <c r="K436" s="23"/>
      <c r="L436" s="23"/>
      <c r="M436" s="23"/>
      <c r="N436" s="22"/>
      <c r="O436" s="23"/>
      <c r="P436" s="23"/>
      <c r="Q436" s="23"/>
      <c r="R436" s="4"/>
      <c r="S436" s="23">
        <v>0</v>
      </c>
      <c r="T436" s="23">
        <v>0</v>
      </c>
      <c r="U436" s="23">
        <v>0</v>
      </c>
      <c r="V436" s="5">
        <v>0</v>
      </c>
      <c r="W436" s="39"/>
      <c r="X436" s="22"/>
      <c r="Y436" s="41"/>
    </row>
    <row r="437" spans="1:25" ht="13.95" customHeight="1">
      <c r="A437" s="23" t="s">
        <v>49</v>
      </c>
      <c r="B437" s="23" t="s">
        <v>86</v>
      </c>
      <c r="C437" s="23" t="s">
        <v>86</v>
      </c>
      <c r="D437" s="23" t="str">
        <f t="shared" si="7"/>
        <v>Unconfirmed</v>
      </c>
      <c r="E437" s="32" t="s">
        <v>1088</v>
      </c>
      <c r="F437" s="23" t="s">
        <v>1091</v>
      </c>
      <c r="G437" s="69" t="s">
        <v>36</v>
      </c>
      <c r="H437" s="33">
        <v>3548001</v>
      </c>
      <c r="I437" s="23">
        <v>377271</v>
      </c>
      <c r="J437" s="22"/>
      <c r="K437" s="2" t="s">
        <v>1092</v>
      </c>
      <c r="L437" s="2" t="s">
        <v>1093</v>
      </c>
      <c r="M437" s="9" t="s">
        <v>78</v>
      </c>
      <c r="N437" s="22" t="s">
        <v>1096</v>
      </c>
      <c r="O437" s="23" t="s">
        <v>1094</v>
      </c>
      <c r="P437" s="23">
        <v>1.64</v>
      </c>
      <c r="Q437" s="23"/>
      <c r="R437" s="4">
        <v>100000</v>
      </c>
      <c r="S437" s="4">
        <f>+(P437/R437)*[1]Population!$C$2</f>
        <v>5466.12</v>
      </c>
      <c r="T437" s="4">
        <f>IF(ISBLANK(Q437),S437,+(Q437/R437)*[1]Population!$C$2)</f>
        <v>5466.12</v>
      </c>
      <c r="U437" s="1">
        <f>+AVERAGE(S437:T437)</f>
        <v>5466.12</v>
      </c>
      <c r="V437" s="5">
        <f>+(U437/[1]Population!$C$2)*100000</f>
        <v>1.64</v>
      </c>
      <c r="W437" s="23"/>
      <c r="X437" s="22" t="s">
        <v>1095</v>
      </c>
      <c r="Y437" s="41"/>
    </row>
    <row r="438" spans="1:25" ht="13.95" customHeight="1">
      <c r="A438" s="23" t="s">
        <v>49</v>
      </c>
      <c r="B438" s="23" t="s">
        <v>86</v>
      </c>
      <c r="C438" s="23" t="s">
        <v>86</v>
      </c>
      <c r="D438" s="23" t="str">
        <f t="shared" si="7"/>
        <v>Unconfirmed</v>
      </c>
      <c r="E438" s="32" t="s">
        <v>1088</v>
      </c>
      <c r="F438" s="23" t="s">
        <v>1097</v>
      </c>
      <c r="G438" s="69" t="s">
        <v>36</v>
      </c>
      <c r="H438" s="33">
        <v>3548001</v>
      </c>
      <c r="I438" s="23"/>
      <c r="J438" s="23"/>
      <c r="K438" s="23"/>
      <c r="L438" s="23"/>
      <c r="M438" s="23"/>
      <c r="N438" s="22"/>
      <c r="O438" s="23"/>
      <c r="P438" s="23"/>
      <c r="Q438" s="23"/>
      <c r="R438" s="4"/>
      <c r="S438" s="23">
        <v>0</v>
      </c>
      <c r="T438" s="23">
        <v>0</v>
      </c>
      <c r="U438" s="23">
        <v>0</v>
      </c>
      <c r="V438" s="5">
        <v>0</v>
      </c>
      <c r="W438" s="39"/>
      <c r="X438" s="22"/>
      <c r="Y438" s="41"/>
    </row>
    <row r="439" spans="1:25" ht="13.95" customHeight="1">
      <c r="A439" s="23" t="s">
        <v>49</v>
      </c>
      <c r="B439" s="23" t="s">
        <v>86</v>
      </c>
      <c r="C439" s="23" t="s">
        <v>86</v>
      </c>
      <c r="D439" s="23" t="str">
        <f t="shared" si="7"/>
        <v>Unconfirmed</v>
      </c>
      <c r="E439" s="32" t="s">
        <v>1088</v>
      </c>
      <c r="F439" s="22" t="s">
        <v>1098</v>
      </c>
      <c r="G439" s="69" t="s">
        <v>36</v>
      </c>
      <c r="H439" s="33">
        <v>3548001</v>
      </c>
      <c r="I439" s="23">
        <v>378741</v>
      </c>
      <c r="J439" s="22"/>
      <c r="K439" s="2" t="s">
        <v>1092</v>
      </c>
      <c r="L439" s="2" t="s">
        <v>1093</v>
      </c>
      <c r="M439" s="9" t="s">
        <v>78</v>
      </c>
      <c r="N439" s="22" t="s">
        <v>1096</v>
      </c>
      <c r="O439" s="23" t="s">
        <v>1094</v>
      </c>
      <c r="P439" s="23">
        <v>1.64</v>
      </c>
      <c r="Q439" s="23"/>
      <c r="R439" s="4">
        <v>100000</v>
      </c>
      <c r="S439" s="4">
        <f>+(P439/R439)*[1]Population!$C$2</f>
        <v>5466.12</v>
      </c>
      <c r="T439" s="4">
        <f>IF(ISBLANK(Q439),S439,+(Q439/R439)*[1]Population!$C$2)</f>
        <v>5466.12</v>
      </c>
      <c r="U439" s="1">
        <f>+AVERAGE(S439:T439)</f>
        <v>5466.12</v>
      </c>
      <c r="V439" s="5">
        <f>+(U439/[1]Population!$C$2)*100000</f>
        <v>1.64</v>
      </c>
      <c r="W439" s="23"/>
      <c r="X439" s="22" t="s">
        <v>1095</v>
      </c>
      <c r="Y439" s="41"/>
    </row>
    <row r="440" spans="1:25" ht="13.95" customHeight="1">
      <c r="A440" s="23" t="s">
        <v>49</v>
      </c>
      <c r="B440" s="23" t="s">
        <v>86</v>
      </c>
      <c r="C440" s="23" t="s">
        <v>86</v>
      </c>
      <c r="D440" s="23" t="str">
        <f t="shared" si="7"/>
        <v>Unconfirmed</v>
      </c>
      <c r="E440" s="32" t="s">
        <v>1088</v>
      </c>
      <c r="F440" s="23" t="s">
        <v>1099</v>
      </c>
      <c r="G440" s="69" t="s">
        <v>36</v>
      </c>
      <c r="H440" s="33">
        <v>3548001</v>
      </c>
      <c r="I440" s="23"/>
      <c r="J440" s="23"/>
      <c r="K440" s="23"/>
      <c r="L440" s="23"/>
      <c r="M440" s="23"/>
      <c r="N440" s="22"/>
      <c r="O440" s="23"/>
      <c r="P440" s="23"/>
      <c r="Q440" s="23"/>
      <c r="R440" s="4"/>
      <c r="S440" s="23">
        <v>0</v>
      </c>
      <c r="T440" s="23">
        <v>0</v>
      </c>
      <c r="U440" s="23">
        <v>0</v>
      </c>
      <c r="V440" s="5">
        <v>0</v>
      </c>
      <c r="W440" s="39"/>
      <c r="X440" s="22"/>
      <c r="Y440" s="41"/>
    </row>
    <row r="441" spans="1:25" ht="13.95" customHeight="1">
      <c r="A441" s="23" t="s">
        <v>49</v>
      </c>
      <c r="B441" s="23" t="s">
        <v>86</v>
      </c>
      <c r="C441" s="23" t="s">
        <v>86</v>
      </c>
      <c r="D441" s="23" t="str">
        <f t="shared" si="7"/>
        <v>Unconfirmed</v>
      </c>
      <c r="E441" s="32" t="s">
        <v>1088</v>
      </c>
      <c r="F441" s="23" t="s">
        <v>1100</v>
      </c>
      <c r="G441" s="69" t="s">
        <v>36</v>
      </c>
      <c r="H441" s="33">
        <v>3548001</v>
      </c>
      <c r="I441" s="23"/>
      <c r="J441" s="23"/>
      <c r="K441" s="23"/>
      <c r="L441" s="23"/>
      <c r="M441" s="23"/>
      <c r="N441" s="22"/>
      <c r="O441" s="23"/>
      <c r="P441" s="23"/>
      <c r="Q441" s="23"/>
      <c r="R441" s="4"/>
      <c r="S441" s="23">
        <v>0</v>
      </c>
      <c r="T441" s="23">
        <v>0</v>
      </c>
      <c r="U441" s="23">
        <v>0</v>
      </c>
      <c r="V441" s="5">
        <v>0</v>
      </c>
      <c r="W441" s="39"/>
      <c r="X441" s="22"/>
      <c r="Y441" s="41"/>
    </row>
    <row r="442" spans="1:25" ht="13.95" customHeight="1">
      <c r="A442" s="23" t="s">
        <v>49</v>
      </c>
      <c r="B442" s="23" t="s">
        <v>86</v>
      </c>
      <c r="C442" s="23" t="s">
        <v>86</v>
      </c>
      <c r="D442" s="23" t="str">
        <f t="shared" si="7"/>
        <v>Unconfirmed</v>
      </c>
      <c r="E442" s="32" t="s">
        <v>1088</v>
      </c>
      <c r="F442" s="23" t="s">
        <v>1101</v>
      </c>
      <c r="G442" s="69" t="s">
        <v>36</v>
      </c>
      <c r="H442" s="33">
        <v>3548001</v>
      </c>
      <c r="I442" s="23"/>
      <c r="J442" s="23"/>
      <c r="K442" s="23"/>
      <c r="L442" s="23"/>
      <c r="M442" s="23"/>
      <c r="N442" s="22"/>
      <c r="O442" s="23"/>
      <c r="P442" s="23"/>
      <c r="Q442" s="23"/>
      <c r="R442" s="4"/>
      <c r="S442" s="23">
        <v>0</v>
      </c>
      <c r="T442" s="23">
        <v>0</v>
      </c>
      <c r="U442" s="23">
        <v>0</v>
      </c>
      <c r="V442" s="5">
        <v>0</v>
      </c>
      <c r="W442" s="39"/>
      <c r="X442" s="22"/>
      <c r="Y442" s="41"/>
    </row>
    <row r="443" spans="1:25" ht="13.95" customHeight="1">
      <c r="A443" s="23" t="s">
        <v>49</v>
      </c>
      <c r="B443" s="23" t="s">
        <v>86</v>
      </c>
      <c r="C443" s="23" t="s">
        <v>86</v>
      </c>
      <c r="D443" s="23" t="str">
        <f t="shared" si="7"/>
        <v>Unconfirmed</v>
      </c>
      <c r="E443" s="32" t="s">
        <v>1088</v>
      </c>
      <c r="F443" s="23" t="s">
        <v>1102</v>
      </c>
      <c r="G443" s="69" t="s">
        <v>36</v>
      </c>
      <c r="H443" s="33">
        <v>3548001</v>
      </c>
      <c r="I443" s="23"/>
      <c r="J443" s="23"/>
      <c r="K443" s="23"/>
      <c r="L443" s="23"/>
      <c r="M443" s="23"/>
      <c r="N443" s="22"/>
      <c r="O443" s="23"/>
      <c r="P443" s="23"/>
      <c r="Q443" s="23"/>
      <c r="R443" s="4"/>
      <c r="S443" s="23">
        <v>0</v>
      </c>
      <c r="T443" s="23">
        <v>0</v>
      </c>
      <c r="U443" s="23">
        <v>0</v>
      </c>
      <c r="V443" s="5">
        <v>0</v>
      </c>
      <c r="W443" s="39"/>
      <c r="X443" s="22"/>
      <c r="Y443" s="41"/>
    </row>
    <row r="444" spans="1:25" ht="13.95" customHeight="1">
      <c r="A444" s="23" t="s">
        <v>49</v>
      </c>
      <c r="B444" s="23" t="s">
        <v>86</v>
      </c>
      <c r="C444" s="23" t="s">
        <v>86</v>
      </c>
      <c r="D444" s="23" t="str">
        <f t="shared" si="7"/>
        <v>Unconfirmed</v>
      </c>
      <c r="E444" s="32" t="s">
        <v>1088</v>
      </c>
      <c r="F444" s="23" t="s">
        <v>1088</v>
      </c>
      <c r="G444" s="69" t="s">
        <v>25</v>
      </c>
      <c r="H444" s="33" t="s">
        <v>1103</v>
      </c>
      <c r="I444" s="23">
        <v>377271</v>
      </c>
      <c r="J444" s="22" t="s">
        <v>1104</v>
      </c>
      <c r="K444" s="23"/>
      <c r="L444" s="23"/>
      <c r="M444" s="23"/>
      <c r="N444" s="22"/>
      <c r="O444" s="23"/>
      <c r="P444" s="23"/>
      <c r="Q444" s="23"/>
      <c r="R444" s="4"/>
      <c r="S444" s="23">
        <v>0</v>
      </c>
      <c r="T444" s="23">
        <v>0</v>
      </c>
      <c r="U444" s="23">
        <v>0</v>
      </c>
      <c r="V444" s="5">
        <v>0</v>
      </c>
      <c r="W444" s="39"/>
      <c r="X444" s="22"/>
      <c r="Y444" s="41"/>
    </row>
    <row r="445" spans="1:25" ht="13.95" customHeight="1">
      <c r="A445" s="23" t="s">
        <v>49</v>
      </c>
      <c r="B445" s="23" t="s">
        <v>86</v>
      </c>
      <c r="C445" s="23" t="s">
        <v>86</v>
      </c>
      <c r="D445" s="23" t="str">
        <f t="shared" si="7"/>
        <v>Unconfirmed</v>
      </c>
      <c r="E445" s="32" t="s">
        <v>1088</v>
      </c>
      <c r="F445" s="23" t="s">
        <v>1105</v>
      </c>
      <c r="G445" s="69" t="s">
        <v>36</v>
      </c>
      <c r="H445" s="33" t="s">
        <v>1103</v>
      </c>
      <c r="I445" s="23"/>
      <c r="J445" s="23"/>
      <c r="K445" s="23"/>
      <c r="L445" s="23"/>
      <c r="M445" s="23"/>
      <c r="N445" s="22"/>
      <c r="O445" s="23"/>
      <c r="P445" s="23"/>
      <c r="Q445" s="23"/>
      <c r="R445" s="4"/>
      <c r="S445" s="23">
        <v>0</v>
      </c>
      <c r="T445" s="23">
        <v>0</v>
      </c>
      <c r="U445" s="23">
        <v>0</v>
      </c>
      <c r="V445" s="5">
        <v>0</v>
      </c>
      <c r="W445" s="39"/>
      <c r="X445" s="22"/>
      <c r="Y445" s="41"/>
    </row>
    <row r="446" spans="1:25" ht="13.95" customHeight="1">
      <c r="A446" s="23" t="s">
        <v>49</v>
      </c>
      <c r="B446" s="23" t="s">
        <v>22</v>
      </c>
      <c r="C446" s="23" t="s">
        <v>73</v>
      </c>
      <c r="D446" s="23" t="str">
        <f t="shared" si="7"/>
        <v>Autoimmune</v>
      </c>
      <c r="E446" s="32" t="s">
        <v>1106</v>
      </c>
      <c r="F446" s="23" t="s">
        <v>1106</v>
      </c>
      <c r="G446" s="69" t="s">
        <v>25</v>
      </c>
      <c r="H446" s="33">
        <v>25044007</v>
      </c>
      <c r="I446" s="23">
        <v>380995</v>
      </c>
      <c r="J446" s="22" t="s">
        <v>1107</v>
      </c>
      <c r="K446" s="2" t="s">
        <v>1108</v>
      </c>
      <c r="L446" s="2" t="s">
        <v>1109</v>
      </c>
      <c r="M446" s="9" t="s">
        <v>78</v>
      </c>
      <c r="N446" s="22" t="s">
        <v>1112</v>
      </c>
      <c r="O446" s="4"/>
      <c r="P446" s="23">
        <v>0.52</v>
      </c>
      <c r="Q446" s="23">
        <v>4.4000000000000004</v>
      </c>
      <c r="R446" s="4">
        <v>100000</v>
      </c>
      <c r="S446" s="4">
        <f>+(P446/R446)*[1]Population!$C$2</f>
        <v>1733.16</v>
      </c>
      <c r="T446" s="4">
        <f>IF(ISBLANK(Q446),S446,+(Q446/R446)*[1]Population!$C$2)</f>
        <v>14665.200000000003</v>
      </c>
      <c r="U446" s="1">
        <f>+AVERAGE(S446:T446)</f>
        <v>8199.1800000000021</v>
      </c>
      <c r="V446" s="5">
        <f>+(U446/[1]Population!$C$2)*100000</f>
        <v>2.4600000000000004</v>
      </c>
      <c r="W446" s="23" t="s">
        <v>1110</v>
      </c>
      <c r="X446" s="22" t="s">
        <v>1111</v>
      </c>
      <c r="Y446" s="41"/>
    </row>
    <row r="447" spans="1:25" ht="13.95" customHeight="1">
      <c r="A447" s="23" t="s">
        <v>49</v>
      </c>
      <c r="B447" s="23" t="s">
        <v>22</v>
      </c>
      <c r="C447" s="23" t="s">
        <v>73</v>
      </c>
      <c r="D447" s="23" t="str">
        <f t="shared" si="7"/>
        <v>Autoimmune</v>
      </c>
      <c r="E447" s="32" t="s">
        <v>1106</v>
      </c>
      <c r="F447" s="23" t="s">
        <v>1113</v>
      </c>
      <c r="G447" s="69" t="s">
        <v>34</v>
      </c>
      <c r="H447" s="33">
        <v>25044007</v>
      </c>
      <c r="I447" s="23"/>
      <c r="J447" s="23"/>
      <c r="K447" s="23"/>
      <c r="L447" s="23"/>
      <c r="M447" s="23"/>
      <c r="N447" s="22"/>
      <c r="O447" s="23"/>
      <c r="P447" s="23"/>
      <c r="Q447" s="23"/>
      <c r="R447" s="4"/>
      <c r="S447" s="23">
        <v>0</v>
      </c>
      <c r="T447" s="23">
        <v>0</v>
      </c>
      <c r="U447" s="23">
        <v>0</v>
      </c>
      <c r="V447" s="5">
        <v>0</v>
      </c>
      <c r="W447" s="39"/>
      <c r="X447" s="22"/>
      <c r="Y447" s="41"/>
    </row>
    <row r="448" spans="1:25" ht="13.95" customHeight="1">
      <c r="A448" s="23" t="s">
        <v>49</v>
      </c>
      <c r="B448" s="23" t="s">
        <v>22</v>
      </c>
      <c r="C448" s="23" t="s">
        <v>73</v>
      </c>
      <c r="D448" s="23" t="str">
        <f t="shared" si="7"/>
        <v>Autoimmune</v>
      </c>
      <c r="E448" s="32" t="s">
        <v>1106</v>
      </c>
      <c r="F448" s="23" t="s">
        <v>1114</v>
      </c>
      <c r="G448" s="69" t="s">
        <v>34</v>
      </c>
      <c r="H448" s="33">
        <v>25044007</v>
      </c>
      <c r="I448" s="23"/>
      <c r="J448" s="23"/>
      <c r="K448" s="23"/>
      <c r="L448" s="23"/>
      <c r="M448" s="23"/>
      <c r="N448" s="22"/>
      <c r="O448" s="23"/>
      <c r="P448" s="23"/>
      <c r="Q448" s="23"/>
      <c r="R448" s="4"/>
      <c r="S448" s="23">
        <v>0</v>
      </c>
      <c r="T448" s="23">
        <v>0</v>
      </c>
      <c r="U448" s="23">
        <v>0</v>
      </c>
      <c r="V448" s="5">
        <v>0</v>
      </c>
      <c r="W448" s="39"/>
      <c r="X448" s="22"/>
      <c r="Y448" s="41"/>
    </row>
    <row r="449" spans="1:25" ht="13.95" customHeight="1">
      <c r="A449" s="23" t="s">
        <v>49</v>
      </c>
      <c r="B449" s="23" t="s">
        <v>22</v>
      </c>
      <c r="C449" s="23" t="s">
        <v>73</v>
      </c>
      <c r="D449" s="23" t="str">
        <f t="shared" si="7"/>
        <v>Autoimmune</v>
      </c>
      <c r="E449" s="32" t="s">
        <v>1106</v>
      </c>
      <c r="F449" s="23" t="s">
        <v>1115</v>
      </c>
      <c r="G449" s="69" t="s">
        <v>36</v>
      </c>
      <c r="H449" s="33">
        <v>25044007</v>
      </c>
      <c r="I449" s="23">
        <v>380995</v>
      </c>
      <c r="J449" s="22"/>
      <c r="K449" s="2" t="s">
        <v>1108</v>
      </c>
      <c r="L449" s="2" t="s">
        <v>1109</v>
      </c>
      <c r="M449" s="9" t="s">
        <v>78</v>
      </c>
      <c r="N449" s="22" t="s">
        <v>1112</v>
      </c>
      <c r="O449" s="4"/>
      <c r="P449" s="23">
        <v>0.52</v>
      </c>
      <c r="Q449" s="23">
        <v>4.4000000000000004</v>
      </c>
      <c r="R449" s="4">
        <v>100000</v>
      </c>
      <c r="S449" s="4">
        <f>+(P449/R449)*[1]Population!$C$2</f>
        <v>1733.16</v>
      </c>
      <c r="T449" s="4">
        <f>IF(ISBLANK(Q449),S449,+(Q449/R449)*[1]Population!$C$2)</f>
        <v>14665.200000000003</v>
      </c>
      <c r="U449" s="1">
        <f>+AVERAGE(S449:T449)</f>
        <v>8199.1800000000021</v>
      </c>
      <c r="V449" s="5">
        <f>+(U449/[1]Population!$C$2)*100000</f>
        <v>2.4600000000000004</v>
      </c>
      <c r="W449" s="23" t="s">
        <v>1110</v>
      </c>
      <c r="X449" s="22" t="s">
        <v>1111</v>
      </c>
      <c r="Y449" s="41"/>
    </row>
    <row r="450" spans="1:25" ht="13.95" customHeight="1">
      <c r="A450" s="23" t="s">
        <v>49</v>
      </c>
      <c r="B450" s="23" t="s">
        <v>22</v>
      </c>
      <c r="C450" s="23" t="s">
        <v>73</v>
      </c>
      <c r="D450" s="23" t="str">
        <f t="shared" si="7"/>
        <v>Autoimmune</v>
      </c>
      <c r="E450" s="32" t="s">
        <v>1106</v>
      </c>
      <c r="F450" s="23" t="s">
        <v>1116</v>
      </c>
      <c r="G450" s="69" t="s">
        <v>36</v>
      </c>
      <c r="H450" s="33">
        <v>25044007</v>
      </c>
      <c r="I450" s="23"/>
      <c r="J450" s="23"/>
      <c r="K450" s="23"/>
      <c r="L450" s="23"/>
      <c r="M450" s="23"/>
      <c r="N450" s="22"/>
      <c r="O450" s="23"/>
      <c r="P450" s="23"/>
      <c r="Q450" s="23"/>
      <c r="R450" s="4"/>
      <c r="S450" s="23">
        <v>0</v>
      </c>
      <c r="T450" s="23">
        <v>0</v>
      </c>
      <c r="U450" s="23">
        <v>0</v>
      </c>
      <c r="V450" s="5">
        <v>0</v>
      </c>
      <c r="W450" s="39"/>
      <c r="X450" s="22"/>
      <c r="Y450" s="41"/>
    </row>
    <row r="451" spans="1:25" ht="13.95" customHeight="1">
      <c r="A451" s="23" t="s">
        <v>49</v>
      </c>
      <c r="B451" s="23" t="s">
        <v>22</v>
      </c>
      <c r="C451" s="23" t="s">
        <v>73</v>
      </c>
      <c r="D451" s="23" t="str">
        <f t="shared" si="7"/>
        <v>Autoimmune</v>
      </c>
      <c r="E451" s="32" t="s">
        <v>1106</v>
      </c>
      <c r="F451" s="23" t="s">
        <v>1117</v>
      </c>
      <c r="G451" s="69" t="s">
        <v>36</v>
      </c>
      <c r="H451" s="33">
        <v>25044007</v>
      </c>
      <c r="I451" s="23"/>
      <c r="J451" s="23"/>
      <c r="K451" s="23"/>
      <c r="L451" s="23"/>
      <c r="M451" s="23"/>
      <c r="N451" s="22"/>
      <c r="O451" s="23"/>
      <c r="P451" s="23"/>
      <c r="Q451" s="23"/>
      <c r="R451" s="4"/>
      <c r="S451" s="23">
        <v>0</v>
      </c>
      <c r="T451" s="23">
        <v>0</v>
      </c>
      <c r="U451" s="23">
        <v>0</v>
      </c>
      <c r="V451" s="5">
        <v>0</v>
      </c>
      <c r="W451" s="39"/>
      <c r="X451" s="22"/>
      <c r="Y451" s="41"/>
    </row>
    <row r="452" spans="1:25" ht="13.95" customHeight="1">
      <c r="A452" s="23" t="s">
        <v>49</v>
      </c>
      <c r="B452" s="23" t="s">
        <v>22</v>
      </c>
      <c r="C452" s="23" t="s">
        <v>73</v>
      </c>
      <c r="D452" s="23" t="str">
        <f t="shared" si="7"/>
        <v>Autoimmune</v>
      </c>
      <c r="E452" s="32" t="s">
        <v>1106</v>
      </c>
      <c r="F452" s="23" t="s">
        <v>1118</v>
      </c>
      <c r="G452" s="69" t="s">
        <v>36</v>
      </c>
      <c r="H452" s="33">
        <v>25044007</v>
      </c>
      <c r="I452" s="23"/>
      <c r="J452" s="23"/>
      <c r="K452" s="23"/>
      <c r="L452" s="23"/>
      <c r="M452" s="23"/>
      <c r="N452" s="22"/>
      <c r="O452" s="23"/>
      <c r="P452" s="23"/>
      <c r="Q452" s="23"/>
      <c r="R452" s="4"/>
      <c r="S452" s="23">
        <v>0</v>
      </c>
      <c r="T452" s="23">
        <v>0</v>
      </c>
      <c r="U452" s="23">
        <v>0</v>
      </c>
      <c r="V452" s="5">
        <v>0</v>
      </c>
      <c r="W452" s="39"/>
      <c r="X452" s="22"/>
      <c r="Y452" s="41"/>
    </row>
    <row r="453" spans="1:25" ht="13.95" customHeight="1">
      <c r="A453" s="23" t="s">
        <v>49</v>
      </c>
      <c r="B453" s="23" t="s">
        <v>22</v>
      </c>
      <c r="C453" s="23" t="s">
        <v>73</v>
      </c>
      <c r="D453" s="23" t="str">
        <f t="shared" si="7"/>
        <v>Autoimmune</v>
      </c>
      <c r="E453" s="32" t="s">
        <v>1106</v>
      </c>
      <c r="F453" s="23" t="s">
        <v>1119</v>
      </c>
      <c r="G453" s="69" t="s">
        <v>36</v>
      </c>
      <c r="H453" s="33">
        <v>25044007</v>
      </c>
      <c r="I453" s="23"/>
      <c r="J453" s="23"/>
      <c r="K453" s="23"/>
      <c r="L453" s="23"/>
      <c r="M453" s="23"/>
      <c r="N453" s="22"/>
      <c r="O453" s="23"/>
      <c r="P453" s="23"/>
      <c r="Q453" s="23"/>
      <c r="R453" s="4"/>
      <c r="S453" s="23">
        <v>0</v>
      </c>
      <c r="T453" s="23">
        <v>0</v>
      </c>
      <c r="U453" s="23">
        <v>0</v>
      </c>
      <c r="V453" s="5">
        <v>0</v>
      </c>
      <c r="W453" s="39"/>
      <c r="X453" s="22"/>
      <c r="Y453" s="41"/>
    </row>
    <row r="454" spans="1:25" ht="13.95" customHeight="1">
      <c r="A454" s="23" t="s">
        <v>49</v>
      </c>
      <c r="B454" s="23" t="s">
        <v>22</v>
      </c>
      <c r="C454" s="23" t="s">
        <v>73</v>
      </c>
      <c r="D454" s="23" t="str">
        <f t="shared" ref="D454:D517" si="8">+IF(OR(B454="Antibody Suspected",B454="Antibody",B454="TCELL", B454="Immune-mediated",B454="Genetic"),"Autoimmune","Unconfirmed")</f>
        <v>Autoimmune</v>
      </c>
      <c r="E454" s="32" t="s">
        <v>1106</v>
      </c>
      <c r="F454" s="23" t="s">
        <v>1120</v>
      </c>
      <c r="G454" s="69" t="s">
        <v>36</v>
      </c>
      <c r="H454" s="33">
        <v>25044007</v>
      </c>
      <c r="I454" s="23"/>
      <c r="J454" s="23"/>
      <c r="K454" s="23"/>
      <c r="L454" s="23"/>
      <c r="M454" s="23"/>
      <c r="N454" s="22"/>
      <c r="O454" s="23"/>
      <c r="P454" s="23"/>
      <c r="Q454" s="23"/>
      <c r="R454" s="4"/>
      <c r="S454" s="23">
        <v>0</v>
      </c>
      <c r="T454" s="23">
        <v>0</v>
      </c>
      <c r="U454" s="23">
        <v>0</v>
      </c>
      <c r="V454" s="5">
        <v>0</v>
      </c>
      <c r="W454" s="39"/>
      <c r="X454" s="22"/>
      <c r="Y454" s="41"/>
    </row>
    <row r="455" spans="1:25" ht="13.95" customHeight="1">
      <c r="A455" s="23" t="s">
        <v>49</v>
      </c>
      <c r="B455" s="23" t="s">
        <v>22</v>
      </c>
      <c r="C455" s="23" t="s">
        <v>23</v>
      </c>
      <c r="D455" s="23" t="str">
        <f t="shared" si="8"/>
        <v>Autoimmune</v>
      </c>
      <c r="E455" s="32" t="s">
        <v>1121</v>
      </c>
      <c r="F455" s="23" t="s">
        <v>1121</v>
      </c>
      <c r="G455" s="69" t="s">
        <v>25</v>
      </c>
      <c r="H455" s="33" t="s">
        <v>1122</v>
      </c>
      <c r="I455" s="23">
        <v>4125693</v>
      </c>
      <c r="J455" s="22" t="s">
        <v>1123</v>
      </c>
      <c r="K455" s="39" t="s">
        <v>410</v>
      </c>
      <c r="L455" s="39" t="s">
        <v>411</v>
      </c>
      <c r="M455" s="9" t="s">
        <v>78</v>
      </c>
      <c r="N455" s="22" t="s">
        <v>261</v>
      </c>
      <c r="O455" s="11" t="s">
        <v>258</v>
      </c>
      <c r="P455" s="50"/>
      <c r="Q455" s="50"/>
      <c r="R455" s="50">
        <v>0</v>
      </c>
      <c r="S455" s="11">
        <v>50</v>
      </c>
      <c r="T455" s="11">
        <v>50</v>
      </c>
      <c r="U455" s="1">
        <f>+AVERAGE(S455:T455)</f>
        <v>50</v>
      </c>
      <c r="V455" s="5">
        <f>+(U455/[1]Population!$C$2)*100000</f>
        <v>1.5001500150015001E-2</v>
      </c>
      <c r="W455" s="23"/>
      <c r="X455" s="22" t="s">
        <v>1124</v>
      </c>
      <c r="Y455" s="41" t="s">
        <v>1125</v>
      </c>
    </row>
    <row r="456" spans="1:25" ht="13.95" customHeight="1">
      <c r="A456" s="23" t="s">
        <v>49</v>
      </c>
      <c r="B456" s="23" t="s">
        <v>22</v>
      </c>
      <c r="C456" s="23" t="s">
        <v>23</v>
      </c>
      <c r="D456" s="23" t="str">
        <f t="shared" si="8"/>
        <v>Autoimmune</v>
      </c>
      <c r="E456" s="32" t="s">
        <v>1121</v>
      </c>
      <c r="F456" s="23" t="s">
        <v>1126</v>
      </c>
      <c r="G456" s="69" t="s">
        <v>34</v>
      </c>
      <c r="H456" s="33" t="s">
        <v>1122</v>
      </c>
      <c r="I456" s="23"/>
      <c r="J456" s="23"/>
      <c r="K456" s="23"/>
      <c r="L456" s="23"/>
      <c r="M456" s="23"/>
      <c r="N456" s="22"/>
      <c r="O456" s="23"/>
      <c r="P456" s="23"/>
      <c r="Q456" s="23"/>
      <c r="R456" s="4"/>
      <c r="S456" s="23">
        <v>0</v>
      </c>
      <c r="T456" s="23">
        <v>0</v>
      </c>
      <c r="U456" s="23">
        <v>0</v>
      </c>
      <c r="V456" s="5">
        <v>0</v>
      </c>
      <c r="W456" s="39"/>
      <c r="X456" s="22"/>
      <c r="Y456" s="41"/>
    </row>
    <row r="457" spans="1:25" ht="13.95" customHeight="1">
      <c r="A457" s="23" t="s">
        <v>49</v>
      </c>
      <c r="B457" s="23" t="s">
        <v>22</v>
      </c>
      <c r="C457" s="23" t="s">
        <v>23</v>
      </c>
      <c r="D457" s="23" t="str">
        <f t="shared" si="8"/>
        <v>Autoimmune</v>
      </c>
      <c r="E457" s="32" t="s">
        <v>1121</v>
      </c>
      <c r="F457" s="23" t="s">
        <v>1121</v>
      </c>
      <c r="G457" s="69" t="s">
        <v>389</v>
      </c>
      <c r="H457" s="33" t="s">
        <v>1122</v>
      </c>
      <c r="I457" s="23">
        <v>46272949</v>
      </c>
      <c r="J457" s="22"/>
      <c r="K457" s="39" t="s">
        <v>410</v>
      </c>
      <c r="L457" s="39" t="s">
        <v>411</v>
      </c>
      <c r="M457" s="9" t="s">
        <v>78</v>
      </c>
      <c r="N457" s="22" t="s">
        <v>261</v>
      </c>
      <c r="O457" s="11" t="s">
        <v>258</v>
      </c>
      <c r="P457" s="50"/>
      <c r="Q457" s="50"/>
      <c r="R457" s="50">
        <v>0</v>
      </c>
      <c r="S457" s="11">
        <v>50</v>
      </c>
      <c r="T457" s="11">
        <v>50</v>
      </c>
      <c r="U457" s="1">
        <f>+AVERAGE(S457:T457)</f>
        <v>50</v>
      </c>
      <c r="V457" s="5">
        <f>+(U457/[1]Population!$C$2)*100000</f>
        <v>1.5001500150015001E-2</v>
      </c>
      <c r="W457" s="23"/>
      <c r="X457" s="22" t="s">
        <v>1124</v>
      </c>
      <c r="Y457" s="41" t="s">
        <v>1125</v>
      </c>
    </row>
    <row r="458" spans="1:25" ht="13.95" customHeight="1">
      <c r="A458" s="23" t="s">
        <v>49</v>
      </c>
      <c r="B458" s="23" t="s">
        <v>22</v>
      </c>
      <c r="C458" s="23" t="s">
        <v>23</v>
      </c>
      <c r="D458" s="23" t="str">
        <f t="shared" si="8"/>
        <v>Autoimmune</v>
      </c>
      <c r="E458" s="32" t="s">
        <v>1121</v>
      </c>
      <c r="F458" s="23" t="s">
        <v>1127</v>
      </c>
      <c r="G458" s="69" t="s">
        <v>36</v>
      </c>
      <c r="H458" s="33" t="s">
        <v>1122</v>
      </c>
      <c r="I458" s="23"/>
      <c r="J458" s="23"/>
      <c r="K458" s="23"/>
      <c r="L458" s="23"/>
      <c r="M458" s="23"/>
      <c r="N458" s="22"/>
      <c r="O458" s="23"/>
      <c r="P458" s="23"/>
      <c r="Q458" s="23"/>
      <c r="R458" s="4"/>
      <c r="S458" s="23">
        <v>0</v>
      </c>
      <c r="T458" s="23">
        <v>0</v>
      </c>
      <c r="U458" s="23">
        <v>0</v>
      </c>
      <c r="V458" s="5">
        <v>0</v>
      </c>
      <c r="W458" s="39"/>
      <c r="X458" s="22"/>
      <c r="Y458" s="41"/>
    </row>
    <row r="459" spans="1:25" ht="13.95" customHeight="1">
      <c r="A459" s="23" t="s">
        <v>49</v>
      </c>
      <c r="B459" s="23" t="s">
        <v>22</v>
      </c>
      <c r="C459" s="23" t="s">
        <v>23</v>
      </c>
      <c r="D459" s="23" t="str">
        <f t="shared" si="8"/>
        <v>Autoimmune</v>
      </c>
      <c r="E459" s="32" t="s">
        <v>1121</v>
      </c>
      <c r="F459" s="23" t="s">
        <v>1128</v>
      </c>
      <c r="G459" s="69" t="s">
        <v>36</v>
      </c>
      <c r="H459" s="33" t="s">
        <v>1122</v>
      </c>
      <c r="I459" s="23">
        <v>46272949</v>
      </c>
      <c r="J459" s="22"/>
      <c r="K459" s="39" t="s">
        <v>410</v>
      </c>
      <c r="L459" s="39" t="s">
        <v>411</v>
      </c>
      <c r="M459" s="9" t="s">
        <v>78</v>
      </c>
      <c r="N459" s="22" t="s">
        <v>261</v>
      </c>
      <c r="O459" s="11" t="s">
        <v>258</v>
      </c>
      <c r="P459" s="50"/>
      <c r="Q459" s="50"/>
      <c r="R459" s="50">
        <v>0</v>
      </c>
      <c r="S459" s="11">
        <v>50</v>
      </c>
      <c r="T459" s="11">
        <v>50</v>
      </c>
      <c r="U459" s="1">
        <f>+AVERAGE(S459:T459)</f>
        <v>50</v>
      </c>
      <c r="V459" s="5">
        <f>+(U459/[1]Population!$C$2)*100000</f>
        <v>1.5001500150015001E-2</v>
      </c>
      <c r="W459" s="23"/>
      <c r="X459" s="22" t="s">
        <v>1124</v>
      </c>
      <c r="Y459" s="41" t="s">
        <v>1125</v>
      </c>
    </row>
    <row r="460" spans="1:25" ht="13.95" customHeight="1">
      <c r="A460" s="23" t="s">
        <v>49</v>
      </c>
      <c r="B460" s="23" t="s">
        <v>22</v>
      </c>
      <c r="C460" s="23" t="s">
        <v>23</v>
      </c>
      <c r="D460" s="23" t="str">
        <f t="shared" si="8"/>
        <v>Autoimmune</v>
      </c>
      <c r="E460" s="32" t="s">
        <v>1121</v>
      </c>
      <c r="F460" s="23" t="s">
        <v>1129</v>
      </c>
      <c r="G460" s="69" t="s">
        <v>36</v>
      </c>
      <c r="H460" s="33" t="s">
        <v>1122</v>
      </c>
      <c r="I460" s="23"/>
      <c r="J460" s="23"/>
      <c r="K460" s="23"/>
      <c r="L460" s="23"/>
      <c r="M460" s="23"/>
      <c r="N460" s="22"/>
      <c r="O460" s="23"/>
      <c r="P460" s="23"/>
      <c r="Q460" s="23"/>
      <c r="R460" s="4"/>
      <c r="S460" s="23">
        <v>0</v>
      </c>
      <c r="T460" s="23">
        <v>0</v>
      </c>
      <c r="U460" s="23">
        <v>0</v>
      </c>
      <c r="V460" s="5">
        <v>0</v>
      </c>
      <c r="W460" s="39"/>
      <c r="X460" s="22"/>
      <c r="Y460" s="41"/>
    </row>
    <row r="461" spans="1:25" ht="13.95" customHeight="1">
      <c r="A461" s="23" t="s">
        <v>49</v>
      </c>
      <c r="B461" s="23" t="s">
        <v>22</v>
      </c>
      <c r="C461" s="23" t="s">
        <v>23</v>
      </c>
      <c r="D461" s="23" t="str">
        <f t="shared" si="8"/>
        <v>Autoimmune</v>
      </c>
      <c r="E461" s="32" t="s">
        <v>1121</v>
      </c>
      <c r="F461" s="23" t="s">
        <v>1130</v>
      </c>
      <c r="G461" s="69" t="s">
        <v>36</v>
      </c>
      <c r="H461" s="33" t="s">
        <v>1122</v>
      </c>
      <c r="I461" s="23"/>
      <c r="J461" s="23"/>
      <c r="K461" s="23"/>
      <c r="L461" s="23"/>
      <c r="M461" s="23"/>
      <c r="N461" s="22"/>
      <c r="O461" s="23"/>
      <c r="P461" s="23"/>
      <c r="Q461" s="23"/>
      <c r="R461" s="4"/>
      <c r="S461" s="23">
        <v>0</v>
      </c>
      <c r="T461" s="23">
        <v>0</v>
      </c>
      <c r="U461" s="23">
        <v>0</v>
      </c>
      <c r="V461" s="5">
        <v>0</v>
      </c>
      <c r="W461" s="39"/>
      <c r="X461" s="22"/>
      <c r="Y461" s="41"/>
    </row>
    <row r="462" spans="1:25" ht="13.95" customHeight="1">
      <c r="A462" s="23" t="s">
        <v>49</v>
      </c>
      <c r="B462" s="23" t="s">
        <v>22</v>
      </c>
      <c r="C462" s="23" t="s">
        <v>23</v>
      </c>
      <c r="D462" s="23" t="str">
        <f t="shared" si="8"/>
        <v>Autoimmune</v>
      </c>
      <c r="E462" s="32" t="s">
        <v>1121</v>
      </c>
      <c r="F462" s="23" t="s">
        <v>1131</v>
      </c>
      <c r="G462" s="69" t="s">
        <v>36</v>
      </c>
      <c r="H462" s="33" t="s">
        <v>1122</v>
      </c>
      <c r="I462" s="23"/>
      <c r="J462" s="23"/>
      <c r="K462" s="23"/>
      <c r="L462" s="23"/>
      <c r="M462" s="23"/>
      <c r="N462" s="22"/>
      <c r="O462" s="23"/>
      <c r="P462" s="23"/>
      <c r="Q462" s="23"/>
      <c r="R462" s="4"/>
      <c r="S462" s="23">
        <v>0</v>
      </c>
      <c r="T462" s="23">
        <v>0</v>
      </c>
      <c r="U462" s="23">
        <v>0</v>
      </c>
      <c r="V462" s="5">
        <v>0</v>
      </c>
      <c r="W462" s="39"/>
      <c r="X462" s="22"/>
      <c r="Y462" s="41"/>
    </row>
    <row r="463" spans="1:25" ht="13.95" customHeight="1">
      <c r="A463" s="23" t="s">
        <v>49</v>
      </c>
      <c r="B463" s="23" t="s">
        <v>22</v>
      </c>
      <c r="C463" s="23" t="s">
        <v>73</v>
      </c>
      <c r="D463" s="23" t="str">
        <f t="shared" si="8"/>
        <v>Autoimmune</v>
      </c>
      <c r="E463" s="32" t="s">
        <v>1132</v>
      </c>
      <c r="F463" s="23" t="s">
        <v>1133</v>
      </c>
      <c r="G463" s="69" t="s">
        <v>36</v>
      </c>
      <c r="H463" s="33">
        <v>276177000</v>
      </c>
      <c r="I463" s="23">
        <v>4077943</v>
      </c>
      <c r="J463" s="22" t="s">
        <v>1134</v>
      </c>
      <c r="K463" s="2" t="s">
        <v>1135</v>
      </c>
      <c r="L463" s="2" t="s">
        <v>1136</v>
      </c>
      <c r="M463" s="9" t="s">
        <v>78</v>
      </c>
      <c r="N463" s="22" t="s">
        <v>1139</v>
      </c>
      <c r="O463" s="4" t="s">
        <v>1137</v>
      </c>
      <c r="P463" s="23">
        <v>8.9700000000000006</v>
      </c>
      <c r="Q463" s="23"/>
      <c r="R463" s="4">
        <v>10000</v>
      </c>
      <c r="S463" s="4">
        <f>+(P463/R463)*[1]Population!$C$2</f>
        <v>298970.09999999998</v>
      </c>
      <c r="T463" s="4">
        <f>IF(ISBLANK(Q463),S463,+(Q463/R463)*[1]Population!$C$2)</f>
        <v>298970.09999999998</v>
      </c>
      <c r="U463" s="1">
        <f>+AVERAGE(S463:T463)</f>
        <v>298970.09999999998</v>
      </c>
      <c r="V463" s="5">
        <f>+(U463/[1]Population!$C$2)*100000</f>
        <v>89.699999999999989</v>
      </c>
      <c r="W463" s="23"/>
      <c r="X463" s="22" t="s">
        <v>1138</v>
      </c>
      <c r="Y463" s="40"/>
    </row>
    <row r="464" spans="1:25" ht="13.95" customHeight="1">
      <c r="A464" s="23" t="s">
        <v>49</v>
      </c>
      <c r="B464" s="23" t="s">
        <v>22</v>
      </c>
      <c r="C464" s="23" t="s">
        <v>73</v>
      </c>
      <c r="D464" s="23" t="str">
        <f t="shared" si="8"/>
        <v>Autoimmune</v>
      </c>
      <c r="E464" s="32" t="s">
        <v>1132</v>
      </c>
      <c r="F464" s="23" t="s">
        <v>1140</v>
      </c>
      <c r="G464" s="69" t="s">
        <v>36</v>
      </c>
      <c r="H464" s="33" t="s">
        <v>1141</v>
      </c>
      <c r="I464" s="23"/>
      <c r="J464" s="23"/>
      <c r="K464" s="23"/>
      <c r="L464" s="23"/>
      <c r="M464" s="23"/>
      <c r="N464" s="22"/>
      <c r="O464" s="23"/>
      <c r="P464" s="23"/>
      <c r="Q464" s="23"/>
      <c r="R464" s="4"/>
      <c r="S464" s="23">
        <v>0</v>
      </c>
      <c r="T464" s="23">
        <v>0</v>
      </c>
      <c r="U464" s="23">
        <v>0</v>
      </c>
      <c r="V464" s="5">
        <v>0</v>
      </c>
      <c r="W464" s="39"/>
      <c r="X464" s="22"/>
      <c r="Y464" s="41"/>
    </row>
    <row r="465" spans="1:25" ht="13.95" customHeight="1">
      <c r="A465" s="23" t="s">
        <v>49</v>
      </c>
      <c r="B465" s="23" t="s">
        <v>22</v>
      </c>
      <c r="C465" s="23" t="s">
        <v>73</v>
      </c>
      <c r="D465" s="23" t="str">
        <f t="shared" si="8"/>
        <v>Autoimmune</v>
      </c>
      <c r="E465" s="32" t="s">
        <v>1132</v>
      </c>
      <c r="F465" s="23" t="s">
        <v>1142</v>
      </c>
      <c r="G465" s="69" t="s">
        <v>36</v>
      </c>
      <c r="H465" s="33" t="s">
        <v>1141</v>
      </c>
      <c r="I465" s="23"/>
      <c r="J465" s="22"/>
      <c r="K465" s="2" t="s">
        <v>1135</v>
      </c>
      <c r="L465" s="2" t="s">
        <v>1136</v>
      </c>
      <c r="M465" s="9" t="s">
        <v>78</v>
      </c>
      <c r="N465" s="22" t="s">
        <v>1139</v>
      </c>
      <c r="O465" s="4" t="s">
        <v>1137</v>
      </c>
      <c r="P465" s="23">
        <v>8.9700000000000006</v>
      </c>
      <c r="Q465" s="23"/>
      <c r="R465" s="4">
        <v>10000</v>
      </c>
      <c r="S465" s="4">
        <f>+(P465/R465)*[1]Population!$C$2</f>
        <v>298970.09999999998</v>
      </c>
      <c r="T465" s="4">
        <f>IF(ISBLANK(Q465),S465,+(Q465/R465)*[1]Population!$C$2)</f>
        <v>298970.09999999998</v>
      </c>
      <c r="U465" s="1">
        <f>+AVERAGE(S465:T465)</f>
        <v>298970.09999999998</v>
      </c>
      <c r="V465" s="5">
        <f>+(U465/[1]Population!$C$2)*100000</f>
        <v>89.699999999999989</v>
      </c>
      <c r="W465" s="23"/>
      <c r="X465" s="22" t="s">
        <v>1138</v>
      </c>
      <c r="Y465" s="40"/>
    </row>
    <row r="466" spans="1:25" ht="13.95" customHeight="1">
      <c r="A466" s="23" t="s">
        <v>49</v>
      </c>
      <c r="B466" s="23" t="s">
        <v>22</v>
      </c>
      <c r="C466" s="23" t="s">
        <v>73</v>
      </c>
      <c r="D466" s="23" t="str">
        <f t="shared" si="8"/>
        <v>Autoimmune</v>
      </c>
      <c r="E466" s="32" t="s">
        <v>1132</v>
      </c>
      <c r="F466" s="23" t="s">
        <v>1143</v>
      </c>
      <c r="G466" s="69" t="s">
        <v>36</v>
      </c>
      <c r="H466" s="33" t="s">
        <v>1141</v>
      </c>
      <c r="I466" s="23"/>
      <c r="J466" s="23"/>
      <c r="K466" s="23"/>
      <c r="L466" s="23"/>
      <c r="M466" s="23"/>
      <c r="N466" s="22"/>
      <c r="O466" s="23"/>
      <c r="P466" s="23"/>
      <c r="Q466" s="23"/>
      <c r="R466" s="4"/>
      <c r="S466" s="23">
        <v>0</v>
      </c>
      <c r="T466" s="23">
        <v>0</v>
      </c>
      <c r="U466" s="23">
        <v>0</v>
      </c>
      <c r="V466" s="5">
        <v>0</v>
      </c>
      <c r="W466" s="39"/>
      <c r="X466" s="22"/>
      <c r="Y466" s="41"/>
    </row>
    <row r="467" spans="1:25" ht="13.95" customHeight="1">
      <c r="A467" s="23" t="s">
        <v>49</v>
      </c>
      <c r="B467" s="23" t="s">
        <v>22</v>
      </c>
      <c r="C467" s="23" t="s">
        <v>73</v>
      </c>
      <c r="D467" s="23" t="str">
        <f t="shared" si="8"/>
        <v>Autoimmune</v>
      </c>
      <c r="E467" s="32" t="s">
        <v>1132</v>
      </c>
      <c r="F467" s="23" t="s">
        <v>1144</v>
      </c>
      <c r="G467" s="69" t="s">
        <v>36</v>
      </c>
      <c r="H467" s="33" t="s">
        <v>1141</v>
      </c>
      <c r="I467" s="23"/>
      <c r="J467" s="23"/>
      <c r="K467" s="23"/>
      <c r="L467" s="23"/>
      <c r="M467" s="23"/>
      <c r="N467" s="22"/>
      <c r="O467" s="23"/>
      <c r="P467" s="23"/>
      <c r="Q467" s="23"/>
      <c r="R467" s="4"/>
      <c r="S467" s="23">
        <v>0</v>
      </c>
      <c r="T467" s="23">
        <v>0</v>
      </c>
      <c r="U467" s="23">
        <v>0</v>
      </c>
      <c r="V467" s="5">
        <v>0</v>
      </c>
      <c r="W467" s="39"/>
      <c r="X467" s="22"/>
      <c r="Y467" s="41"/>
    </row>
    <row r="468" spans="1:25" ht="13.95" customHeight="1">
      <c r="A468" s="23" t="s">
        <v>49</v>
      </c>
      <c r="B468" s="23" t="s">
        <v>22</v>
      </c>
      <c r="C468" s="23" t="s">
        <v>73</v>
      </c>
      <c r="D468" s="23" t="str">
        <f t="shared" si="8"/>
        <v>Autoimmune</v>
      </c>
      <c r="E468" s="32" t="s">
        <v>1132</v>
      </c>
      <c r="F468" s="23" t="s">
        <v>1132</v>
      </c>
      <c r="G468" s="69" t="s">
        <v>25</v>
      </c>
      <c r="H468" s="33" t="s">
        <v>1141</v>
      </c>
      <c r="I468" s="23">
        <v>45757069</v>
      </c>
      <c r="J468" s="22" t="s">
        <v>1145</v>
      </c>
      <c r="K468" s="23"/>
      <c r="L468" s="23"/>
      <c r="M468" s="23"/>
      <c r="N468" s="22"/>
      <c r="O468" s="23"/>
      <c r="P468" s="23"/>
      <c r="Q468" s="23"/>
      <c r="R468" s="4"/>
      <c r="S468" s="23">
        <v>0</v>
      </c>
      <c r="T468" s="23">
        <v>0</v>
      </c>
      <c r="U468" s="23">
        <v>0</v>
      </c>
      <c r="V468" s="5">
        <v>0</v>
      </c>
      <c r="W468" s="39"/>
      <c r="X468" s="22"/>
      <c r="Y468" s="41"/>
    </row>
    <row r="469" spans="1:25" ht="13.95" customHeight="1">
      <c r="A469" s="23" t="s">
        <v>49</v>
      </c>
      <c r="B469" s="23" t="s">
        <v>22</v>
      </c>
      <c r="C469" s="23" t="s">
        <v>73</v>
      </c>
      <c r="D469" s="23" t="str">
        <f t="shared" si="8"/>
        <v>Autoimmune</v>
      </c>
      <c r="E469" s="32" t="s">
        <v>1132</v>
      </c>
      <c r="F469" s="23" t="s">
        <v>1146</v>
      </c>
      <c r="G469" s="69" t="s">
        <v>36</v>
      </c>
      <c r="H469" s="33" t="s">
        <v>1141</v>
      </c>
      <c r="I469" s="23"/>
      <c r="J469" s="23"/>
      <c r="K469" s="23"/>
      <c r="L469" s="23"/>
      <c r="M469" s="23"/>
      <c r="N469" s="22"/>
      <c r="O469" s="23"/>
      <c r="P469" s="23"/>
      <c r="Q469" s="23"/>
      <c r="R469" s="4"/>
      <c r="S469" s="23">
        <v>0</v>
      </c>
      <c r="T469" s="23">
        <v>0</v>
      </c>
      <c r="U469" s="23">
        <v>0</v>
      </c>
      <c r="V469" s="5">
        <v>0</v>
      </c>
      <c r="W469" s="39"/>
      <c r="X469" s="22"/>
      <c r="Y469" s="41"/>
    </row>
    <row r="470" spans="1:25" ht="13.95" customHeight="1">
      <c r="A470" s="23" t="s">
        <v>49</v>
      </c>
      <c r="B470" s="23" t="s">
        <v>238</v>
      </c>
      <c r="C470" s="23" t="s">
        <v>23</v>
      </c>
      <c r="D470" s="23" t="str">
        <f t="shared" si="8"/>
        <v>Autoimmune</v>
      </c>
      <c r="E470" s="32" t="s">
        <v>1147</v>
      </c>
      <c r="F470" s="23" t="s">
        <v>1148</v>
      </c>
      <c r="G470" s="69" t="s">
        <v>34</v>
      </c>
      <c r="H470" s="33">
        <v>230350000</v>
      </c>
      <c r="I470" s="23"/>
      <c r="J470" s="23"/>
      <c r="K470" s="23"/>
      <c r="L470" s="23"/>
      <c r="M470" s="23"/>
      <c r="N470" s="22"/>
      <c r="O470" s="23"/>
      <c r="P470" s="23"/>
      <c r="Q470" s="23"/>
      <c r="R470" s="4"/>
      <c r="S470" s="23">
        <v>0</v>
      </c>
      <c r="T470" s="23">
        <v>0</v>
      </c>
      <c r="U470" s="23">
        <v>0</v>
      </c>
      <c r="V470" s="5">
        <v>0</v>
      </c>
      <c r="W470" s="39"/>
      <c r="X470" s="22"/>
      <c r="Y470" s="41"/>
    </row>
    <row r="471" spans="1:25" ht="13.95" customHeight="1">
      <c r="A471" s="23" t="s">
        <v>49</v>
      </c>
      <c r="B471" s="23" t="s">
        <v>238</v>
      </c>
      <c r="C471" s="23" t="s">
        <v>23</v>
      </c>
      <c r="D471" s="23" t="str">
        <f t="shared" si="8"/>
        <v>Autoimmune</v>
      </c>
      <c r="E471" s="32" t="s">
        <v>1147</v>
      </c>
      <c r="F471" s="23" t="s">
        <v>1147</v>
      </c>
      <c r="G471" s="69" t="s">
        <v>25</v>
      </c>
      <c r="H471" s="33">
        <v>230350000</v>
      </c>
      <c r="I471" s="23">
        <v>4043399</v>
      </c>
      <c r="J471" s="22" t="s">
        <v>1149</v>
      </c>
      <c r="K471" s="2" t="s">
        <v>1150</v>
      </c>
      <c r="L471" s="2" t="s">
        <v>1151</v>
      </c>
      <c r="M471" s="9" t="s">
        <v>78</v>
      </c>
      <c r="N471" s="22" t="s">
        <v>1154</v>
      </c>
      <c r="O471" s="4" t="s">
        <v>1152</v>
      </c>
      <c r="P471" s="23">
        <v>0.27</v>
      </c>
      <c r="Q471" s="23">
        <v>0.4</v>
      </c>
      <c r="R471" s="4">
        <v>1000000</v>
      </c>
      <c r="S471" s="4">
        <f>+(P471/R471)*74000000</f>
        <v>19.98</v>
      </c>
      <c r="T471" s="4">
        <f>+(Q471/R471)*74000000</f>
        <v>29.6</v>
      </c>
      <c r="U471" s="1">
        <f>+AVERAGE(S471:T471)</f>
        <v>24.79</v>
      </c>
      <c r="V471" s="5">
        <f>+(U471/[1]Population!$C$2)*100000</f>
        <v>7.4377437743774382E-3</v>
      </c>
      <c r="W471" s="23"/>
      <c r="X471" s="22" t="s">
        <v>1153</v>
      </c>
      <c r="Y471" s="41" t="s">
        <v>1155</v>
      </c>
    </row>
    <row r="472" spans="1:25" ht="13.95" customHeight="1">
      <c r="A472" s="23" t="s">
        <v>49</v>
      </c>
      <c r="B472" s="23" t="s">
        <v>238</v>
      </c>
      <c r="C472" s="23" t="s">
        <v>23</v>
      </c>
      <c r="D472" s="23" t="str">
        <f t="shared" si="8"/>
        <v>Autoimmune</v>
      </c>
      <c r="E472" s="32" t="s">
        <v>1147</v>
      </c>
      <c r="F472" s="23" t="s">
        <v>1156</v>
      </c>
      <c r="G472" s="69" t="s">
        <v>36</v>
      </c>
      <c r="H472" s="33">
        <v>230350000</v>
      </c>
      <c r="I472" s="23"/>
      <c r="J472" s="23"/>
      <c r="K472" s="23"/>
      <c r="L472" s="23"/>
      <c r="M472" s="23"/>
      <c r="N472" s="22"/>
      <c r="O472" s="23"/>
      <c r="P472" s="23"/>
      <c r="Q472" s="23"/>
      <c r="R472" s="4"/>
      <c r="S472" s="23">
        <v>0</v>
      </c>
      <c r="T472" s="23">
        <v>0</v>
      </c>
      <c r="U472" s="23">
        <v>0</v>
      </c>
      <c r="V472" s="5">
        <v>0</v>
      </c>
      <c r="W472" s="39"/>
      <c r="X472" s="22"/>
      <c r="Y472" s="41"/>
    </row>
    <row r="473" spans="1:25" ht="13.95" customHeight="1">
      <c r="A473" s="23" t="s">
        <v>49</v>
      </c>
      <c r="B473" s="23" t="s">
        <v>238</v>
      </c>
      <c r="C473" s="23" t="s">
        <v>23</v>
      </c>
      <c r="D473" s="23" t="str">
        <f t="shared" si="8"/>
        <v>Autoimmune</v>
      </c>
      <c r="E473" s="32" t="s">
        <v>1147</v>
      </c>
      <c r="F473" s="23" t="s">
        <v>1157</v>
      </c>
      <c r="G473" s="69" t="s">
        <v>36</v>
      </c>
      <c r="H473" s="33">
        <v>230350000</v>
      </c>
      <c r="I473" s="23"/>
      <c r="J473" s="23"/>
      <c r="K473" s="23"/>
      <c r="L473" s="23"/>
      <c r="M473" s="23"/>
      <c r="N473" s="22"/>
      <c r="O473" s="23"/>
      <c r="P473" s="23"/>
      <c r="Q473" s="23"/>
      <c r="R473" s="4"/>
      <c r="S473" s="23">
        <v>0</v>
      </c>
      <c r="T473" s="23">
        <v>0</v>
      </c>
      <c r="U473" s="23">
        <v>0</v>
      </c>
      <c r="V473" s="5">
        <v>0</v>
      </c>
      <c r="W473" s="39"/>
      <c r="X473" s="22"/>
      <c r="Y473" s="41"/>
    </row>
    <row r="474" spans="1:25" ht="13.95" customHeight="1">
      <c r="A474" s="23" t="s">
        <v>49</v>
      </c>
      <c r="B474" s="23" t="s">
        <v>238</v>
      </c>
      <c r="C474" s="23" t="s">
        <v>23</v>
      </c>
      <c r="D474" s="23" t="str">
        <f t="shared" si="8"/>
        <v>Autoimmune</v>
      </c>
      <c r="E474" s="32" t="s">
        <v>1147</v>
      </c>
      <c r="F474" s="23" t="s">
        <v>1158</v>
      </c>
      <c r="G474" s="69" t="s">
        <v>36</v>
      </c>
      <c r="H474" s="33">
        <v>230350000</v>
      </c>
      <c r="I474" s="23"/>
      <c r="J474" s="23"/>
      <c r="K474" s="23"/>
      <c r="L474" s="23"/>
      <c r="M474" s="23"/>
      <c r="N474" s="22"/>
      <c r="O474" s="23"/>
      <c r="P474" s="23"/>
      <c r="Q474" s="23"/>
      <c r="R474" s="4"/>
      <c r="S474" s="23">
        <v>0</v>
      </c>
      <c r="T474" s="23">
        <v>0</v>
      </c>
      <c r="U474" s="23">
        <v>0</v>
      </c>
      <c r="V474" s="5">
        <v>0</v>
      </c>
      <c r="W474" s="39"/>
      <c r="X474" s="22"/>
      <c r="Y474" s="41"/>
    </row>
    <row r="475" spans="1:25" ht="13.95" customHeight="1">
      <c r="A475" s="23" t="s">
        <v>49</v>
      </c>
      <c r="B475" s="23" t="s">
        <v>238</v>
      </c>
      <c r="C475" s="23" t="s">
        <v>23</v>
      </c>
      <c r="D475" s="23" t="str">
        <f t="shared" si="8"/>
        <v>Autoimmune</v>
      </c>
      <c r="E475" s="32" t="s">
        <v>1147</v>
      </c>
      <c r="F475" s="23" t="s">
        <v>1159</v>
      </c>
      <c r="G475" s="69" t="s">
        <v>36</v>
      </c>
      <c r="H475" s="33">
        <v>230350000</v>
      </c>
      <c r="I475" s="23"/>
      <c r="J475" s="23"/>
      <c r="K475" s="23"/>
      <c r="L475" s="23"/>
      <c r="M475" s="23"/>
      <c r="N475" s="22"/>
      <c r="O475" s="23"/>
      <c r="P475" s="23"/>
      <c r="Q475" s="23"/>
      <c r="R475" s="4"/>
      <c r="S475" s="23">
        <v>0</v>
      </c>
      <c r="T475" s="23">
        <v>0</v>
      </c>
      <c r="U475" s="23">
        <v>0</v>
      </c>
      <c r="V475" s="5">
        <v>0</v>
      </c>
      <c r="W475" s="39"/>
      <c r="X475" s="22"/>
      <c r="Y475" s="41"/>
    </row>
    <row r="476" spans="1:25" ht="13.95" customHeight="1">
      <c r="A476" s="23" t="s">
        <v>49</v>
      </c>
      <c r="B476" s="23" t="s">
        <v>238</v>
      </c>
      <c r="C476" s="23" t="s">
        <v>23</v>
      </c>
      <c r="D476" s="23" t="str">
        <f t="shared" si="8"/>
        <v>Autoimmune</v>
      </c>
      <c r="E476" s="32" t="s">
        <v>1147</v>
      </c>
      <c r="F476" s="23" t="s">
        <v>1160</v>
      </c>
      <c r="G476" s="69" t="s">
        <v>36</v>
      </c>
      <c r="H476" s="33">
        <v>230350000</v>
      </c>
      <c r="I476" s="23"/>
      <c r="J476" s="23"/>
      <c r="K476" s="23"/>
      <c r="L476" s="23"/>
      <c r="M476" s="23"/>
      <c r="N476" s="22"/>
      <c r="O476" s="23"/>
      <c r="P476" s="23"/>
      <c r="Q476" s="23"/>
      <c r="R476" s="4"/>
      <c r="S476" s="23">
        <v>0</v>
      </c>
      <c r="T476" s="23">
        <v>0</v>
      </c>
      <c r="U476" s="23">
        <v>0</v>
      </c>
      <c r="V476" s="5">
        <v>0</v>
      </c>
      <c r="W476" s="39"/>
      <c r="X476" s="22"/>
      <c r="Y476" s="41"/>
    </row>
    <row r="477" spans="1:25" ht="13.95" customHeight="1">
      <c r="A477" s="23" t="s">
        <v>49</v>
      </c>
      <c r="B477" s="23" t="s">
        <v>238</v>
      </c>
      <c r="C477" s="23" t="s">
        <v>23</v>
      </c>
      <c r="D477" s="23" t="str">
        <f t="shared" si="8"/>
        <v>Autoimmune</v>
      </c>
      <c r="E477" s="32" t="s">
        <v>1147</v>
      </c>
      <c r="F477" s="23" t="s">
        <v>1161</v>
      </c>
      <c r="G477" s="69" t="s">
        <v>36</v>
      </c>
      <c r="H477" s="33">
        <v>230350000</v>
      </c>
      <c r="I477" s="23"/>
      <c r="J477" s="23"/>
      <c r="K477" s="23"/>
      <c r="L477" s="23"/>
      <c r="M477" s="23"/>
      <c r="N477" s="22"/>
      <c r="O477" s="23"/>
      <c r="P477" s="23"/>
      <c r="Q477" s="23"/>
      <c r="R477" s="4"/>
      <c r="S477" s="23">
        <v>0</v>
      </c>
      <c r="T477" s="23">
        <v>0</v>
      </c>
      <c r="U477" s="23">
        <v>0</v>
      </c>
      <c r="V477" s="5">
        <v>0</v>
      </c>
      <c r="W477" s="39"/>
      <c r="X477" s="22"/>
      <c r="Y477" s="41"/>
    </row>
    <row r="478" spans="1:25" ht="13.95" customHeight="1">
      <c r="A478" s="23" t="s">
        <v>49</v>
      </c>
      <c r="B478" s="23" t="s">
        <v>238</v>
      </c>
      <c r="C478" s="23" t="s">
        <v>23</v>
      </c>
      <c r="D478" s="23" t="str">
        <f t="shared" si="8"/>
        <v>Autoimmune</v>
      </c>
      <c r="E478" s="32" t="s">
        <v>1147</v>
      </c>
      <c r="F478" s="23" t="s">
        <v>1162</v>
      </c>
      <c r="G478" s="69" t="s">
        <v>36</v>
      </c>
      <c r="H478" s="33">
        <v>230350000</v>
      </c>
      <c r="I478" s="23"/>
      <c r="J478" s="23"/>
      <c r="K478" s="23"/>
      <c r="L478" s="23"/>
      <c r="M478" s="23"/>
      <c r="N478" s="22"/>
      <c r="O478" s="23"/>
      <c r="P478" s="23"/>
      <c r="Q478" s="23"/>
      <c r="R478" s="4"/>
      <c r="S478" s="23">
        <v>0</v>
      </c>
      <c r="T478" s="23">
        <v>0</v>
      </c>
      <c r="U478" s="23">
        <v>0</v>
      </c>
      <c r="V478" s="5">
        <v>0</v>
      </c>
      <c r="W478" s="39"/>
      <c r="X478" s="22"/>
      <c r="Y478" s="41"/>
    </row>
    <row r="479" spans="1:25" ht="13.95" customHeight="1">
      <c r="A479" s="23" t="s">
        <v>49</v>
      </c>
      <c r="B479" s="23" t="s">
        <v>238</v>
      </c>
      <c r="C479" s="23" t="s">
        <v>23</v>
      </c>
      <c r="D479" s="23" t="str">
        <f t="shared" si="8"/>
        <v>Autoimmune</v>
      </c>
      <c r="E479" s="32" t="s">
        <v>1147</v>
      </c>
      <c r="F479" s="23" t="s">
        <v>1163</v>
      </c>
      <c r="G479" s="69" t="s">
        <v>36</v>
      </c>
      <c r="H479" s="33">
        <v>230350000</v>
      </c>
      <c r="I479" s="23"/>
      <c r="J479" s="23"/>
      <c r="K479" s="23"/>
      <c r="L479" s="23"/>
      <c r="M479" s="23"/>
      <c r="N479" s="22"/>
      <c r="O479" s="23"/>
      <c r="P479" s="23"/>
      <c r="Q479" s="23"/>
      <c r="R479" s="4"/>
      <c r="S479" s="23">
        <v>0</v>
      </c>
      <c r="T479" s="23">
        <v>0</v>
      </c>
      <c r="U479" s="23">
        <v>0</v>
      </c>
      <c r="V479" s="5">
        <v>0</v>
      </c>
      <c r="W479" s="39"/>
      <c r="X479" s="22"/>
      <c r="Y479" s="41"/>
    </row>
    <row r="480" spans="1:25" ht="13.95" customHeight="1">
      <c r="A480" s="23" t="s">
        <v>49</v>
      </c>
      <c r="B480" s="23" t="s">
        <v>238</v>
      </c>
      <c r="C480" s="23" t="s">
        <v>23</v>
      </c>
      <c r="D480" s="23" t="str">
        <f t="shared" si="8"/>
        <v>Autoimmune</v>
      </c>
      <c r="E480" s="32" t="s">
        <v>1147</v>
      </c>
      <c r="F480" s="23" t="s">
        <v>1164</v>
      </c>
      <c r="G480" s="69" t="s">
        <v>36</v>
      </c>
      <c r="H480" s="33">
        <v>230350000</v>
      </c>
      <c r="I480" s="23"/>
      <c r="J480" s="23"/>
      <c r="K480" s="23"/>
      <c r="L480" s="23"/>
      <c r="M480" s="23"/>
      <c r="N480" s="22"/>
      <c r="O480" s="23"/>
      <c r="P480" s="23"/>
      <c r="Q480" s="23"/>
      <c r="R480" s="4"/>
      <c r="S480" s="23">
        <v>0</v>
      </c>
      <c r="T480" s="23">
        <v>0</v>
      </c>
      <c r="U480" s="23">
        <v>0</v>
      </c>
      <c r="V480" s="5">
        <v>0</v>
      </c>
      <c r="W480" s="39"/>
      <c r="X480" s="22"/>
      <c r="Y480" s="41"/>
    </row>
    <row r="481" spans="1:25" ht="13.95" customHeight="1">
      <c r="A481" s="23" t="s">
        <v>49</v>
      </c>
      <c r="B481" s="23" t="s">
        <v>238</v>
      </c>
      <c r="C481" s="23" t="s">
        <v>23</v>
      </c>
      <c r="D481" s="23" t="str">
        <f t="shared" si="8"/>
        <v>Autoimmune</v>
      </c>
      <c r="E481" s="32" t="s">
        <v>1147</v>
      </c>
      <c r="F481" s="23" t="s">
        <v>1165</v>
      </c>
      <c r="G481" s="69" t="s">
        <v>36</v>
      </c>
      <c r="H481" s="33">
        <v>230350000</v>
      </c>
      <c r="I481" s="23"/>
      <c r="J481" s="23"/>
      <c r="K481" s="23"/>
      <c r="L481" s="23"/>
      <c r="M481" s="23"/>
      <c r="N481" s="22"/>
      <c r="O481" s="23"/>
      <c r="P481" s="23"/>
      <c r="Q481" s="23"/>
      <c r="R481" s="4"/>
      <c r="S481" s="23">
        <v>0</v>
      </c>
      <c r="T481" s="23">
        <v>0</v>
      </c>
      <c r="U481" s="23">
        <v>0</v>
      </c>
      <c r="V481" s="5">
        <v>0</v>
      </c>
      <c r="W481" s="39"/>
      <c r="X481" s="22"/>
      <c r="Y481" s="41"/>
    </row>
    <row r="482" spans="1:25" ht="13.95" customHeight="1">
      <c r="A482" s="23" t="s">
        <v>146</v>
      </c>
      <c r="B482" s="23" t="s">
        <v>86</v>
      </c>
      <c r="C482" s="23" t="s">
        <v>73</v>
      </c>
      <c r="D482" s="23" t="str">
        <f t="shared" si="8"/>
        <v>Unconfirmed</v>
      </c>
      <c r="E482" s="32" t="s">
        <v>1166</v>
      </c>
      <c r="F482" s="23" t="s">
        <v>1166</v>
      </c>
      <c r="G482" s="69" t="s">
        <v>25</v>
      </c>
      <c r="H482" s="33">
        <v>50442003</v>
      </c>
      <c r="I482" s="23">
        <v>76196</v>
      </c>
      <c r="J482" s="22" t="s">
        <v>1167</v>
      </c>
      <c r="K482" s="2" t="s">
        <v>1168</v>
      </c>
      <c r="L482" s="2" t="s">
        <v>1169</v>
      </c>
      <c r="M482" s="23" t="s">
        <v>78</v>
      </c>
      <c r="N482" s="22" t="s">
        <v>1171</v>
      </c>
      <c r="O482" s="11" t="s">
        <v>258</v>
      </c>
      <c r="P482" s="23"/>
      <c r="Q482" s="23"/>
      <c r="R482" s="4">
        <v>0</v>
      </c>
      <c r="S482" s="11">
        <v>50</v>
      </c>
      <c r="T482" s="11">
        <v>50</v>
      </c>
      <c r="U482" s="1">
        <f>+AVERAGE(S482:T482)</f>
        <v>50</v>
      </c>
      <c r="V482" s="5">
        <f>+(U482/[1]Population!$C$2)*100000</f>
        <v>1.5001500150015001E-2</v>
      </c>
      <c r="W482" s="23"/>
      <c r="X482" s="22" t="s">
        <v>1170</v>
      </c>
      <c r="Y482" s="40"/>
    </row>
    <row r="483" spans="1:25" ht="13.95" customHeight="1">
      <c r="A483" s="23" t="s">
        <v>146</v>
      </c>
      <c r="B483" s="23" t="s">
        <v>86</v>
      </c>
      <c r="C483" s="23" t="s">
        <v>73</v>
      </c>
      <c r="D483" s="23" t="str">
        <f t="shared" si="8"/>
        <v>Unconfirmed</v>
      </c>
      <c r="E483" s="32" t="s">
        <v>1166</v>
      </c>
      <c r="F483" s="23" t="s">
        <v>1172</v>
      </c>
      <c r="G483" s="69" t="s">
        <v>36</v>
      </c>
      <c r="H483" s="33">
        <v>50442003</v>
      </c>
      <c r="I483" s="23">
        <v>76196</v>
      </c>
      <c r="J483" s="22"/>
      <c r="K483" s="2" t="s">
        <v>1168</v>
      </c>
      <c r="L483" s="2" t="s">
        <v>1169</v>
      </c>
      <c r="M483" s="23" t="s">
        <v>78</v>
      </c>
      <c r="N483" s="22" t="s">
        <v>1171</v>
      </c>
      <c r="O483" s="11" t="s">
        <v>258</v>
      </c>
      <c r="P483" s="23"/>
      <c r="Q483" s="23"/>
      <c r="R483" s="4">
        <v>0</v>
      </c>
      <c r="S483" s="11">
        <v>50</v>
      </c>
      <c r="T483" s="11">
        <v>50</v>
      </c>
      <c r="U483" s="1">
        <f>+AVERAGE(S483:T483)</f>
        <v>50</v>
      </c>
      <c r="V483" s="5">
        <f>+(U483/[1]Population!$C$2)*100000</f>
        <v>1.5001500150015001E-2</v>
      </c>
      <c r="W483" s="23"/>
      <c r="X483" s="22" t="s">
        <v>1170</v>
      </c>
      <c r="Y483" s="40"/>
    </row>
    <row r="484" spans="1:25" ht="13.95" customHeight="1">
      <c r="A484" s="23" t="s">
        <v>146</v>
      </c>
      <c r="B484" s="23" t="s">
        <v>86</v>
      </c>
      <c r="C484" s="23" t="s">
        <v>73</v>
      </c>
      <c r="D484" s="23" t="str">
        <f t="shared" si="8"/>
        <v>Unconfirmed</v>
      </c>
      <c r="E484" s="32" t="s">
        <v>1166</v>
      </c>
      <c r="F484" s="23" t="s">
        <v>1173</v>
      </c>
      <c r="G484" s="69" t="s">
        <v>36</v>
      </c>
      <c r="H484" s="33">
        <v>50442003</v>
      </c>
      <c r="I484" s="23"/>
      <c r="J484" s="23"/>
      <c r="K484" s="23"/>
      <c r="L484" s="23"/>
      <c r="M484" s="23"/>
      <c r="N484" s="22"/>
      <c r="O484" s="23"/>
      <c r="P484" s="23"/>
      <c r="Q484" s="23"/>
      <c r="R484" s="4"/>
      <c r="S484" s="23">
        <v>0</v>
      </c>
      <c r="T484" s="23">
        <v>0</v>
      </c>
      <c r="U484" s="23">
        <v>0</v>
      </c>
      <c r="V484" s="5">
        <v>0</v>
      </c>
      <c r="W484" s="39"/>
      <c r="X484" s="22"/>
      <c r="Y484" s="41"/>
    </row>
    <row r="485" spans="1:25" ht="13.95" customHeight="1">
      <c r="A485" s="23" t="s">
        <v>146</v>
      </c>
      <c r="B485" s="23" t="s">
        <v>86</v>
      </c>
      <c r="C485" s="23" t="s">
        <v>73</v>
      </c>
      <c r="D485" s="23" t="str">
        <f t="shared" si="8"/>
        <v>Unconfirmed</v>
      </c>
      <c r="E485" s="32" t="s">
        <v>1166</v>
      </c>
      <c r="F485" s="23" t="s">
        <v>1174</v>
      </c>
      <c r="G485" s="69" t="s">
        <v>36</v>
      </c>
      <c r="H485" s="33">
        <v>50442003</v>
      </c>
      <c r="I485" s="23"/>
      <c r="J485" s="23"/>
      <c r="K485" s="23"/>
      <c r="L485" s="23"/>
      <c r="M485" s="23"/>
      <c r="N485" s="22"/>
      <c r="O485" s="23"/>
      <c r="P485" s="23"/>
      <c r="Q485" s="23"/>
      <c r="R485" s="4"/>
      <c r="S485" s="23">
        <v>0</v>
      </c>
      <c r="T485" s="23">
        <v>0</v>
      </c>
      <c r="U485" s="23">
        <v>0</v>
      </c>
      <c r="V485" s="5">
        <v>0</v>
      </c>
      <c r="W485" s="39"/>
      <c r="X485" s="22"/>
      <c r="Y485" s="41"/>
    </row>
    <row r="486" spans="1:25" ht="13.95" customHeight="1">
      <c r="A486" s="23" t="s">
        <v>49</v>
      </c>
      <c r="B486" s="23" t="s">
        <v>22</v>
      </c>
      <c r="C486" s="23" t="s">
        <v>73</v>
      </c>
      <c r="D486" s="23" t="str">
        <f t="shared" si="8"/>
        <v>Autoimmune</v>
      </c>
      <c r="E486" s="32" t="s">
        <v>1175</v>
      </c>
      <c r="F486" s="23" t="s">
        <v>1175</v>
      </c>
      <c r="G486" s="69" t="s">
        <v>25</v>
      </c>
      <c r="H486" s="33">
        <v>192877007</v>
      </c>
      <c r="I486" s="23">
        <v>4102330</v>
      </c>
      <c r="J486" s="22" t="s">
        <v>1176</v>
      </c>
      <c r="K486" s="2" t="s">
        <v>1177</v>
      </c>
      <c r="L486" s="2" t="s">
        <v>1178</v>
      </c>
      <c r="M486" s="9" t="s">
        <v>78</v>
      </c>
      <c r="N486" s="22" t="s">
        <v>1182</v>
      </c>
      <c r="O486" s="4" t="s">
        <v>1179</v>
      </c>
      <c r="P486" s="23">
        <f>4.37*0.28</f>
        <v>1.2236000000000002</v>
      </c>
      <c r="Q486" s="23"/>
      <c r="R486" s="4">
        <v>100000</v>
      </c>
      <c r="S486" s="4">
        <f>+(P486/R486)*[1]Population!$C$2</f>
        <v>4078.258800000001</v>
      </c>
      <c r="T486" s="4">
        <f>IF(ISBLANK(Q486),S486,+(Q486/R486)*[1]Population!$C$2)</f>
        <v>4078.258800000001</v>
      </c>
      <c r="U486" s="1">
        <f>+AVERAGE(S486:T486)</f>
        <v>4078.258800000001</v>
      </c>
      <c r="V486" s="5">
        <f>+(U486/[1]Population!$C$2)*100000</f>
        <v>1.2236000000000002</v>
      </c>
      <c r="W486" s="23" t="s">
        <v>1180</v>
      </c>
      <c r="X486" s="22" t="s">
        <v>1181</v>
      </c>
      <c r="Y486" s="40"/>
    </row>
    <row r="487" spans="1:25" ht="13.95" customHeight="1">
      <c r="A487" s="23" t="s">
        <v>49</v>
      </c>
      <c r="B487" s="23" t="s">
        <v>22</v>
      </c>
      <c r="C487" s="23" t="s">
        <v>73</v>
      </c>
      <c r="D487" s="23" t="str">
        <f t="shared" si="8"/>
        <v>Autoimmune</v>
      </c>
      <c r="E487" s="32" t="s">
        <v>1175</v>
      </c>
      <c r="F487" s="23" t="s">
        <v>1183</v>
      </c>
      <c r="G487" s="69" t="s">
        <v>34</v>
      </c>
      <c r="H487" s="33">
        <v>192877007</v>
      </c>
      <c r="I487" s="23"/>
      <c r="J487" s="23"/>
      <c r="K487" s="23"/>
      <c r="L487" s="23"/>
      <c r="M487" s="23"/>
      <c r="N487" s="22"/>
      <c r="O487" s="23"/>
      <c r="P487" s="23"/>
      <c r="Q487" s="23"/>
      <c r="R487" s="4"/>
      <c r="S487" s="23">
        <v>0</v>
      </c>
      <c r="T487" s="23">
        <v>0</v>
      </c>
      <c r="U487" s="23">
        <v>0</v>
      </c>
      <c r="V487" s="5">
        <v>0</v>
      </c>
      <c r="W487" s="39"/>
      <c r="X487" s="22"/>
      <c r="Y487" s="41"/>
    </row>
    <row r="488" spans="1:25" ht="13.95" customHeight="1">
      <c r="A488" s="23" t="s">
        <v>49</v>
      </c>
      <c r="B488" s="23" t="s">
        <v>22</v>
      </c>
      <c r="C488" s="23" t="s">
        <v>73</v>
      </c>
      <c r="D488" s="23" t="str">
        <f t="shared" si="8"/>
        <v>Autoimmune</v>
      </c>
      <c r="E488" s="32" t="s">
        <v>1175</v>
      </c>
      <c r="F488" s="23" t="s">
        <v>1184</v>
      </c>
      <c r="G488" s="69" t="s">
        <v>34</v>
      </c>
      <c r="H488" s="33">
        <v>192877007</v>
      </c>
      <c r="I488" s="23"/>
      <c r="J488" s="23"/>
      <c r="K488" s="23"/>
      <c r="L488" s="23"/>
      <c r="M488" s="23"/>
      <c r="N488" s="22"/>
      <c r="O488" s="23"/>
      <c r="P488" s="23"/>
      <c r="Q488" s="23"/>
      <c r="R488" s="4"/>
      <c r="S488" s="23">
        <v>0</v>
      </c>
      <c r="T488" s="23">
        <v>0</v>
      </c>
      <c r="U488" s="23">
        <v>0</v>
      </c>
      <c r="V488" s="5">
        <v>0</v>
      </c>
      <c r="W488" s="39"/>
      <c r="X488" s="22"/>
      <c r="Y488" s="41"/>
    </row>
    <row r="489" spans="1:25" ht="13.95" customHeight="1">
      <c r="A489" s="23" t="s">
        <v>49</v>
      </c>
      <c r="B489" s="23" t="s">
        <v>22</v>
      </c>
      <c r="C489" s="23" t="s">
        <v>73</v>
      </c>
      <c r="D489" s="23" t="str">
        <f t="shared" si="8"/>
        <v>Autoimmune</v>
      </c>
      <c r="E489" s="32" t="s">
        <v>1175</v>
      </c>
      <c r="F489" s="23" t="s">
        <v>1185</v>
      </c>
      <c r="G489" s="69" t="s">
        <v>34</v>
      </c>
      <c r="H489" s="33">
        <v>192877007</v>
      </c>
      <c r="I489" s="23"/>
      <c r="J489" s="23"/>
      <c r="K489" s="23"/>
      <c r="L489" s="23"/>
      <c r="M489" s="23"/>
      <c r="N489" s="22"/>
      <c r="O489" s="23"/>
      <c r="P489" s="23"/>
      <c r="Q489" s="23"/>
      <c r="R489" s="4"/>
      <c r="S489" s="23">
        <v>0</v>
      </c>
      <c r="T489" s="23">
        <v>0</v>
      </c>
      <c r="U489" s="23">
        <v>0</v>
      </c>
      <c r="V489" s="5">
        <v>0</v>
      </c>
      <c r="W489" s="39"/>
      <c r="X489" s="22"/>
      <c r="Y489" s="41"/>
    </row>
    <row r="490" spans="1:25" ht="13.95" customHeight="1">
      <c r="A490" s="23" t="s">
        <v>49</v>
      </c>
      <c r="B490" s="23" t="s">
        <v>22</v>
      </c>
      <c r="C490" s="23" t="s">
        <v>73</v>
      </c>
      <c r="D490" s="23" t="str">
        <f t="shared" si="8"/>
        <v>Autoimmune</v>
      </c>
      <c r="E490" s="32" t="s">
        <v>1175</v>
      </c>
      <c r="F490" s="23" t="s">
        <v>1186</v>
      </c>
      <c r="G490" s="69" t="s">
        <v>36</v>
      </c>
      <c r="H490" s="33">
        <v>192877007</v>
      </c>
      <c r="I490" s="23"/>
      <c r="J490" s="23"/>
      <c r="K490" s="23"/>
      <c r="L490" s="23"/>
      <c r="M490" s="23"/>
      <c r="N490" s="22"/>
      <c r="O490" s="23"/>
      <c r="P490" s="23"/>
      <c r="Q490" s="23"/>
      <c r="R490" s="4"/>
      <c r="S490" s="23">
        <v>0</v>
      </c>
      <c r="T490" s="23">
        <v>0</v>
      </c>
      <c r="U490" s="23">
        <v>0</v>
      </c>
      <c r="V490" s="5">
        <v>0</v>
      </c>
      <c r="W490" s="39"/>
      <c r="X490" s="22"/>
      <c r="Y490" s="41"/>
    </row>
    <row r="491" spans="1:25" ht="13.95" customHeight="1">
      <c r="A491" s="23" t="s">
        <v>49</v>
      </c>
      <c r="B491" s="23" t="s">
        <v>22</v>
      </c>
      <c r="C491" s="23" t="s">
        <v>73</v>
      </c>
      <c r="D491" s="23" t="str">
        <f t="shared" si="8"/>
        <v>Autoimmune</v>
      </c>
      <c r="E491" s="32" t="s">
        <v>1175</v>
      </c>
      <c r="F491" s="23" t="s">
        <v>1187</v>
      </c>
      <c r="G491" s="69" t="s">
        <v>36</v>
      </c>
      <c r="H491" s="33">
        <v>192877007</v>
      </c>
      <c r="I491" s="23"/>
      <c r="J491" s="23"/>
      <c r="K491" s="23"/>
      <c r="L491" s="23"/>
      <c r="M491" s="23"/>
      <c r="N491" s="22"/>
      <c r="O491" s="23"/>
      <c r="P491" s="23"/>
      <c r="Q491" s="23"/>
      <c r="R491" s="4"/>
      <c r="S491" s="23">
        <v>0</v>
      </c>
      <c r="T491" s="23">
        <v>0</v>
      </c>
      <c r="U491" s="23">
        <v>0</v>
      </c>
      <c r="V491" s="5">
        <v>0</v>
      </c>
      <c r="W491" s="39"/>
      <c r="X491" s="22"/>
      <c r="Y491" s="41"/>
    </row>
    <row r="492" spans="1:25" ht="13.95" customHeight="1">
      <c r="A492" s="23" t="s">
        <v>49</v>
      </c>
      <c r="B492" s="23" t="s">
        <v>22</v>
      </c>
      <c r="C492" s="23" t="s">
        <v>73</v>
      </c>
      <c r="D492" s="23" t="str">
        <f t="shared" si="8"/>
        <v>Autoimmune</v>
      </c>
      <c r="E492" s="32" t="s">
        <v>1175</v>
      </c>
      <c r="F492" s="23" t="s">
        <v>1188</v>
      </c>
      <c r="G492" s="69" t="s">
        <v>36</v>
      </c>
      <c r="H492" s="33">
        <v>192877007</v>
      </c>
      <c r="I492" s="23"/>
      <c r="J492" s="23"/>
      <c r="K492" s="23"/>
      <c r="L492" s="23"/>
      <c r="M492" s="23"/>
      <c r="N492" s="22"/>
      <c r="O492" s="23"/>
      <c r="P492" s="23"/>
      <c r="Q492" s="23"/>
      <c r="R492" s="4"/>
      <c r="S492" s="23">
        <v>0</v>
      </c>
      <c r="T492" s="23">
        <v>0</v>
      </c>
      <c r="U492" s="23">
        <v>0</v>
      </c>
      <c r="V492" s="5">
        <v>0</v>
      </c>
      <c r="W492" s="39"/>
      <c r="X492" s="22"/>
      <c r="Y492" s="41"/>
    </row>
    <row r="493" spans="1:25" ht="13.95" customHeight="1">
      <c r="A493" s="23" t="s">
        <v>38</v>
      </c>
      <c r="B493" s="23" t="s">
        <v>86</v>
      </c>
      <c r="C493" s="23" t="s">
        <v>23</v>
      </c>
      <c r="D493" s="23" t="str">
        <f t="shared" si="8"/>
        <v>Unconfirmed</v>
      </c>
      <c r="E493" s="32" t="s">
        <v>1189</v>
      </c>
      <c r="F493" s="23" t="s">
        <v>1189</v>
      </c>
      <c r="G493" s="69" t="s">
        <v>1190</v>
      </c>
      <c r="H493" s="33">
        <v>1963002</v>
      </c>
      <c r="I493" s="23">
        <v>4024671</v>
      </c>
      <c r="J493" s="22" t="s">
        <v>1191</v>
      </c>
      <c r="K493" s="2" t="s">
        <v>1192</v>
      </c>
      <c r="L493" s="2" t="s">
        <v>1193</v>
      </c>
      <c r="M493" s="3" t="s">
        <v>78</v>
      </c>
      <c r="N493" s="22" t="s">
        <v>1196</v>
      </c>
      <c r="O493" s="58" t="s">
        <v>1194</v>
      </c>
      <c r="P493" s="23">
        <v>0.12</v>
      </c>
      <c r="Q493" s="23">
        <v>0.13</v>
      </c>
      <c r="R493" s="4">
        <v>100000</v>
      </c>
      <c r="S493" s="4">
        <f>+(P493/R493)*[1]Population!$C$2</f>
        <v>399.96</v>
      </c>
      <c r="T493" s="4">
        <f>IF(ISBLANK(Q493),S493,+(Q493/R493)*[1]Population!$C$2)</f>
        <v>433.29</v>
      </c>
      <c r="U493" s="1">
        <f>+AVERAGE(S493:T493)</f>
        <v>416.625</v>
      </c>
      <c r="V493" s="5">
        <f>+(U493/[1]Population!$C$2)*100000</f>
        <v>0.125</v>
      </c>
      <c r="W493" s="23"/>
      <c r="X493" s="22" t="s">
        <v>1195</v>
      </c>
      <c r="Y493" s="41"/>
    </row>
    <row r="494" spans="1:25" ht="13.95" customHeight="1">
      <c r="A494" s="23" t="s">
        <v>49</v>
      </c>
      <c r="B494" s="23" t="s">
        <v>226</v>
      </c>
      <c r="C494" s="23" t="s">
        <v>86</v>
      </c>
      <c r="D494" s="23" t="str">
        <f t="shared" si="8"/>
        <v>Autoimmune</v>
      </c>
      <c r="E494" s="32" t="s">
        <v>1197</v>
      </c>
      <c r="F494" s="23" t="s">
        <v>1198</v>
      </c>
      <c r="G494" s="69" t="s">
        <v>34</v>
      </c>
      <c r="H494" s="33">
        <v>446682003</v>
      </c>
      <c r="I494" s="23"/>
      <c r="J494" s="23"/>
      <c r="K494" s="23"/>
      <c r="L494" s="23"/>
      <c r="M494" s="23"/>
      <c r="N494" s="22"/>
      <c r="O494" s="23"/>
      <c r="P494" s="23"/>
      <c r="Q494" s="23"/>
      <c r="R494" s="4"/>
      <c r="S494" s="23">
        <v>0</v>
      </c>
      <c r="T494" s="23">
        <v>0</v>
      </c>
      <c r="U494" s="23">
        <v>0</v>
      </c>
      <c r="V494" s="5">
        <v>0</v>
      </c>
      <c r="W494" s="39"/>
      <c r="X494" s="22"/>
      <c r="Y494" s="41"/>
    </row>
    <row r="495" spans="1:25" ht="13.95" customHeight="1">
      <c r="A495" s="23" t="s">
        <v>49</v>
      </c>
      <c r="B495" s="23" t="s">
        <v>226</v>
      </c>
      <c r="C495" s="23" t="s">
        <v>86</v>
      </c>
      <c r="D495" s="23" t="str">
        <f t="shared" si="8"/>
        <v>Autoimmune</v>
      </c>
      <c r="E495" s="32" t="s">
        <v>1197</v>
      </c>
      <c r="F495" s="23" t="s">
        <v>1199</v>
      </c>
      <c r="G495" s="69" t="s">
        <v>34</v>
      </c>
      <c r="H495" s="33">
        <v>446682003</v>
      </c>
      <c r="I495" s="23"/>
      <c r="J495" s="23"/>
      <c r="K495" s="23"/>
      <c r="L495" s="23"/>
      <c r="M495" s="23"/>
      <c r="N495" s="22"/>
      <c r="O495" s="23"/>
      <c r="P495" s="23"/>
      <c r="Q495" s="23"/>
      <c r="R495" s="4"/>
      <c r="S495" s="23">
        <v>0</v>
      </c>
      <c r="T495" s="23">
        <v>0</v>
      </c>
      <c r="U495" s="23">
        <v>0</v>
      </c>
      <c r="V495" s="5">
        <v>0</v>
      </c>
      <c r="W495" s="39"/>
      <c r="X495" s="22"/>
      <c r="Y495" s="41"/>
    </row>
    <row r="496" spans="1:25" ht="13.95" customHeight="1">
      <c r="A496" s="23" t="s">
        <v>49</v>
      </c>
      <c r="B496" s="23" t="s">
        <v>226</v>
      </c>
      <c r="C496" s="23" t="s">
        <v>86</v>
      </c>
      <c r="D496" s="23" t="str">
        <f t="shared" si="8"/>
        <v>Autoimmune</v>
      </c>
      <c r="E496" s="32" t="s">
        <v>1197</v>
      </c>
      <c r="F496" s="23" t="s">
        <v>1197</v>
      </c>
      <c r="G496" s="69" t="s">
        <v>25</v>
      </c>
      <c r="H496" s="33">
        <v>446682003</v>
      </c>
      <c r="I496" s="23">
        <v>40488855</v>
      </c>
      <c r="J496" s="22" t="s">
        <v>1200</v>
      </c>
      <c r="K496" s="39" t="s">
        <v>410</v>
      </c>
      <c r="L496" s="39" t="s">
        <v>411</v>
      </c>
      <c r="M496" s="9" t="s">
        <v>78</v>
      </c>
      <c r="N496" s="22" t="s">
        <v>1202</v>
      </c>
      <c r="O496" s="11" t="s">
        <v>1152</v>
      </c>
      <c r="P496" s="50">
        <v>1</v>
      </c>
      <c r="Q496" s="50"/>
      <c r="R496" s="50">
        <v>200</v>
      </c>
      <c r="S496" s="11">
        <f>+(P496/R496)*[1]Population!C4</f>
        <v>361797.15000000031</v>
      </c>
      <c r="T496" s="11">
        <f>+S496</f>
        <v>361797.15000000031</v>
      </c>
      <c r="U496" s="1">
        <f>+AVERAGE(S496:T496)</f>
        <v>361797.15000000031</v>
      </c>
      <c r="V496" s="5">
        <f>+(U496/[1]Population!$C$2)*100000</f>
        <v>108.5500000000001</v>
      </c>
      <c r="W496" s="23"/>
      <c r="X496" s="22" t="s">
        <v>1201</v>
      </c>
      <c r="Y496" s="41"/>
    </row>
    <row r="497" spans="1:25" ht="13.95" customHeight="1">
      <c r="A497" s="23" t="s">
        <v>49</v>
      </c>
      <c r="B497" s="23" t="s">
        <v>226</v>
      </c>
      <c r="C497" s="23" t="s">
        <v>86</v>
      </c>
      <c r="D497" s="23" t="str">
        <f t="shared" si="8"/>
        <v>Autoimmune</v>
      </c>
      <c r="E497" s="32" t="s">
        <v>1197</v>
      </c>
      <c r="F497" s="23" t="s">
        <v>1203</v>
      </c>
      <c r="G497" s="69" t="s">
        <v>36</v>
      </c>
      <c r="H497" s="33">
        <v>446682003</v>
      </c>
      <c r="I497" s="23"/>
      <c r="J497" s="23"/>
      <c r="K497" s="23"/>
      <c r="L497" s="23"/>
      <c r="M497" s="23"/>
      <c r="N497" s="22"/>
      <c r="O497" s="23"/>
      <c r="P497" s="23"/>
      <c r="Q497" s="23"/>
      <c r="R497" s="4"/>
      <c r="S497" s="23">
        <v>0</v>
      </c>
      <c r="T497" s="23">
        <v>0</v>
      </c>
      <c r="U497" s="23">
        <v>0</v>
      </c>
      <c r="V497" s="5">
        <v>0</v>
      </c>
      <c r="W497" s="39"/>
      <c r="X497" s="22"/>
      <c r="Y497" s="41"/>
    </row>
    <row r="498" spans="1:25" ht="13.95" customHeight="1">
      <c r="A498" s="23" t="s">
        <v>21</v>
      </c>
      <c r="B498" s="23" t="s">
        <v>22</v>
      </c>
      <c r="C498" s="23" t="s">
        <v>73</v>
      </c>
      <c r="D498" s="23" t="str">
        <f t="shared" si="8"/>
        <v>Autoimmune</v>
      </c>
      <c r="E498" s="32" t="s">
        <v>1204</v>
      </c>
      <c r="F498" s="23" t="s">
        <v>1205</v>
      </c>
      <c r="G498" s="69" t="s">
        <v>52</v>
      </c>
      <c r="H498" s="33">
        <v>35154004</v>
      </c>
      <c r="I498" s="23">
        <v>4148690</v>
      </c>
      <c r="J498" s="22"/>
      <c r="K498" s="2" t="s">
        <v>1206</v>
      </c>
      <c r="L498" s="2" t="s">
        <v>1207</v>
      </c>
      <c r="M498" s="9" t="s">
        <v>78</v>
      </c>
      <c r="N498" s="22" t="s">
        <v>1210</v>
      </c>
      <c r="O498" s="4"/>
      <c r="P498" s="23">
        <v>4.9000000000000004</v>
      </c>
      <c r="Q498" s="23">
        <v>5.4</v>
      </c>
      <c r="R498" s="4">
        <v>100000</v>
      </c>
      <c r="S498" s="4">
        <f>+(P498/R498)*[1]Population!$C$2</f>
        <v>16331.700000000003</v>
      </c>
      <c r="T498" s="4">
        <f>IF(ISBLANK(Q498),S498,+(Q498/R498)*[1]Population!$C$2)</f>
        <v>17998.2</v>
      </c>
      <c r="U498" s="1">
        <f t="shared" ref="U498:U505" si="9">+AVERAGE(S498:T498)</f>
        <v>17164.95</v>
      </c>
      <c r="V498" s="5">
        <f>+(U498/[1]Population!$C$2)*100000</f>
        <v>5.15</v>
      </c>
      <c r="W498" s="23" t="s">
        <v>1208</v>
      </c>
      <c r="X498" s="22" t="s">
        <v>1209</v>
      </c>
      <c r="Y498" s="41"/>
    </row>
    <row r="499" spans="1:25" ht="13.95" customHeight="1">
      <c r="A499" s="23" t="s">
        <v>21</v>
      </c>
      <c r="B499" s="23" t="s">
        <v>22</v>
      </c>
      <c r="C499" s="23" t="s">
        <v>73</v>
      </c>
      <c r="D499" s="23" t="str">
        <f t="shared" si="8"/>
        <v>Autoimmune</v>
      </c>
      <c r="E499" s="32" t="s">
        <v>1204</v>
      </c>
      <c r="F499" s="23" t="s">
        <v>1211</v>
      </c>
      <c r="G499" s="69" t="s">
        <v>52</v>
      </c>
      <c r="H499" s="33">
        <v>36739006</v>
      </c>
      <c r="I499" s="23">
        <v>4279526</v>
      </c>
      <c r="J499" s="22"/>
      <c r="K499" s="2" t="s">
        <v>1206</v>
      </c>
      <c r="L499" s="2" t="s">
        <v>1207</v>
      </c>
      <c r="M499" s="9" t="s">
        <v>78</v>
      </c>
      <c r="N499" s="22" t="s">
        <v>1210</v>
      </c>
      <c r="O499" s="4"/>
      <c r="P499" s="23">
        <v>4.9000000000000004</v>
      </c>
      <c r="Q499" s="23">
        <v>5.4</v>
      </c>
      <c r="R499" s="4">
        <v>100000</v>
      </c>
      <c r="S499" s="4">
        <f>+(P499/R499)*[1]Population!$C$2</f>
        <v>16331.700000000003</v>
      </c>
      <c r="T499" s="4">
        <f>IF(ISBLANK(Q499),S499,+(Q499/R499)*[1]Population!$C$2)</f>
        <v>17998.2</v>
      </c>
      <c r="U499" s="1">
        <f t="shared" si="9"/>
        <v>17164.95</v>
      </c>
      <c r="V499" s="5">
        <f>+(U499/[1]Population!$C$2)*100000</f>
        <v>5.15</v>
      </c>
      <c r="W499" s="23" t="s">
        <v>1208</v>
      </c>
      <c r="X499" s="22" t="s">
        <v>1209</v>
      </c>
      <c r="Y499" s="41"/>
    </row>
    <row r="500" spans="1:25" ht="13.95" customHeight="1">
      <c r="A500" s="23" t="s">
        <v>21</v>
      </c>
      <c r="B500" s="23" t="s">
        <v>22</v>
      </c>
      <c r="C500" s="23" t="s">
        <v>73</v>
      </c>
      <c r="D500" s="23" t="str">
        <f t="shared" si="8"/>
        <v>Autoimmune</v>
      </c>
      <c r="E500" s="32" t="s">
        <v>1204</v>
      </c>
      <c r="F500" s="23" t="s">
        <v>1212</v>
      </c>
      <c r="G500" s="69" t="s">
        <v>52</v>
      </c>
      <c r="H500" s="33">
        <v>46459009</v>
      </c>
      <c r="I500" s="23">
        <v>4262682</v>
      </c>
      <c r="J500" s="22"/>
      <c r="K500" s="2" t="s">
        <v>1206</v>
      </c>
      <c r="L500" s="2" t="s">
        <v>1207</v>
      </c>
      <c r="M500" s="9" t="s">
        <v>78</v>
      </c>
      <c r="N500" s="22" t="s">
        <v>1210</v>
      </c>
      <c r="O500" s="4"/>
      <c r="P500" s="23">
        <v>4.9000000000000004</v>
      </c>
      <c r="Q500" s="23">
        <v>5.4</v>
      </c>
      <c r="R500" s="4">
        <v>100000</v>
      </c>
      <c r="S500" s="4">
        <f>+(P500/R500)*[1]Population!$C$2</f>
        <v>16331.700000000003</v>
      </c>
      <c r="T500" s="4">
        <f>IF(ISBLANK(Q500),S500,+(Q500/R500)*[1]Population!$C$2)</f>
        <v>17998.2</v>
      </c>
      <c r="U500" s="1">
        <f t="shared" si="9"/>
        <v>17164.95</v>
      </c>
      <c r="V500" s="5">
        <f>+(U500/[1]Population!$C$2)*100000</f>
        <v>5.15</v>
      </c>
      <c r="W500" s="23" t="s">
        <v>1208</v>
      </c>
      <c r="X500" s="22" t="s">
        <v>1209</v>
      </c>
      <c r="Y500" s="41"/>
    </row>
    <row r="501" spans="1:25" ht="13.95" customHeight="1">
      <c r="A501" s="23" t="s">
        <v>21</v>
      </c>
      <c r="B501" s="23" t="s">
        <v>22</v>
      </c>
      <c r="C501" s="23" t="s">
        <v>73</v>
      </c>
      <c r="D501" s="23" t="str">
        <f t="shared" si="8"/>
        <v>Autoimmune</v>
      </c>
      <c r="E501" s="32" t="s">
        <v>1204</v>
      </c>
      <c r="F501" s="23" t="s">
        <v>1213</v>
      </c>
      <c r="G501" s="69" t="s">
        <v>52</v>
      </c>
      <c r="H501" s="33">
        <v>49420001</v>
      </c>
      <c r="I501" s="23">
        <v>4170723</v>
      </c>
      <c r="J501" s="22"/>
      <c r="K501" s="2" t="s">
        <v>1206</v>
      </c>
      <c r="L501" s="2" t="s">
        <v>1207</v>
      </c>
      <c r="M501" s="9" t="s">
        <v>78</v>
      </c>
      <c r="N501" s="22" t="s">
        <v>1210</v>
      </c>
      <c r="O501" s="4"/>
      <c r="P501" s="23">
        <v>4.9000000000000004</v>
      </c>
      <c r="Q501" s="23">
        <v>5.4</v>
      </c>
      <c r="R501" s="4">
        <v>100000</v>
      </c>
      <c r="S501" s="4">
        <f>+(P501/R501)*[1]Population!$C$2</f>
        <v>16331.700000000003</v>
      </c>
      <c r="T501" s="4">
        <f>IF(ISBLANK(Q501),S501,+(Q501/R501)*[1]Population!$C$2)</f>
        <v>17998.2</v>
      </c>
      <c r="U501" s="1">
        <f t="shared" si="9"/>
        <v>17164.95</v>
      </c>
      <c r="V501" s="5">
        <f>+(U501/[1]Population!$C$2)*100000</f>
        <v>5.15</v>
      </c>
      <c r="W501" s="23" t="s">
        <v>1208</v>
      </c>
      <c r="X501" s="22" t="s">
        <v>1209</v>
      </c>
      <c r="Y501" s="41"/>
    </row>
    <row r="502" spans="1:25" ht="13.95" customHeight="1">
      <c r="A502" s="39" t="s">
        <v>21</v>
      </c>
      <c r="B502" s="39" t="s">
        <v>22</v>
      </c>
      <c r="C502" s="39" t="s">
        <v>73</v>
      </c>
      <c r="D502" s="39" t="str">
        <f t="shared" si="8"/>
        <v>Autoimmune</v>
      </c>
      <c r="E502" s="59" t="s">
        <v>1204</v>
      </c>
      <c r="F502" s="39" t="s">
        <v>1204</v>
      </c>
      <c r="G502" s="69" t="s">
        <v>25</v>
      </c>
      <c r="H502" s="33">
        <v>65172003</v>
      </c>
      <c r="I502" s="39">
        <v>135338</v>
      </c>
      <c r="J502" s="22" t="s">
        <v>1214</v>
      </c>
      <c r="K502" s="18" t="s">
        <v>1206</v>
      </c>
      <c r="L502" s="18" t="s">
        <v>1207</v>
      </c>
      <c r="M502" s="19" t="s">
        <v>78</v>
      </c>
      <c r="N502" s="41" t="s">
        <v>1210</v>
      </c>
      <c r="O502" s="11"/>
      <c r="P502" s="39">
        <v>4.9000000000000004</v>
      </c>
      <c r="Q502" s="39">
        <v>5.4</v>
      </c>
      <c r="R502" s="11">
        <v>100000</v>
      </c>
      <c r="S502" s="11">
        <f>+(P502/R502)*[1]Population!$C$2</f>
        <v>16331.700000000003</v>
      </c>
      <c r="T502" s="11">
        <f>IF(ISBLANK(Q502),S502,+(Q502/R502)*[1]Population!$C$2)</f>
        <v>17998.2</v>
      </c>
      <c r="U502" s="14">
        <f t="shared" si="9"/>
        <v>17164.95</v>
      </c>
      <c r="V502" s="20">
        <f>+(U502/[1]Population!$C$2)*100000</f>
        <v>5.15</v>
      </c>
      <c r="W502" s="39" t="s">
        <v>1208</v>
      </c>
      <c r="X502" s="41" t="s">
        <v>1209</v>
      </c>
      <c r="Y502" s="41"/>
    </row>
    <row r="503" spans="1:25" ht="13.95" customHeight="1">
      <c r="A503" s="23" t="s">
        <v>21</v>
      </c>
      <c r="B503" s="23" t="s">
        <v>22</v>
      </c>
      <c r="C503" s="23" t="s">
        <v>73</v>
      </c>
      <c r="D503" s="23" t="str">
        <f t="shared" si="8"/>
        <v>Autoimmune</v>
      </c>
      <c r="E503" s="32" t="s">
        <v>1204</v>
      </c>
      <c r="F503" s="23" t="s">
        <v>1215</v>
      </c>
      <c r="G503" s="69" t="s">
        <v>52</v>
      </c>
      <c r="H503" s="33">
        <v>200907003</v>
      </c>
      <c r="I503" s="23">
        <v>4066821</v>
      </c>
      <c r="J503" s="22"/>
      <c r="K503" s="2" t="s">
        <v>1206</v>
      </c>
      <c r="L503" s="2" t="s">
        <v>1207</v>
      </c>
      <c r="M503" s="9" t="s">
        <v>78</v>
      </c>
      <c r="N503" s="22" t="s">
        <v>1210</v>
      </c>
      <c r="O503" s="4"/>
      <c r="P503" s="23">
        <v>4.9000000000000004</v>
      </c>
      <c r="Q503" s="23">
        <v>5.4</v>
      </c>
      <c r="R503" s="4">
        <v>100000</v>
      </c>
      <c r="S503" s="4">
        <f>+(P503/R503)*[1]Population!$C$2</f>
        <v>16331.700000000003</v>
      </c>
      <c r="T503" s="4">
        <f>IF(ISBLANK(Q503),S503,+(Q503/R503)*[1]Population!$C$2)</f>
        <v>17998.2</v>
      </c>
      <c r="U503" s="1">
        <f t="shared" si="9"/>
        <v>17164.95</v>
      </c>
      <c r="V503" s="5">
        <f>+(U503/[1]Population!$C$2)*100000</f>
        <v>5.15</v>
      </c>
      <c r="W503" s="23" t="s">
        <v>1208</v>
      </c>
      <c r="X503" s="22" t="s">
        <v>1209</v>
      </c>
      <c r="Y503" s="41"/>
    </row>
    <row r="504" spans="1:25" ht="13.95" customHeight="1">
      <c r="A504" s="23" t="s">
        <v>21</v>
      </c>
      <c r="B504" s="23" t="s">
        <v>22</v>
      </c>
      <c r="C504" s="23" t="s">
        <v>73</v>
      </c>
      <c r="D504" s="23" t="str">
        <f t="shared" si="8"/>
        <v>Autoimmune</v>
      </c>
      <c r="E504" s="32" t="s">
        <v>1204</v>
      </c>
      <c r="F504" s="23" t="s">
        <v>1216</v>
      </c>
      <c r="G504" s="69" t="s">
        <v>52</v>
      </c>
      <c r="H504" s="33">
        <v>402718003</v>
      </c>
      <c r="I504" s="23">
        <v>4291435</v>
      </c>
      <c r="J504" s="22"/>
      <c r="K504" s="2" t="s">
        <v>1206</v>
      </c>
      <c r="L504" s="2" t="s">
        <v>1207</v>
      </c>
      <c r="M504" s="9" t="s">
        <v>78</v>
      </c>
      <c r="N504" s="22" t="s">
        <v>1210</v>
      </c>
      <c r="O504" s="4"/>
      <c r="P504" s="23">
        <v>4.9000000000000004</v>
      </c>
      <c r="Q504" s="23">
        <v>5.4</v>
      </c>
      <c r="R504" s="4">
        <v>100000</v>
      </c>
      <c r="S504" s="4">
        <f>+(P504/R504)*[1]Population!$C$2</f>
        <v>16331.700000000003</v>
      </c>
      <c r="T504" s="4">
        <f>IF(ISBLANK(Q504),S504,+(Q504/R504)*[1]Population!$C$2)</f>
        <v>17998.2</v>
      </c>
      <c r="U504" s="1">
        <f t="shared" si="9"/>
        <v>17164.95</v>
      </c>
      <c r="V504" s="5">
        <f>+(U504/[1]Population!$C$2)*100000</f>
        <v>5.15</v>
      </c>
      <c r="W504" s="23" t="s">
        <v>1208</v>
      </c>
      <c r="X504" s="22" t="s">
        <v>1209</v>
      </c>
      <c r="Y504" s="41"/>
    </row>
    <row r="505" spans="1:25" ht="13.95" customHeight="1">
      <c r="A505" s="23" t="s">
        <v>49</v>
      </c>
      <c r="B505" s="23" t="s">
        <v>86</v>
      </c>
      <c r="C505" s="23" t="s">
        <v>86</v>
      </c>
      <c r="D505" s="23" t="str">
        <f t="shared" si="8"/>
        <v>Unconfirmed</v>
      </c>
      <c r="E505" s="32" t="s">
        <v>1217</v>
      </c>
      <c r="F505" s="23" t="s">
        <v>1217</v>
      </c>
      <c r="G505" s="69" t="s">
        <v>25</v>
      </c>
      <c r="H505" s="33">
        <v>79268002</v>
      </c>
      <c r="I505" s="23">
        <v>4193776</v>
      </c>
      <c r="J505" s="22" t="s">
        <v>1218</v>
      </c>
      <c r="K505" s="2" t="s">
        <v>1219</v>
      </c>
      <c r="L505" s="2" t="s">
        <v>1220</v>
      </c>
      <c r="M505" s="9" t="s">
        <v>78</v>
      </c>
      <c r="N505" s="22" t="s">
        <v>1222</v>
      </c>
      <c r="O505" s="4"/>
      <c r="P505" s="23">
        <v>0.3</v>
      </c>
      <c r="Q505" s="23"/>
      <c r="R505" s="4">
        <v>100000</v>
      </c>
      <c r="S505" s="4">
        <f>+(P505/R505)*[1]Population!$C$2</f>
        <v>999.9</v>
      </c>
      <c r="T505" s="4">
        <f>IF(ISBLANK(Q505),S505,+(Q505/R505)*[1]Population!$C$2)</f>
        <v>999.9</v>
      </c>
      <c r="U505" s="1">
        <f t="shared" si="9"/>
        <v>999.9</v>
      </c>
      <c r="V505" s="5">
        <f>+(U505/[1]Population!$C$2)*100000</f>
        <v>0.3</v>
      </c>
      <c r="W505" s="23"/>
      <c r="X505" s="22" t="s">
        <v>1221</v>
      </c>
      <c r="Y505" s="41"/>
    </row>
    <row r="506" spans="1:25" ht="13.95" customHeight="1">
      <c r="A506" s="23" t="s">
        <v>49</v>
      </c>
      <c r="B506" s="23" t="s">
        <v>86</v>
      </c>
      <c r="C506" s="23" t="s">
        <v>86</v>
      </c>
      <c r="D506" s="23" t="str">
        <f t="shared" si="8"/>
        <v>Unconfirmed</v>
      </c>
      <c r="E506" s="32" t="s">
        <v>1217</v>
      </c>
      <c r="F506" s="23" t="s">
        <v>1223</v>
      </c>
      <c r="G506" s="69" t="s">
        <v>36</v>
      </c>
      <c r="H506" s="33">
        <v>79268002</v>
      </c>
      <c r="I506" s="23"/>
      <c r="J506" s="23"/>
      <c r="K506" s="23"/>
      <c r="L506" s="23"/>
      <c r="M506" s="23"/>
      <c r="N506" s="22"/>
      <c r="O506" s="23"/>
      <c r="P506" s="23"/>
      <c r="Q506" s="23"/>
      <c r="R506" s="4"/>
      <c r="S506" s="23">
        <v>0</v>
      </c>
      <c r="T506" s="23">
        <v>0</v>
      </c>
      <c r="U506" s="23">
        <v>0</v>
      </c>
      <c r="V506" s="5">
        <v>0</v>
      </c>
      <c r="W506" s="39"/>
      <c r="X506" s="22"/>
      <c r="Y506" s="41"/>
    </row>
    <row r="507" spans="1:25" ht="13.95" customHeight="1">
      <c r="A507" s="23" t="s">
        <v>49</v>
      </c>
      <c r="B507" s="23" t="s">
        <v>86</v>
      </c>
      <c r="C507" s="23" t="s">
        <v>86</v>
      </c>
      <c r="D507" s="23" t="str">
        <f t="shared" si="8"/>
        <v>Unconfirmed</v>
      </c>
      <c r="E507" s="32" t="s">
        <v>1217</v>
      </c>
      <c r="F507" s="23" t="s">
        <v>1224</v>
      </c>
      <c r="G507" s="69" t="s">
        <v>36</v>
      </c>
      <c r="H507" s="33">
        <v>79268002</v>
      </c>
      <c r="I507" s="23"/>
      <c r="J507" s="23"/>
      <c r="K507" s="23"/>
      <c r="L507" s="23"/>
      <c r="M507" s="23"/>
      <c r="N507" s="22"/>
      <c r="O507" s="23"/>
      <c r="P507" s="23"/>
      <c r="Q507" s="23"/>
      <c r="R507" s="4"/>
      <c r="S507" s="23">
        <v>0</v>
      </c>
      <c r="T507" s="23">
        <v>0</v>
      </c>
      <c r="U507" s="23">
        <v>0</v>
      </c>
      <c r="V507" s="5">
        <v>0</v>
      </c>
      <c r="W507" s="39"/>
      <c r="X507" s="22"/>
      <c r="Y507" s="41"/>
    </row>
    <row r="508" spans="1:25" ht="13.95" customHeight="1">
      <c r="A508" s="23" t="s">
        <v>49</v>
      </c>
      <c r="B508" s="23" t="s">
        <v>86</v>
      </c>
      <c r="C508" s="23" t="s">
        <v>86</v>
      </c>
      <c r="D508" s="23" t="str">
        <f t="shared" si="8"/>
        <v>Unconfirmed</v>
      </c>
      <c r="E508" s="32" t="s">
        <v>1217</v>
      </c>
      <c r="F508" s="23" t="s">
        <v>1225</v>
      </c>
      <c r="G508" s="69" t="s">
        <v>36</v>
      </c>
      <c r="H508" s="33">
        <v>79268002</v>
      </c>
      <c r="I508" s="23"/>
      <c r="J508" s="23"/>
      <c r="K508" s="23"/>
      <c r="L508" s="23"/>
      <c r="M508" s="23"/>
      <c r="N508" s="22"/>
      <c r="O508" s="23"/>
      <c r="P508" s="23"/>
      <c r="Q508" s="23"/>
      <c r="R508" s="4"/>
      <c r="S508" s="23">
        <v>0</v>
      </c>
      <c r="T508" s="23">
        <v>0</v>
      </c>
      <c r="U508" s="23">
        <v>0</v>
      </c>
      <c r="V508" s="5">
        <v>0</v>
      </c>
      <c r="W508" s="39"/>
      <c r="X508" s="22"/>
      <c r="Y508" s="41"/>
    </row>
    <row r="509" spans="1:25" ht="13.95" customHeight="1">
      <c r="A509" s="23" t="s">
        <v>49</v>
      </c>
      <c r="B509" s="23" t="s">
        <v>86</v>
      </c>
      <c r="C509" s="23" t="s">
        <v>86</v>
      </c>
      <c r="D509" s="23" t="str">
        <f t="shared" si="8"/>
        <v>Unconfirmed</v>
      </c>
      <c r="E509" s="32" t="s">
        <v>1217</v>
      </c>
      <c r="F509" s="23" t="s">
        <v>1226</v>
      </c>
      <c r="G509" s="69" t="s">
        <v>36</v>
      </c>
      <c r="H509" s="33">
        <v>79268002</v>
      </c>
      <c r="I509" s="23"/>
      <c r="J509" s="23"/>
      <c r="K509" s="23"/>
      <c r="L509" s="23"/>
      <c r="M509" s="23"/>
      <c r="N509" s="22"/>
      <c r="O509" s="23"/>
      <c r="P509" s="23"/>
      <c r="Q509" s="23"/>
      <c r="R509" s="4"/>
      <c r="S509" s="23">
        <v>0</v>
      </c>
      <c r="T509" s="23">
        <v>0</v>
      </c>
      <c r="U509" s="23">
        <v>0</v>
      </c>
      <c r="V509" s="5">
        <v>0</v>
      </c>
      <c r="W509" s="39"/>
      <c r="X509" s="22"/>
      <c r="Y509" s="41"/>
    </row>
    <row r="510" spans="1:25" ht="13.95" customHeight="1">
      <c r="A510" s="23" t="s">
        <v>49</v>
      </c>
      <c r="B510" s="23" t="s">
        <v>86</v>
      </c>
      <c r="C510" s="23" t="s">
        <v>86</v>
      </c>
      <c r="D510" s="23" t="str">
        <f t="shared" si="8"/>
        <v>Unconfirmed</v>
      </c>
      <c r="E510" s="32" t="s">
        <v>1217</v>
      </c>
      <c r="F510" s="23" t="s">
        <v>1227</v>
      </c>
      <c r="G510" s="69" t="s">
        <v>36</v>
      </c>
      <c r="H510" s="33">
        <v>79268002</v>
      </c>
      <c r="I510" s="23"/>
      <c r="J510" s="23"/>
      <c r="K510" s="23"/>
      <c r="L510" s="23"/>
      <c r="M510" s="23"/>
      <c r="N510" s="22"/>
      <c r="O510" s="23"/>
      <c r="P510" s="23"/>
      <c r="Q510" s="23"/>
      <c r="R510" s="4"/>
      <c r="S510" s="23">
        <v>0</v>
      </c>
      <c r="T510" s="23">
        <v>0</v>
      </c>
      <c r="U510" s="23">
        <v>0</v>
      </c>
      <c r="V510" s="5">
        <v>0</v>
      </c>
      <c r="W510" s="39"/>
      <c r="X510" s="22"/>
      <c r="Y510" s="41"/>
    </row>
    <row r="511" spans="1:25" ht="13.95" customHeight="1">
      <c r="A511" s="23" t="s">
        <v>49</v>
      </c>
      <c r="B511" s="23" t="s">
        <v>86</v>
      </c>
      <c r="C511" s="23" t="s">
        <v>86</v>
      </c>
      <c r="D511" s="23" t="str">
        <f t="shared" si="8"/>
        <v>Unconfirmed</v>
      </c>
      <c r="E511" s="32" t="s">
        <v>1217</v>
      </c>
      <c r="F511" s="23" t="s">
        <v>1228</v>
      </c>
      <c r="G511" s="69" t="s">
        <v>36</v>
      </c>
      <c r="H511" s="33">
        <v>79268002</v>
      </c>
      <c r="I511" s="23"/>
      <c r="J511" s="23"/>
      <c r="K511" s="23"/>
      <c r="L511" s="23"/>
      <c r="M511" s="23"/>
      <c r="N511" s="22"/>
      <c r="O511" s="23"/>
      <c r="P511" s="23"/>
      <c r="Q511" s="23"/>
      <c r="R511" s="4"/>
      <c r="S511" s="23">
        <v>0</v>
      </c>
      <c r="T511" s="23">
        <v>0</v>
      </c>
      <c r="U511" s="23">
        <v>0</v>
      </c>
      <c r="V511" s="5">
        <v>0</v>
      </c>
      <c r="W511" s="39"/>
      <c r="X511" s="22"/>
      <c r="Y511" s="41"/>
    </row>
    <row r="512" spans="1:25" ht="13.95" customHeight="1">
      <c r="A512" s="23" t="s">
        <v>72</v>
      </c>
      <c r="B512" s="23" t="s">
        <v>86</v>
      </c>
      <c r="C512" s="23" t="s">
        <v>73</v>
      </c>
      <c r="D512" s="23" t="str">
        <f t="shared" si="8"/>
        <v>Unconfirmed</v>
      </c>
      <c r="E512" s="32" t="s">
        <v>1229</v>
      </c>
      <c r="F512" s="23" t="s">
        <v>1230</v>
      </c>
      <c r="G512" s="69" t="s">
        <v>34</v>
      </c>
      <c r="H512" s="33">
        <v>155441006</v>
      </c>
      <c r="I512" s="23"/>
      <c r="J512" s="23"/>
      <c r="K512" s="23"/>
      <c r="L512" s="23"/>
      <c r="M512" s="23"/>
      <c r="N512" s="22"/>
      <c r="O512" s="23"/>
      <c r="P512" s="23"/>
      <c r="Q512" s="23"/>
      <c r="R512" s="4"/>
      <c r="S512" s="23">
        <v>0</v>
      </c>
      <c r="T512" s="23">
        <v>0</v>
      </c>
      <c r="U512" s="23">
        <v>0</v>
      </c>
      <c r="V512" s="5">
        <v>0</v>
      </c>
      <c r="W512" s="39"/>
      <c r="X512" s="22"/>
      <c r="Y512" s="41"/>
    </row>
    <row r="513" spans="1:25" ht="13.95" customHeight="1">
      <c r="A513" s="23" t="s">
        <v>72</v>
      </c>
      <c r="B513" s="23" t="s">
        <v>86</v>
      </c>
      <c r="C513" s="23" t="s">
        <v>73</v>
      </c>
      <c r="D513" s="23" t="str">
        <f t="shared" si="8"/>
        <v>Unconfirmed</v>
      </c>
      <c r="E513" s="32" t="s">
        <v>1229</v>
      </c>
      <c r="F513" s="23" t="s">
        <v>1231</v>
      </c>
      <c r="G513" s="69" t="s">
        <v>34</v>
      </c>
      <c r="H513" s="33">
        <v>155441006</v>
      </c>
      <c r="I513" s="23"/>
      <c r="J513" s="23"/>
      <c r="K513" s="23"/>
      <c r="L513" s="23"/>
      <c r="M513" s="23"/>
      <c r="N513" s="22"/>
      <c r="O513" s="23"/>
      <c r="P513" s="23"/>
      <c r="Q513" s="23"/>
      <c r="R513" s="4"/>
      <c r="S513" s="23">
        <v>0</v>
      </c>
      <c r="T513" s="23">
        <v>0</v>
      </c>
      <c r="U513" s="23">
        <v>0</v>
      </c>
      <c r="V513" s="5">
        <v>0</v>
      </c>
      <c r="W513" s="39"/>
      <c r="X513" s="22"/>
      <c r="Y513" s="41"/>
    </row>
    <row r="514" spans="1:25" ht="13.95" customHeight="1">
      <c r="A514" s="23" t="s">
        <v>72</v>
      </c>
      <c r="B514" s="23" t="s">
        <v>86</v>
      </c>
      <c r="C514" s="23" t="s">
        <v>73</v>
      </c>
      <c r="D514" s="23" t="str">
        <f t="shared" si="8"/>
        <v>Unconfirmed</v>
      </c>
      <c r="E514" s="32" t="s">
        <v>1229</v>
      </c>
      <c r="F514" s="23" t="s">
        <v>1229</v>
      </c>
      <c r="G514" s="69" t="s">
        <v>25</v>
      </c>
      <c r="H514" s="33">
        <v>155441006</v>
      </c>
      <c r="I514" s="23">
        <v>320749</v>
      </c>
      <c r="J514" s="22" t="s">
        <v>1232</v>
      </c>
      <c r="K514" s="2" t="s">
        <v>1233</v>
      </c>
      <c r="L514" s="2" t="s">
        <v>1234</v>
      </c>
      <c r="M514" s="9" t="s">
        <v>78</v>
      </c>
      <c r="N514" s="22" t="s">
        <v>1235</v>
      </c>
      <c r="O514" s="4"/>
      <c r="P514" s="23">
        <v>0.16</v>
      </c>
      <c r="Q514" s="23"/>
      <c r="R514" s="4">
        <v>100000</v>
      </c>
      <c r="S514" s="4">
        <f>+(P514/R514)*[1]Population!$C$2</f>
        <v>533.28</v>
      </c>
      <c r="T514" s="4">
        <f>IF(ISBLANK(Q514),S514,+(Q514/R514)*[1]Population!$C$2)</f>
        <v>533.28</v>
      </c>
      <c r="U514" s="1">
        <f>+AVERAGE(S514:T514)</f>
        <v>533.28</v>
      </c>
      <c r="V514" s="5">
        <f>+(U514/[1]Population!$C$2)*100000</f>
        <v>0.16</v>
      </c>
      <c r="W514" s="23"/>
      <c r="X514" s="22" t="s">
        <v>179</v>
      </c>
      <c r="Y514" s="41"/>
    </row>
    <row r="515" spans="1:25" ht="13.95" customHeight="1">
      <c r="A515" s="23" t="s">
        <v>72</v>
      </c>
      <c r="B515" s="23" t="s">
        <v>86</v>
      </c>
      <c r="C515" s="23" t="s">
        <v>73</v>
      </c>
      <c r="D515" s="23" t="str">
        <f t="shared" si="8"/>
        <v>Unconfirmed</v>
      </c>
      <c r="E515" s="32" t="s">
        <v>1229</v>
      </c>
      <c r="F515" s="23" t="s">
        <v>1236</v>
      </c>
      <c r="G515" s="69" t="s">
        <v>36</v>
      </c>
      <c r="H515" s="33">
        <v>155441006</v>
      </c>
      <c r="I515" s="23"/>
      <c r="J515" s="23"/>
      <c r="K515" s="23"/>
      <c r="L515" s="23"/>
      <c r="M515" s="23"/>
      <c r="N515" s="22"/>
      <c r="O515" s="23"/>
      <c r="P515" s="23"/>
      <c r="Q515" s="23"/>
      <c r="R515" s="4"/>
      <c r="S515" s="23">
        <v>0</v>
      </c>
      <c r="T515" s="23">
        <v>0</v>
      </c>
      <c r="U515" s="23">
        <v>0</v>
      </c>
      <c r="V515" s="5">
        <v>0</v>
      </c>
      <c r="W515" s="39"/>
      <c r="X515" s="22"/>
      <c r="Y515" s="41"/>
    </row>
    <row r="516" spans="1:25" ht="13.95" customHeight="1">
      <c r="A516" s="23" t="s">
        <v>72</v>
      </c>
      <c r="B516" s="23" t="s">
        <v>86</v>
      </c>
      <c r="C516" s="23" t="s">
        <v>73</v>
      </c>
      <c r="D516" s="23" t="str">
        <f t="shared" si="8"/>
        <v>Unconfirmed</v>
      </c>
      <c r="E516" s="32" t="s">
        <v>1229</v>
      </c>
      <c r="F516" s="23" t="s">
        <v>1237</v>
      </c>
      <c r="G516" s="69" t="s">
        <v>36</v>
      </c>
      <c r="H516" s="33">
        <v>155441006</v>
      </c>
      <c r="I516" s="23">
        <v>320749</v>
      </c>
      <c r="J516" s="22"/>
      <c r="K516" s="2" t="s">
        <v>1233</v>
      </c>
      <c r="L516" s="2" t="s">
        <v>1234</v>
      </c>
      <c r="M516" s="9" t="s">
        <v>78</v>
      </c>
      <c r="N516" s="22" t="s">
        <v>1235</v>
      </c>
      <c r="O516" s="4"/>
      <c r="P516" s="23">
        <v>0.16</v>
      </c>
      <c r="Q516" s="23"/>
      <c r="R516" s="4">
        <v>100000</v>
      </c>
      <c r="S516" s="4">
        <f>+(P516/R516)*[1]Population!$C$2</f>
        <v>533.28</v>
      </c>
      <c r="T516" s="4">
        <f>IF(ISBLANK(Q516),S516,+(Q516/R516)*[1]Population!$C$2)</f>
        <v>533.28</v>
      </c>
      <c r="U516" s="1">
        <f>+AVERAGE(S516:T516)</f>
        <v>533.28</v>
      </c>
      <c r="V516" s="5">
        <f>+(U516/[1]Population!$C$2)*100000</f>
        <v>0.16</v>
      </c>
      <c r="W516" s="23"/>
      <c r="X516" s="22" t="s">
        <v>179</v>
      </c>
      <c r="Y516" s="41"/>
    </row>
    <row r="517" spans="1:25" ht="13.95" customHeight="1">
      <c r="A517" s="23" t="s">
        <v>72</v>
      </c>
      <c r="B517" s="23" t="s">
        <v>86</v>
      </c>
      <c r="C517" s="23" t="s">
        <v>73</v>
      </c>
      <c r="D517" s="23" t="str">
        <f t="shared" si="8"/>
        <v>Unconfirmed</v>
      </c>
      <c r="E517" s="32" t="s">
        <v>1229</v>
      </c>
      <c r="F517" s="23" t="s">
        <v>1238</v>
      </c>
      <c r="G517" s="69" t="s">
        <v>36</v>
      </c>
      <c r="H517" s="33">
        <v>155441006</v>
      </c>
      <c r="I517" s="23"/>
      <c r="J517" s="23"/>
      <c r="K517" s="23"/>
      <c r="L517" s="23"/>
      <c r="M517" s="23"/>
      <c r="N517" s="22"/>
      <c r="O517" s="23"/>
      <c r="P517" s="23"/>
      <c r="Q517" s="23"/>
      <c r="R517" s="4"/>
      <c r="S517" s="23">
        <v>0</v>
      </c>
      <c r="T517" s="23">
        <v>0</v>
      </c>
      <c r="U517" s="23">
        <v>0</v>
      </c>
      <c r="V517" s="5">
        <v>0</v>
      </c>
      <c r="W517" s="39"/>
      <c r="X517" s="22"/>
      <c r="Y517" s="41"/>
    </row>
    <row r="518" spans="1:25" ht="13.95" customHeight="1">
      <c r="A518" s="23" t="s">
        <v>98</v>
      </c>
      <c r="B518" s="23" t="s">
        <v>22</v>
      </c>
      <c r="C518" s="23" t="s">
        <v>73</v>
      </c>
      <c r="D518" s="23" t="str">
        <f t="shared" ref="D518:D581" si="10">+IF(OR(B518="Antibody Suspected",B518="Antibody",B518="TCELL", B518="Immune-mediated",B518="Genetic"),"Autoimmune","Unconfirmed")</f>
        <v>Autoimmune</v>
      </c>
      <c r="E518" s="32" t="s">
        <v>1239</v>
      </c>
      <c r="F518" s="23" t="s">
        <v>1240</v>
      </c>
      <c r="G518" s="69" t="s">
        <v>34</v>
      </c>
      <c r="H518" s="33">
        <v>11244009</v>
      </c>
      <c r="I518" s="23"/>
      <c r="J518" s="23"/>
      <c r="K518" s="23"/>
      <c r="L518" s="23"/>
      <c r="M518" s="23"/>
      <c r="N518" s="22"/>
      <c r="O518" s="23"/>
      <c r="P518" s="23"/>
      <c r="Q518" s="23"/>
      <c r="R518" s="4"/>
      <c r="S518" s="23">
        <v>0</v>
      </c>
      <c r="T518" s="23">
        <v>0</v>
      </c>
      <c r="U518" s="23">
        <v>0</v>
      </c>
      <c r="V518" s="5">
        <v>0</v>
      </c>
      <c r="W518" s="39"/>
      <c r="X518" s="22"/>
      <c r="Y518" s="41"/>
    </row>
    <row r="519" spans="1:25" ht="13.95" customHeight="1">
      <c r="A519" s="23" t="s">
        <v>98</v>
      </c>
      <c r="B519" s="23" t="s">
        <v>22</v>
      </c>
      <c r="C519" s="23" t="s">
        <v>73</v>
      </c>
      <c r="D519" s="23" t="str">
        <f t="shared" si="10"/>
        <v>Autoimmune</v>
      </c>
      <c r="E519" s="32" t="s">
        <v>1239</v>
      </c>
      <c r="F519" s="23" t="s">
        <v>1241</v>
      </c>
      <c r="G519" s="69" t="s">
        <v>34</v>
      </c>
      <c r="H519" s="33">
        <v>11244009</v>
      </c>
      <c r="I519" s="23"/>
      <c r="J519" s="23"/>
      <c r="K519" s="23"/>
      <c r="L519" s="23"/>
      <c r="M519" s="23"/>
      <c r="N519" s="22"/>
      <c r="O519" s="23"/>
      <c r="P519" s="23"/>
      <c r="Q519" s="23"/>
      <c r="R519" s="4"/>
      <c r="S519" s="23">
        <v>0</v>
      </c>
      <c r="T519" s="23">
        <v>0</v>
      </c>
      <c r="U519" s="23">
        <v>0</v>
      </c>
      <c r="V519" s="5">
        <v>0</v>
      </c>
      <c r="W519" s="39"/>
      <c r="X519" s="22"/>
      <c r="Y519" s="41"/>
    </row>
    <row r="520" spans="1:25" ht="13.95" customHeight="1">
      <c r="A520" s="23" t="s">
        <v>98</v>
      </c>
      <c r="B520" s="23" t="s">
        <v>22</v>
      </c>
      <c r="C520" s="23" t="s">
        <v>73</v>
      </c>
      <c r="D520" s="23" t="str">
        <f t="shared" si="10"/>
        <v>Autoimmune</v>
      </c>
      <c r="E520" s="32" t="s">
        <v>1239</v>
      </c>
      <c r="F520" s="23" t="s">
        <v>1239</v>
      </c>
      <c r="G520" s="69" t="s">
        <v>25</v>
      </c>
      <c r="H520" s="33">
        <v>11244009</v>
      </c>
      <c r="I520" s="23">
        <v>4008545</v>
      </c>
      <c r="J520" s="22" t="s">
        <v>1242</v>
      </c>
      <c r="K520" s="39" t="s">
        <v>410</v>
      </c>
      <c r="L520" s="39" t="s">
        <v>411</v>
      </c>
      <c r="M520" s="9" t="s">
        <v>78</v>
      </c>
      <c r="N520" s="22" t="s">
        <v>261</v>
      </c>
      <c r="O520" s="23" t="s">
        <v>1243</v>
      </c>
      <c r="P520" s="23"/>
      <c r="Q520" s="23"/>
      <c r="R520" s="50">
        <v>0</v>
      </c>
      <c r="S520" s="11">
        <v>50</v>
      </c>
      <c r="T520" s="11">
        <v>50</v>
      </c>
      <c r="U520" s="1">
        <f>+AVERAGE(S520:T520)</f>
        <v>50</v>
      </c>
      <c r="V520" s="5">
        <f>+(U520/[1]Population!$C$2)*100000</f>
        <v>1.5001500150015001E-2</v>
      </c>
      <c r="W520" s="23"/>
      <c r="X520" s="22" t="s">
        <v>1244</v>
      </c>
      <c r="Y520" s="41"/>
    </row>
    <row r="521" spans="1:25" ht="13.95" customHeight="1">
      <c r="A521" s="23" t="s">
        <v>98</v>
      </c>
      <c r="B521" s="23" t="s">
        <v>22</v>
      </c>
      <c r="C521" s="23" t="s">
        <v>73</v>
      </c>
      <c r="D521" s="23" t="str">
        <f t="shared" si="10"/>
        <v>Autoimmune</v>
      </c>
      <c r="E521" s="32" t="s">
        <v>1239</v>
      </c>
      <c r="F521" s="23" t="s">
        <v>1245</v>
      </c>
      <c r="G521" s="69" t="s">
        <v>36</v>
      </c>
      <c r="H521" s="33">
        <v>11244009</v>
      </c>
      <c r="I521" s="23"/>
      <c r="J521" s="22"/>
      <c r="K521" s="39"/>
      <c r="L521" s="39"/>
      <c r="M521" s="9"/>
      <c r="N521" s="22"/>
      <c r="O521" s="11"/>
      <c r="P521" s="23"/>
      <c r="Q521" s="23"/>
      <c r="R521" s="50"/>
      <c r="S521" s="23">
        <v>0</v>
      </c>
      <c r="T521" s="23">
        <v>0</v>
      </c>
      <c r="U521" s="23">
        <v>0</v>
      </c>
      <c r="V521" s="5">
        <v>0</v>
      </c>
      <c r="W521" s="23"/>
      <c r="X521" s="22"/>
      <c r="Y521" s="41"/>
    </row>
    <row r="522" spans="1:25" ht="13.95" customHeight="1">
      <c r="A522" s="23" t="s">
        <v>98</v>
      </c>
      <c r="B522" s="23" t="s">
        <v>22</v>
      </c>
      <c r="C522" s="23" t="s">
        <v>73</v>
      </c>
      <c r="D522" s="23" t="str">
        <f t="shared" si="10"/>
        <v>Autoimmune</v>
      </c>
      <c r="E522" s="32" t="s">
        <v>1239</v>
      </c>
      <c r="F522" s="23" t="s">
        <v>1246</v>
      </c>
      <c r="G522" s="69" t="s">
        <v>36</v>
      </c>
      <c r="H522" s="33">
        <v>11244009</v>
      </c>
      <c r="I522" s="23"/>
      <c r="J522" s="22"/>
      <c r="K522" s="39"/>
      <c r="L522" s="39"/>
      <c r="M522" s="9"/>
      <c r="N522" s="22"/>
      <c r="O522" s="11"/>
      <c r="P522" s="23"/>
      <c r="Q522" s="23"/>
      <c r="R522" s="50"/>
      <c r="S522" s="23">
        <v>0</v>
      </c>
      <c r="T522" s="23">
        <v>0</v>
      </c>
      <c r="U522" s="23">
        <v>0</v>
      </c>
      <c r="V522" s="5">
        <v>0</v>
      </c>
      <c r="W522" s="23"/>
      <c r="X522" s="22"/>
      <c r="Y522" s="41"/>
    </row>
    <row r="523" spans="1:25" ht="13.95" customHeight="1">
      <c r="A523" s="23" t="s">
        <v>98</v>
      </c>
      <c r="B523" s="23" t="s">
        <v>22</v>
      </c>
      <c r="C523" s="23" t="s">
        <v>73</v>
      </c>
      <c r="D523" s="23" t="str">
        <f t="shared" si="10"/>
        <v>Autoimmune</v>
      </c>
      <c r="E523" s="32" t="s">
        <v>1239</v>
      </c>
      <c r="F523" s="23" t="s">
        <v>1247</v>
      </c>
      <c r="G523" s="69" t="s">
        <v>36</v>
      </c>
      <c r="H523" s="33">
        <v>11244009</v>
      </c>
      <c r="I523" s="23"/>
      <c r="J523" s="23"/>
      <c r="K523" s="23"/>
      <c r="L523" s="23"/>
      <c r="M523" s="23"/>
      <c r="N523" s="22"/>
      <c r="O523" s="23"/>
      <c r="P523" s="23"/>
      <c r="Q523" s="23"/>
      <c r="R523" s="4"/>
      <c r="S523" s="23">
        <v>0</v>
      </c>
      <c r="T523" s="23">
        <v>0</v>
      </c>
      <c r="U523" s="23">
        <v>0</v>
      </c>
      <c r="V523" s="5">
        <v>0</v>
      </c>
      <c r="W523" s="39"/>
      <c r="X523" s="22"/>
      <c r="Y523" s="41"/>
    </row>
    <row r="524" spans="1:25" ht="13.95" customHeight="1">
      <c r="A524" s="23" t="s">
        <v>98</v>
      </c>
      <c r="B524" s="23" t="s">
        <v>22</v>
      </c>
      <c r="C524" s="23" t="s">
        <v>73</v>
      </c>
      <c r="D524" s="23" t="str">
        <f t="shared" si="10"/>
        <v>Autoimmune</v>
      </c>
      <c r="E524" s="32" t="s">
        <v>1239</v>
      </c>
      <c r="F524" s="23" t="s">
        <v>1248</v>
      </c>
      <c r="G524" s="69" t="s">
        <v>36</v>
      </c>
      <c r="H524" s="33">
        <v>11244009</v>
      </c>
      <c r="I524" s="23"/>
      <c r="J524" s="22"/>
      <c r="K524" s="39"/>
      <c r="L524" s="39"/>
      <c r="M524" s="9"/>
      <c r="N524" s="22"/>
      <c r="O524" s="11"/>
      <c r="P524" s="23"/>
      <c r="Q524" s="23"/>
      <c r="R524" s="50"/>
      <c r="S524" s="23">
        <v>0</v>
      </c>
      <c r="T524" s="23">
        <v>0</v>
      </c>
      <c r="U524" s="23">
        <v>0</v>
      </c>
      <c r="V524" s="5">
        <v>0</v>
      </c>
      <c r="W524" s="23"/>
      <c r="X524" s="22"/>
      <c r="Y524" s="41"/>
    </row>
    <row r="525" spans="1:25" ht="13.95" customHeight="1">
      <c r="A525" s="23" t="s">
        <v>98</v>
      </c>
      <c r="B525" s="23" t="s">
        <v>22</v>
      </c>
      <c r="C525" s="23" t="s">
        <v>73</v>
      </c>
      <c r="D525" s="23" t="str">
        <f t="shared" si="10"/>
        <v>Autoimmune</v>
      </c>
      <c r="E525" s="32" t="s">
        <v>1249</v>
      </c>
      <c r="F525" s="23" t="s">
        <v>1250</v>
      </c>
      <c r="G525" s="69" t="s">
        <v>34</v>
      </c>
      <c r="H525" s="33">
        <v>83728000</v>
      </c>
      <c r="I525" s="23"/>
      <c r="J525" s="23"/>
      <c r="K525" s="23"/>
      <c r="L525" s="23"/>
      <c r="M525" s="23"/>
      <c r="N525" s="22"/>
      <c r="O525" s="23"/>
      <c r="P525" s="23"/>
      <c r="Q525" s="23"/>
      <c r="R525" s="4"/>
      <c r="S525" s="23">
        <v>0</v>
      </c>
      <c r="T525" s="23">
        <v>0</v>
      </c>
      <c r="U525" s="23">
        <v>0</v>
      </c>
      <c r="V525" s="5">
        <v>0</v>
      </c>
      <c r="W525" s="39"/>
      <c r="X525" s="22"/>
      <c r="Y525" s="41"/>
    </row>
    <row r="526" spans="1:25" ht="13.95" customHeight="1">
      <c r="A526" s="23" t="s">
        <v>98</v>
      </c>
      <c r="B526" s="23" t="s">
        <v>22</v>
      </c>
      <c r="C526" s="23" t="s">
        <v>73</v>
      </c>
      <c r="D526" s="23" t="str">
        <f t="shared" si="10"/>
        <v>Autoimmune</v>
      </c>
      <c r="E526" s="32" t="s">
        <v>1249</v>
      </c>
      <c r="F526" s="23" t="s">
        <v>1251</v>
      </c>
      <c r="G526" s="69" t="s">
        <v>34</v>
      </c>
      <c r="H526" s="33">
        <v>83728000</v>
      </c>
      <c r="I526" s="23"/>
      <c r="J526" s="23"/>
      <c r="K526" s="23"/>
      <c r="L526" s="23"/>
      <c r="M526" s="23"/>
      <c r="N526" s="22"/>
      <c r="O526" s="23"/>
      <c r="P526" s="23"/>
      <c r="Q526" s="23"/>
      <c r="R526" s="4"/>
      <c r="S526" s="23">
        <v>0</v>
      </c>
      <c r="T526" s="23">
        <v>0</v>
      </c>
      <c r="U526" s="23">
        <v>0</v>
      </c>
      <c r="V526" s="5">
        <v>0</v>
      </c>
      <c r="W526" s="39"/>
      <c r="X526" s="22"/>
      <c r="Y526" s="41"/>
    </row>
    <row r="527" spans="1:25" ht="13.95" customHeight="1">
      <c r="A527" s="23" t="s">
        <v>98</v>
      </c>
      <c r="B527" s="23" t="s">
        <v>22</v>
      </c>
      <c r="C527" s="23" t="s">
        <v>73</v>
      </c>
      <c r="D527" s="23" t="str">
        <f t="shared" si="10"/>
        <v>Autoimmune</v>
      </c>
      <c r="E527" s="32" t="s">
        <v>1249</v>
      </c>
      <c r="F527" s="23" t="s">
        <v>1252</v>
      </c>
      <c r="G527" s="69" t="s">
        <v>34</v>
      </c>
      <c r="H527" s="33">
        <v>83728000</v>
      </c>
      <c r="I527" s="23"/>
      <c r="J527" s="23"/>
      <c r="K527" s="23"/>
      <c r="L527" s="23"/>
      <c r="M527" s="23"/>
      <c r="N527" s="22"/>
      <c r="O527" s="23"/>
      <c r="P527" s="23"/>
      <c r="Q527" s="23"/>
      <c r="R527" s="4"/>
      <c r="S527" s="23">
        <v>0</v>
      </c>
      <c r="T527" s="23">
        <v>0</v>
      </c>
      <c r="U527" s="23">
        <v>0</v>
      </c>
      <c r="V527" s="5">
        <v>0</v>
      </c>
      <c r="W527" s="39"/>
      <c r="X527" s="22"/>
      <c r="Y527" s="41"/>
    </row>
    <row r="528" spans="1:25" ht="13.95" customHeight="1">
      <c r="A528" s="23" t="s">
        <v>98</v>
      </c>
      <c r="B528" s="23" t="s">
        <v>22</v>
      </c>
      <c r="C528" s="23" t="s">
        <v>73</v>
      </c>
      <c r="D528" s="23" t="str">
        <f t="shared" si="10"/>
        <v>Autoimmune</v>
      </c>
      <c r="E528" s="32" t="s">
        <v>1249</v>
      </c>
      <c r="F528" s="23" t="s">
        <v>1249</v>
      </c>
      <c r="G528" s="69" t="s">
        <v>25</v>
      </c>
      <c r="H528" s="33">
        <v>83728000</v>
      </c>
      <c r="I528" s="23">
        <v>4308266</v>
      </c>
      <c r="J528" s="22" t="s">
        <v>1253</v>
      </c>
      <c r="K528" s="39" t="s">
        <v>410</v>
      </c>
      <c r="L528" s="39" t="s">
        <v>411</v>
      </c>
      <c r="M528" s="9" t="s">
        <v>78</v>
      </c>
      <c r="N528" s="22" t="s">
        <v>261</v>
      </c>
      <c r="O528" s="23" t="s">
        <v>1243</v>
      </c>
      <c r="P528" s="23"/>
      <c r="Q528" s="23"/>
      <c r="R528" s="50">
        <v>0</v>
      </c>
      <c r="S528" s="11">
        <v>50</v>
      </c>
      <c r="T528" s="11">
        <v>50</v>
      </c>
      <c r="U528" s="1">
        <f>+AVERAGE(S528:T528)</f>
        <v>50</v>
      </c>
      <c r="V528" s="5">
        <f>+(U528/[1]Population!$C$2)*100000</f>
        <v>1.5001500150015001E-2</v>
      </c>
      <c r="W528" s="23"/>
      <c r="X528" s="22" t="s">
        <v>1254</v>
      </c>
      <c r="Y528" s="41"/>
    </row>
    <row r="529" spans="1:25" ht="13.95" customHeight="1">
      <c r="A529" s="23" t="s">
        <v>98</v>
      </c>
      <c r="B529" s="23" t="s">
        <v>22</v>
      </c>
      <c r="C529" s="23" t="s">
        <v>73</v>
      </c>
      <c r="D529" s="23" t="str">
        <f t="shared" si="10"/>
        <v>Autoimmune</v>
      </c>
      <c r="E529" s="32" t="s">
        <v>1249</v>
      </c>
      <c r="F529" s="23" t="s">
        <v>1255</v>
      </c>
      <c r="G529" s="69" t="s">
        <v>36</v>
      </c>
      <c r="H529" s="33">
        <v>83728000</v>
      </c>
      <c r="I529" s="23"/>
      <c r="J529" s="22"/>
      <c r="K529" s="39"/>
      <c r="L529" s="39"/>
      <c r="M529" s="9"/>
      <c r="N529" s="22"/>
      <c r="O529" s="11"/>
      <c r="P529" s="23"/>
      <c r="Q529" s="23"/>
      <c r="R529" s="50"/>
      <c r="S529" s="23">
        <v>0</v>
      </c>
      <c r="T529" s="23">
        <v>0</v>
      </c>
      <c r="U529" s="23">
        <v>0</v>
      </c>
      <c r="V529" s="5">
        <v>0</v>
      </c>
      <c r="W529" s="23"/>
      <c r="X529" s="22"/>
      <c r="Y529" s="41"/>
    </row>
    <row r="530" spans="1:25" ht="13.95" customHeight="1">
      <c r="A530" s="23" t="s">
        <v>98</v>
      </c>
      <c r="B530" s="23" t="s">
        <v>22</v>
      </c>
      <c r="C530" s="23" t="s">
        <v>73</v>
      </c>
      <c r="D530" s="23" t="str">
        <f t="shared" si="10"/>
        <v>Autoimmune</v>
      </c>
      <c r="E530" s="32" t="s">
        <v>1249</v>
      </c>
      <c r="F530" s="23" t="s">
        <v>1256</v>
      </c>
      <c r="G530" s="69" t="s">
        <v>36</v>
      </c>
      <c r="H530" s="33">
        <v>83728000</v>
      </c>
      <c r="I530" s="23"/>
      <c r="J530" s="23"/>
      <c r="K530" s="23"/>
      <c r="L530" s="23"/>
      <c r="M530" s="23"/>
      <c r="N530" s="22"/>
      <c r="O530" s="23"/>
      <c r="P530" s="23"/>
      <c r="Q530" s="23"/>
      <c r="R530" s="4"/>
      <c r="S530" s="23">
        <v>0</v>
      </c>
      <c r="T530" s="23">
        <v>0</v>
      </c>
      <c r="U530" s="23">
        <v>0</v>
      </c>
      <c r="V530" s="5">
        <v>0</v>
      </c>
      <c r="W530" s="39"/>
      <c r="X530" s="22"/>
      <c r="Y530" s="41"/>
    </row>
    <row r="531" spans="1:25" ht="13.95" customHeight="1">
      <c r="A531" s="23" t="s">
        <v>98</v>
      </c>
      <c r="B531" s="23" t="s">
        <v>22</v>
      </c>
      <c r="C531" s="23" t="s">
        <v>73</v>
      </c>
      <c r="D531" s="23" t="str">
        <f t="shared" si="10"/>
        <v>Autoimmune</v>
      </c>
      <c r="E531" s="32" t="s">
        <v>1249</v>
      </c>
      <c r="F531" s="23" t="s">
        <v>1257</v>
      </c>
      <c r="G531" s="69" t="s">
        <v>36</v>
      </c>
      <c r="H531" s="33">
        <v>83728000</v>
      </c>
      <c r="I531" s="23"/>
      <c r="J531" s="23"/>
      <c r="K531" s="23"/>
      <c r="L531" s="23"/>
      <c r="M531" s="23"/>
      <c r="N531" s="22"/>
      <c r="O531" s="23"/>
      <c r="P531" s="23"/>
      <c r="Q531" s="23"/>
      <c r="R531" s="4"/>
      <c r="S531" s="23">
        <v>0</v>
      </c>
      <c r="T531" s="23">
        <v>0</v>
      </c>
      <c r="U531" s="23">
        <v>0</v>
      </c>
      <c r="V531" s="5">
        <v>0</v>
      </c>
      <c r="W531" s="39"/>
      <c r="X531" s="22"/>
      <c r="Y531" s="41"/>
    </row>
    <row r="532" spans="1:25" ht="13.95" customHeight="1">
      <c r="A532" s="23" t="s">
        <v>98</v>
      </c>
      <c r="B532" s="23" t="s">
        <v>22</v>
      </c>
      <c r="C532" s="23" t="s">
        <v>73</v>
      </c>
      <c r="D532" s="23" t="str">
        <f t="shared" si="10"/>
        <v>Autoimmune</v>
      </c>
      <c r="E532" s="32" t="s">
        <v>1249</v>
      </c>
      <c r="F532" s="23" t="s">
        <v>1258</v>
      </c>
      <c r="G532" s="69" t="s">
        <v>36</v>
      </c>
      <c r="H532" s="33">
        <v>83728000</v>
      </c>
      <c r="I532" s="23"/>
      <c r="J532" s="23"/>
      <c r="K532" s="23"/>
      <c r="L532" s="23"/>
      <c r="M532" s="23"/>
      <c r="N532" s="22"/>
      <c r="O532" s="23"/>
      <c r="P532" s="23"/>
      <c r="Q532" s="23"/>
      <c r="R532" s="4"/>
      <c r="S532" s="23">
        <v>0</v>
      </c>
      <c r="T532" s="23">
        <v>0</v>
      </c>
      <c r="U532" s="23">
        <v>0</v>
      </c>
      <c r="V532" s="5">
        <v>0</v>
      </c>
      <c r="W532" s="39"/>
      <c r="X532" s="22"/>
      <c r="Y532" s="41"/>
    </row>
    <row r="533" spans="1:25" ht="13.95" customHeight="1">
      <c r="A533" s="23" t="s">
        <v>98</v>
      </c>
      <c r="B533" s="23" t="s">
        <v>22</v>
      </c>
      <c r="C533" s="23" t="s">
        <v>73</v>
      </c>
      <c r="D533" s="23" t="str">
        <f t="shared" si="10"/>
        <v>Autoimmune</v>
      </c>
      <c r="E533" s="32" t="s">
        <v>1249</v>
      </c>
      <c r="F533" s="23" t="s">
        <v>1259</v>
      </c>
      <c r="G533" s="69" t="s">
        <v>36</v>
      </c>
      <c r="H533" s="33">
        <v>83728000</v>
      </c>
      <c r="I533" s="23"/>
      <c r="J533" s="23"/>
      <c r="K533" s="23"/>
      <c r="L533" s="23"/>
      <c r="M533" s="23"/>
      <c r="N533" s="22"/>
      <c r="O533" s="23"/>
      <c r="P533" s="23"/>
      <c r="Q533" s="23"/>
      <c r="R533" s="4"/>
      <c r="S533" s="23">
        <v>0</v>
      </c>
      <c r="T533" s="23">
        <v>0</v>
      </c>
      <c r="U533" s="23">
        <v>0</v>
      </c>
      <c r="V533" s="5">
        <v>0</v>
      </c>
      <c r="W533" s="39"/>
      <c r="X533" s="22"/>
      <c r="Y533" s="41"/>
    </row>
    <row r="534" spans="1:25" ht="13.95" customHeight="1">
      <c r="A534" s="23" t="s">
        <v>98</v>
      </c>
      <c r="B534" s="23" t="s">
        <v>22</v>
      </c>
      <c r="C534" s="23" t="s">
        <v>73</v>
      </c>
      <c r="D534" s="23" t="str">
        <f t="shared" si="10"/>
        <v>Autoimmune</v>
      </c>
      <c r="E534" s="32" t="s">
        <v>1249</v>
      </c>
      <c r="F534" s="23" t="s">
        <v>1260</v>
      </c>
      <c r="G534" s="69" t="s">
        <v>36</v>
      </c>
      <c r="H534" s="33">
        <v>83728000</v>
      </c>
      <c r="I534" s="23"/>
      <c r="J534" s="23"/>
      <c r="K534" s="23"/>
      <c r="L534" s="23"/>
      <c r="M534" s="23"/>
      <c r="N534" s="22"/>
      <c r="O534" s="23"/>
      <c r="P534" s="23"/>
      <c r="Q534" s="23"/>
      <c r="R534" s="4"/>
      <c r="S534" s="23">
        <v>0</v>
      </c>
      <c r="T534" s="23">
        <v>0</v>
      </c>
      <c r="U534" s="23">
        <v>0</v>
      </c>
      <c r="V534" s="5">
        <v>0</v>
      </c>
      <c r="W534" s="39"/>
      <c r="X534" s="22"/>
      <c r="Y534" s="41"/>
    </row>
    <row r="535" spans="1:25" ht="13.95" customHeight="1">
      <c r="A535" s="23" t="s">
        <v>98</v>
      </c>
      <c r="B535" s="23" t="s">
        <v>22</v>
      </c>
      <c r="C535" s="23" t="s">
        <v>73</v>
      </c>
      <c r="D535" s="23" t="str">
        <f t="shared" si="10"/>
        <v>Autoimmune</v>
      </c>
      <c r="E535" s="32" t="s">
        <v>1261</v>
      </c>
      <c r="F535" s="23" t="s">
        <v>1262</v>
      </c>
      <c r="G535" s="69" t="s">
        <v>34</v>
      </c>
      <c r="H535" s="33">
        <v>449731009</v>
      </c>
      <c r="I535" s="23"/>
      <c r="J535" s="23"/>
      <c r="K535" s="23"/>
      <c r="L535" s="23"/>
      <c r="M535" s="23"/>
      <c r="N535" s="22"/>
      <c r="O535" s="23"/>
      <c r="P535" s="23"/>
      <c r="Q535" s="23"/>
      <c r="R535" s="4"/>
      <c r="S535" s="23">
        <v>0</v>
      </c>
      <c r="T535" s="23">
        <v>0</v>
      </c>
      <c r="U535" s="23">
        <v>0</v>
      </c>
      <c r="V535" s="5">
        <v>0</v>
      </c>
      <c r="W535" s="39"/>
      <c r="X535" s="22"/>
      <c r="Y535" s="41"/>
    </row>
    <row r="536" spans="1:25" ht="13.95" customHeight="1">
      <c r="A536" s="23" t="s">
        <v>98</v>
      </c>
      <c r="B536" s="23" t="s">
        <v>22</v>
      </c>
      <c r="C536" s="23" t="s">
        <v>73</v>
      </c>
      <c r="D536" s="23" t="str">
        <f t="shared" si="10"/>
        <v>Autoimmune</v>
      </c>
      <c r="E536" s="32" t="s">
        <v>1261</v>
      </c>
      <c r="F536" s="23" t="s">
        <v>1263</v>
      </c>
      <c r="G536" s="69" t="s">
        <v>34</v>
      </c>
      <c r="H536" s="33">
        <v>449731009</v>
      </c>
      <c r="I536" s="23"/>
      <c r="J536" s="23"/>
      <c r="K536" s="23"/>
      <c r="L536" s="23"/>
      <c r="M536" s="23"/>
      <c r="N536" s="22"/>
      <c r="O536" s="23"/>
      <c r="P536" s="23"/>
      <c r="Q536" s="23"/>
      <c r="R536" s="4"/>
      <c r="S536" s="23">
        <v>0</v>
      </c>
      <c r="T536" s="23">
        <v>0</v>
      </c>
      <c r="U536" s="23">
        <v>0</v>
      </c>
      <c r="V536" s="5">
        <v>0</v>
      </c>
      <c r="W536" s="39"/>
      <c r="X536" s="22"/>
      <c r="Y536" s="41"/>
    </row>
    <row r="537" spans="1:25" ht="13.95" customHeight="1">
      <c r="A537" s="23" t="s">
        <v>98</v>
      </c>
      <c r="B537" s="23" t="s">
        <v>22</v>
      </c>
      <c r="C537" s="23" t="s">
        <v>73</v>
      </c>
      <c r="D537" s="23" t="str">
        <f t="shared" si="10"/>
        <v>Autoimmune</v>
      </c>
      <c r="E537" s="32" t="s">
        <v>1261</v>
      </c>
      <c r="F537" s="23" t="s">
        <v>1261</v>
      </c>
      <c r="G537" s="69" t="s">
        <v>25</v>
      </c>
      <c r="H537" s="33">
        <v>449731009</v>
      </c>
      <c r="I537" s="23">
        <v>42709859</v>
      </c>
      <c r="J537" s="22" t="s">
        <v>1264</v>
      </c>
      <c r="K537" s="39" t="s">
        <v>410</v>
      </c>
      <c r="L537" s="39" t="s">
        <v>411</v>
      </c>
      <c r="M537" s="9" t="s">
        <v>78</v>
      </c>
      <c r="N537" s="22" t="s">
        <v>261</v>
      </c>
      <c r="O537" s="23" t="s">
        <v>1243</v>
      </c>
      <c r="P537" s="23"/>
      <c r="Q537" s="23"/>
      <c r="R537" s="50">
        <v>0</v>
      </c>
      <c r="S537" s="11">
        <v>50</v>
      </c>
      <c r="T537" s="11">
        <v>50</v>
      </c>
      <c r="U537" s="1">
        <f>+AVERAGE(S537:T537)</f>
        <v>50</v>
      </c>
      <c r="V537" s="5">
        <f>+(U537/[1]Population!$C$2)*100000</f>
        <v>1.5001500150015001E-2</v>
      </c>
      <c r="W537" s="23"/>
      <c r="X537" s="22" t="s">
        <v>1254</v>
      </c>
      <c r="Y537" s="41"/>
    </row>
    <row r="538" spans="1:25" ht="13.95" customHeight="1">
      <c r="A538" s="23" t="s">
        <v>98</v>
      </c>
      <c r="B538" s="23" t="s">
        <v>22</v>
      </c>
      <c r="C538" s="23" t="s">
        <v>73</v>
      </c>
      <c r="D538" s="23" t="str">
        <f t="shared" si="10"/>
        <v>Autoimmune</v>
      </c>
      <c r="E538" s="32" t="s">
        <v>1261</v>
      </c>
      <c r="F538" s="23" t="s">
        <v>1265</v>
      </c>
      <c r="G538" s="69" t="s">
        <v>36</v>
      </c>
      <c r="H538" s="33">
        <v>449731009</v>
      </c>
      <c r="I538" s="23"/>
      <c r="J538" s="22"/>
      <c r="K538" s="39"/>
      <c r="L538" s="39"/>
      <c r="M538" s="9"/>
      <c r="N538" s="22"/>
      <c r="O538" s="11"/>
      <c r="P538" s="23"/>
      <c r="Q538" s="23"/>
      <c r="R538" s="50"/>
      <c r="S538" s="23">
        <v>0</v>
      </c>
      <c r="T538" s="23">
        <v>0</v>
      </c>
      <c r="U538" s="23">
        <v>0</v>
      </c>
      <c r="V538" s="5">
        <v>0</v>
      </c>
      <c r="W538" s="23"/>
      <c r="X538" s="22"/>
      <c r="Y538" s="41"/>
    </row>
    <row r="539" spans="1:25" ht="13.95" customHeight="1">
      <c r="A539" s="23" t="s">
        <v>98</v>
      </c>
      <c r="B539" s="23" t="s">
        <v>22</v>
      </c>
      <c r="C539" s="23" t="s">
        <v>73</v>
      </c>
      <c r="D539" s="23" t="str">
        <f t="shared" si="10"/>
        <v>Autoimmune</v>
      </c>
      <c r="E539" s="32" t="s">
        <v>1261</v>
      </c>
      <c r="F539" s="23" t="s">
        <v>1266</v>
      </c>
      <c r="G539" s="69" t="s">
        <v>36</v>
      </c>
      <c r="H539" s="33">
        <v>449731009</v>
      </c>
      <c r="I539" s="23"/>
      <c r="J539" s="23"/>
      <c r="K539" s="23"/>
      <c r="L539" s="23"/>
      <c r="M539" s="23"/>
      <c r="N539" s="22"/>
      <c r="O539" s="23"/>
      <c r="P539" s="23"/>
      <c r="Q539" s="23"/>
      <c r="R539" s="4"/>
      <c r="S539" s="23">
        <v>0</v>
      </c>
      <c r="T539" s="23">
        <v>0</v>
      </c>
      <c r="U539" s="23">
        <v>0</v>
      </c>
      <c r="V539" s="5">
        <v>0</v>
      </c>
      <c r="W539" s="39"/>
      <c r="X539" s="22"/>
      <c r="Y539" s="41"/>
    </row>
    <row r="540" spans="1:25" ht="13.95" customHeight="1">
      <c r="A540" s="23" t="s">
        <v>98</v>
      </c>
      <c r="B540" s="23" t="s">
        <v>22</v>
      </c>
      <c r="C540" s="23" t="s">
        <v>73</v>
      </c>
      <c r="D540" s="23" t="str">
        <f t="shared" si="10"/>
        <v>Autoimmune</v>
      </c>
      <c r="E540" s="32" t="s">
        <v>1261</v>
      </c>
      <c r="F540" s="23" t="s">
        <v>1267</v>
      </c>
      <c r="G540" s="69" t="s">
        <v>36</v>
      </c>
      <c r="H540" s="33">
        <v>449731009</v>
      </c>
      <c r="I540" s="23"/>
      <c r="J540" s="23"/>
      <c r="K540" s="23"/>
      <c r="L540" s="23"/>
      <c r="M540" s="23"/>
      <c r="N540" s="22"/>
      <c r="O540" s="23"/>
      <c r="P540" s="23"/>
      <c r="Q540" s="23"/>
      <c r="R540" s="4"/>
      <c r="S540" s="23">
        <v>0</v>
      </c>
      <c r="T540" s="23">
        <v>0</v>
      </c>
      <c r="U540" s="23">
        <v>0</v>
      </c>
      <c r="V540" s="5">
        <v>0</v>
      </c>
      <c r="W540" s="39"/>
      <c r="X540" s="22"/>
      <c r="Y540" s="41"/>
    </row>
    <row r="541" spans="1:25" ht="13.95" customHeight="1">
      <c r="A541" s="23" t="s">
        <v>98</v>
      </c>
      <c r="B541" s="23" t="s">
        <v>22</v>
      </c>
      <c r="C541" s="23" t="s">
        <v>73</v>
      </c>
      <c r="D541" s="23" t="str">
        <f t="shared" si="10"/>
        <v>Autoimmune</v>
      </c>
      <c r="E541" s="32" t="s">
        <v>1268</v>
      </c>
      <c r="F541" s="23" t="s">
        <v>1268</v>
      </c>
      <c r="G541" s="69" t="s">
        <v>25</v>
      </c>
      <c r="H541" s="33">
        <v>449730005</v>
      </c>
      <c r="I541" s="23">
        <v>42709858</v>
      </c>
      <c r="J541" s="22" t="s">
        <v>1269</v>
      </c>
      <c r="K541" s="39" t="s">
        <v>410</v>
      </c>
      <c r="L541" s="39" t="s">
        <v>411</v>
      </c>
      <c r="M541" s="9" t="s">
        <v>78</v>
      </c>
      <c r="N541" s="22" t="s">
        <v>261</v>
      </c>
      <c r="O541" s="23" t="s">
        <v>1243</v>
      </c>
      <c r="P541" s="23"/>
      <c r="Q541" s="23"/>
      <c r="R541" s="50">
        <v>0</v>
      </c>
      <c r="S541" s="11">
        <v>50</v>
      </c>
      <c r="T541" s="11">
        <v>50</v>
      </c>
      <c r="U541" s="1">
        <f>+AVERAGE(S541:T541)</f>
        <v>50</v>
      </c>
      <c r="V541" s="5">
        <f>+(U541/[1]Population!$C$2)*100000</f>
        <v>1.5001500150015001E-2</v>
      </c>
      <c r="W541" s="23"/>
      <c r="X541" s="22" t="s">
        <v>1254</v>
      </c>
      <c r="Y541" s="41"/>
    </row>
    <row r="542" spans="1:25" ht="13.95" customHeight="1">
      <c r="A542" s="23" t="s">
        <v>98</v>
      </c>
      <c r="B542" s="23" t="s">
        <v>22</v>
      </c>
      <c r="C542" s="23" t="s">
        <v>73</v>
      </c>
      <c r="D542" s="23" t="str">
        <f t="shared" si="10"/>
        <v>Autoimmune</v>
      </c>
      <c r="E542" s="32" t="s">
        <v>1268</v>
      </c>
      <c r="F542" s="23" t="s">
        <v>1270</v>
      </c>
      <c r="G542" s="69" t="s">
        <v>36</v>
      </c>
      <c r="H542" s="33">
        <v>449730005</v>
      </c>
      <c r="I542" s="23">
        <v>42709858</v>
      </c>
      <c r="J542" s="22"/>
      <c r="K542" s="39" t="s">
        <v>410</v>
      </c>
      <c r="L542" s="39" t="s">
        <v>411</v>
      </c>
      <c r="M542" s="9" t="s">
        <v>78</v>
      </c>
      <c r="N542" s="22" t="s">
        <v>261</v>
      </c>
      <c r="O542" s="23" t="s">
        <v>1243</v>
      </c>
      <c r="P542" s="23"/>
      <c r="Q542" s="23"/>
      <c r="R542" s="50">
        <v>0</v>
      </c>
      <c r="S542" s="11">
        <v>50</v>
      </c>
      <c r="T542" s="11">
        <v>50</v>
      </c>
      <c r="U542" s="1">
        <f>+AVERAGE(S542:T542)</f>
        <v>50</v>
      </c>
      <c r="V542" s="5">
        <f>+(U542/[1]Population!$C$2)*100000</f>
        <v>1.5001500150015001E-2</v>
      </c>
      <c r="W542" s="23"/>
      <c r="X542" s="22" t="s">
        <v>1254</v>
      </c>
      <c r="Y542" s="41"/>
    </row>
    <row r="543" spans="1:25" ht="13.95" customHeight="1">
      <c r="A543" s="23" t="s">
        <v>98</v>
      </c>
      <c r="B543" s="23" t="s">
        <v>22</v>
      </c>
      <c r="C543" s="23" t="s">
        <v>73</v>
      </c>
      <c r="D543" s="23" t="str">
        <f t="shared" si="10"/>
        <v>Autoimmune</v>
      </c>
      <c r="E543" s="32" t="s">
        <v>1268</v>
      </c>
      <c r="F543" s="23" t="s">
        <v>1271</v>
      </c>
      <c r="G543" s="69" t="s">
        <v>36</v>
      </c>
      <c r="H543" s="33">
        <v>449730005</v>
      </c>
      <c r="I543" s="23">
        <v>42709858</v>
      </c>
      <c r="J543" s="22" t="s">
        <v>1272</v>
      </c>
      <c r="K543" s="39" t="s">
        <v>410</v>
      </c>
      <c r="L543" s="39" t="s">
        <v>411</v>
      </c>
      <c r="M543" s="9" t="s">
        <v>78</v>
      </c>
      <c r="N543" s="22" t="s">
        <v>261</v>
      </c>
      <c r="O543" s="23" t="s">
        <v>1243</v>
      </c>
      <c r="P543" s="23"/>
      <c r="Q543" s="23"/>
      <c r="R543" s="50">
        <v>0</v>
      </c>
      <c r="S543" s="11">
        <v>50</v>
      </c>
      <c r="T543" s="11">
        <v>50</v>
      </c>
      <c r="U543" s="1">
        <f>+AVERAGE(S543:T543)</f>
        <v>50</v>
      </c>
      <c r="V543" s="5">
        <f>+(U543/[1]Population!$C$2)*100000</f>
        <v>1.5001500150015001E-2</v>
      </c>
      <c r="W543" s="23"/>
      <c r="X543" s="22" t="s">
        <v>1254</v>
      </c>
      <c r="Y543" s="41"/>
    </row>
    <row r="544" spans="1:25" ht="13.95" customHeight="1">
      <c r="A544" s="23" t="s">
        <v>72</v>
      </c>
      <c r="B544" s="23" t="s">
        <v>238</v>
      </c>
      <c r="C544" s="23" t="s">
        <v>73</v>
      </c>
      <c r="D544" s="23" t="str">
        <f t="shared" si="10"/>
        <v>Autoimmune</v>
      </c>
      <c r="E544" s="32" t="s">
        <v>1273</v>
      </c>
      <c r="F544" s="23" t="s">
        <v>1273</v>
      </c>
      <c r="G544" s="69" t="s">
        <v>25</v>
      </c>
      <c r="H544" s="33">
        <v>65323003</v>
      </c>
      <c r="I544" s="23">
        <v>255348</v>
      </c>
      <c r="J544" s="22" t="s">
        <v>1274</v>
      </c>
      <c r="K544" s="2" t="s">
        <v>1275</v>
      </c>
      <c r="L544" s="2" t="s">
        <v>1276</v>
      </c>
      <c r="M544" s="9" t="s">
        <v>78</v>
      </c>
      <c r="N544" s="22" t="s">
        <v>1279</v>
      </c>
      <c r="O544" s="1" t="s">
        <v>1277</v>
      </c>
      <c r="P544" s="23">
        <v>651</v>
      </c>
      <c r="Q544" s="23">
        <v>750</v>
      </c>
      <c r="R544" s="4">
        <v>100000</v>
      </c>
      <c r="S544" s="4">
        <f>+(P544/R544)*[1]Population!$C$2*0.34</f>
        <v>737726.22000000009</v>
      </c>
      <c r="T544" s="4">
        <f>+(Q544/R544)*[1]Population!$C$2*0.34</f>
        <v>849915.00000000012</v>
      </c>
      <c r="U544" s="1">
        <f>+AVERAGE(S544:T544)</f>
        <v>793820.6100000001</v>
      </c>
      <c r="V544" s="5">
        <f>+(U544/[1]Population!$C$2)*100000</f>
        <v>238.17000000000004</v>
      </c>
      <c r="W544" s="23"/>
      <c r="X544" s="22" t="s">
        <v>1278</v>
      </c>
      <c r="Y544" s="41"/>
    </row>
    <row r="545" spans="1:25" ht="13.95" customHeight="1">
      <c r="A545" s="23" t="s">
        <v>146</v>
      </c>
      <c r="B545" s="23" t="s">
        <v>22</v>
      </c>
      <c r="C545" s="23" t="s">
        <v>73</v>
      </c>
      <c r="D545" s="23" t="str">
        <f t="shared" si="10"/>
        <v>Autoimmune</v>
      </c>
      <c r="E545" s="32" t="s">
        <v>1280</v>
      </c>
      <c r="F545" s="23" t="s">
        <v>1280</v>
      </c>
      <c r="G545" s="69" t="s">
        <v>25</v>
      </c>
      <c r="H545" s="33">
        <v>31384009</v>
      </c>
      <c r="I545" s="23">
        <v>80800</v>
      </c>
      <c r="J545" s="22" t="s">
        <v>1281</v>
      </c>
      <c r="K545" s="2" t="s">
        <v>1282</v>
      </c>
      <c r="L545" s="2" t="s">
        <v>1283</v>
      </c>
      <c r="M545" s="9" t="s">
        <v>78</v>
      </c>
      <c r="N545" s="22" t="s">
        <v>1286</v>
      </c>
      <c r="O545" s="23" t="s">
        <v>1284</v>
      </c>
      <c r="P545" s="45">
        <v>5</v>
      </c>
      <c r="Q545" s="23">
        <v>22</v>
      </c>
      <c r="R545" s="4">
        <v>100000</v>
      </c>
      <c r="S545" s="4">
        <f>+(P545/R545)*[1]Population!$C$2</f>
        <v>16665</v>
      </c>
      <c r="T545" s="4">
        <f>IF(ISBLANK(Q545),S545,+(Q545/R545)*[1]Population!$C$2)</f>
        <v>73326</v>
      </c>
      <c r="U545" s="1">
        <f>+AVERAGE(S545:T545)</f>
        <v>44995.5</v>
      </c>
      <c r="V545" s="5">
        <f>+(U545/[1]Population!$C$2)*100000</f>
        <v>13.5</v>
      </c>
      <c r="W545" s="23"/>
      <c r="X545" s="22" t="s">
        <v>1285</v>
      </c>
      <c r="Y545" s="40"/>
    </row>
    <row r="546" spans="1:25" ht="13.95" customHeight="1">
      <c r="A546" s="23" t="s">
        <v>1057</v>
      </c>
      <c r="B546" s="23" t="s">
        <v>86</v>
      </c>
      <c r="C546" s="23" t="s">
        <v>73</v>
      </c>
      <c r="D546" s="23" t="str">
        <f t="shared" si="10"/>
        <v>Unconfirmed</v>
      </c>
      <c r="E546" s="32" t="s">
        <v>1287</v>
      </c>
      <c r="F546" s="23" t="s">
        <v>1288</v>
      </c>
      <c r="G546" s="69" t="s">
        <v>52</v>
      </c>
      <c r="H546" s="33">
        <v>58600007</v>
      </c>
      <c r="I546" s="23">
        <v>4239311</v>
      </c>
      <c r="J546" s="22"/>
      <c r="K546" s="23"/>
      <c r="L546" s="23"/>
      <c r="M546" s="23"/>
      <c r="N546" s="22"/>
      <c r="O546" s="23"/>
      <c r="P546" s="23"/>
      <c r="Q546" s="23"/>
      <c r="R546" s="4"/>
      <c r="S546" s="23">
        <v>0</v>
      </c>
      <c r="T546" s="23">
        <v>0</v>
      </c>
      <c r="U546" s="23">
        <v>0</v>
      </c>
      <c r="V546" s="5">
        <v>0</v>
      </c>
      <c r="W546" s="39"/>
      <c r="X546" s="22"/>
      <c r="Y546" s="41"/>
    </row>
    <row r="547" spans="1:25" ht="13.95" customHeight="1">
      <c r="A547" s="23" t="s">
        <v>1057</v>
      </c>
      <c r="B547" s="23" t="s">
        <v>86</v>
      </c>
      <c r="C547" s="23" t="s">
        <v>73</v>
      </c>
      <c r="D547" s="23" t="str">
        <f t="shared" si="10"/>
        <v>Unconfirmed</v>
      </c>
      <c r="E547" s="32" t="s">
        <v>1287</v>
      </c>
      <c r="F547" s="23" t="s">
        <v>1287</v>
      </c>
      <c r="G547" s="69" t="s">
        <v>25</v>
      </c>
      <c r="H547" s="33">
        <v>66189004</v>
      </c>
      <c r="I547" s="23">
        <v>319038</v>
      </c>
      <c r="J547" s="22" t="s">
        <v>1289</v>
      </c>
      <c r="K547" s="2" t="s">
        <v>1290</v>
      </c>
      <c r="L547" s="2" t="s">
        <v>1291</v>
      </c>
      <c r="M547" s="23" t="s">
        <v>29</v>
      </c>
      <c r="N547" s="22" t="s">
        <v>1294</v>
      </c>
      <c r="O547" s="1" t="s">
        <v>1292</v>
      </c>
      <c r="P547" s="60">
        <v>0.17799999999999999</v>
      </c>
      <c r="Q547" s="23"/>
      <c r="R547" s="61">
        <v>500000</v>
      </c>
      <c r="S547" s="4">
        <f>+R547*P547</f>
        <v>89000</v>
      </c>
      <c r="T547" s="4">
        <f>+S547</f>
        <v>89000</v>
      </c>
      <c r="U547" s="1">
        <f>+AVERAGE(S547:T547)</f>
        <v>89000</v>
      </c>
      <c r="V547" s="5">
        <f>+(U547/[1]Population!$C$2)*100000</f>
        <v>26.702670267026704</v>
      </c>
      <c r="W547" s="23"/>
      <c r="X547" s="22" t="s">
        <v>1293</v>
      </c>
      <c r="Y547" s="41"/>
    </row>
    <row r="548" spans="1:25" ht="13.95" customHeight="1">
      <c r="A548" s="23" t="s">
        <v>1057</v>
      </c>
      <c r="B548" s="23" t="s">
        <v>86</v>
      </c>
      <c r="C548" s="23" t="s">
        <v>73</v>
      </c>
      <c r="D548" s="23" t="str">
        <f t="shared" si="10"/>
        <v>Unconfirmed</v>
      </c>
      <c r="E548" s="32" t="s">
        <v>1287</v>
      </c>
      <c r="F548" s="23" t="s">
        <v>1295</v>
      </c>
      <c r="G548" s="69" t="s">
        <v>36</v>
      </c>
      <c r="H548" s="33">
        <v>66189004</v>
      </c>
      <c r="I548" s="23"/>
      <c r="J548" s="23"/>
      <c r="K548" s="23"/>
      <c r="L548" s="23"/>
      <c r="M548" s="23"/>
      <c r="N548" s="22"/>
      <c r="O548" s="23"/>
      <c r="P548" s="23"/>
      <c r="Q548" s="23"/>
      <c r="R548" s="4"/>
      <c r="S548" s="23">
        <v>0</v>
      </c>
      <c r="T548" s="23">
        <v>0</v>
      </c>
      <c r="U548" s="23">
        <v>0</v>
      </c>
      <c r="V548" s="5">
        <v>0</v>
      </c>
      <c r="W548" s="39"/>
      <c r="X548" s="22"/>
      <c r="Y548" s="41"/>
    </row>
    <row r="549" spans="1:25" ht="13.95" customHeight="1">
      <c r="A549" s="23" t="s">
        <v>1057</v>
      </c>
      <c r="B549" s="23" t="s">
        <v>86</v>
      </c>
      <c r="C549" s="23" t="s">
        <v>73</v>
      </c>
      <c r="D549" s="23" t="str">
        <f t="shared" si="10"/>
        <v>Unconfirmed</v>
      </c>
      <c r="E549" s="32" t="s">
        <v>1287</v>
      </c>
      <c r="F549" s="23" t="s">
        <v>1296</v>
      </c>
      <c r="G549" s="69" t="s">
        <v>36</v>
      </c>
      <c r="H549" s="33">
        <v>66189004</v>
      </c>
      <c r="I549" s="23"/>
      <c r="J549" s="23"/>
      <c r="K549" s="23"/>
      <c r="L549" s="23"/>
      <c r="M549" s="23"/>
      <c r="N549" s="22"/>
      <c r="O549" s="23"/>
      <c r="P549" s="23"/>
      <c r="Q549" s="23"/>
      <c r="R549" s="4"/>
      <c r="S549" s="23">
        <v>0</v>
      </c>
      <c r="T549" s="23">
        <v>0</v>
      </c>
      <c r="U549" s="23">
        <v>0</v>
      </c>
      <c r="V549" s="5">
        <v>0</v>
      </c>
      <c r="W549" s="39"/>
      <c r="X549" s="22"/>
      <c r="Y549" s="41"/>
    </row>
    <row r="550" spans="1:25" ht="13.95" customHeight="1">
      <c r="A550" s="23" t="s">
        <v>1057</v>
      </c>
      <c r="B550" s="23" t="s">
        <v>86</v>
      </c>
      <c r="C550" s="23" t="s">
        <v>73</v>
      </c>
      <c r="D550" s="23" t="str">
        <f t="shared" si="10"/>
        <v>Unconfirmed</v>
      </c>
      <c r="E550" s="32" t="s">
        <v>1287</v>
      </c>
      <c r="F550" s="23" t="s">
        <v>1297</v>
      </c>
      <c r="G550" s="69" t="s">
        <v>52</v>
      </c>
      <c r="H550" s="33">
        <v>278536002</v>
      </c>
      <c r="I550" s="23">
        <v>4150305</v>
      </c>
      <c r="J550" s="22"/>
      <c r="K550" s="23"/>
      <c r="L550" s="23"/>
      <c r="M550" s="23"/>
      <c r="N550" s="22"/>
      <c r="O550" s="23"/>
      <c r="P550" s="23"/>
      <c r="Q550" s="23"/>
      <c r="R550" s="4"/>
      <c r="S550" s="23">
        <v>0</v>
      </c>
      <c r="T550" s="23">
        <v>0</v>
      </c>
      <c r="U550" s="23">
        <v>0</v>
      </c>
      <c r="V550" s="5">
        <v>0</v>
      </c>
      <c r="W550" s="39"/>
      <c r="X550" s="22"/>
      <c r="Y550" s="41"/>
    </row>
    <row r="551" spans="1:25" ht="13.95" customHeight="1">
      <c r="A551" s="23" t="s">
        <v>1057</v>
      </c>
      <c r="B551" s="23" t="s">
        <v>86</v>
      </c>
      <c r="C551" s="23" t="s">
        <v>73</v>
      </c>
      <c r="D551" s="23" t="str">
        <f t="shared" si="10"/>
        <v>Unconfirmed</v>
      </c>
      <c r="E551" s="42" t="s">
        <v>1287</v>
      </c>
      <c r="F551" s="23" t="s">
        <v>1298</v>
      </c>
      <c r="G551" s="69" t="s">
        <v>36</v>
      </c>
      <c r="H551" s="33">
        <v>827164008</v>
      </c>
      <c r="I551" s="23">
        <v>37311078</v>
      </c>
      <c r="J551" s="22"/>
      <c r="K551" s="23"/>
      <c r="L551" s="23"/>
      <c r="M551" s="23"/>
      <c r="N551" s="22"/>
      <c r="O551" s="23"/>
      <c r="P551" s="23"/>
      <c r="Q551" s="23"/>
      <c r="R551" s="4"/>
      <c r="S551" s="23">
        <v>0</v>
      </c>
      <c r="T551" s="23">
        <v>0</v>
      </c>
      <c r="U551" s="23">
        <v>0</v>
      </c>
      <c r="V551" s="5">
        <v>0</v>
      </c>
      <c r="W551" s="39"/>
      <c r="X551" s="22"/>
      <c r="Y551" s="41"/>
    </row>
    <row r="552" spans="1:25" ht="13.95" customHeight="1">
      <c r="A552" s="23" t="s">
        <v>1057</v>
      </c>
      <c r="B552" s="23" t="s">
        <v>86</v>
      </c>
      <c r="C552" s="23" t="s">
        <v>73</v>
      </c>
      <c r="D552" s="23" t="str">
        <f t="shared" si="10"/>
        <v>Unconfirmed</v>
      </c>
      <c r="E552" s="42" t="s">
        <v>1287</v>
      </c>
      <c r="F552" s="23" t="s">
        <v>1299</v>
      </c>
      <c r="G552" s="69" t="s">
        <v>52</v>
      </c>
      <c r="H552" s="33">
        <v>827164008</v>
      </c>
      <c r="I552" s="23">
        <v>37311078</v>
      </c>
      <c r="J552" s="22"/>
      <c r="K552" s="23"/>
      <c r="L552" s="23"/>
      <c r="M552" s="23"/>
      <c r="N552" s="22"/>
      <c r="O552" s="23"/>
      <c r="P552" s="23"/>
      <c r="Q552" s="23"/>
      <c r="R552" s="4"/>
      <c r="S552" s="23">
        <v>0</v>
      </c>
      <c r="T552" s="23">
        <v>0</v>
      </c>
      <c r="U552" s="23">
        <v>0</v>
      </c>
      <c r="V552" s="5">
        <v>0</v>
      </c>
      <c r="W552" s="39"/>
      <c r="X552" s="22"/>
      <c r="Y552" s="41"/>
    </row>
    <row r="553" spans="1:25" ht="13.95" customHeight="1">
      <c r="A553" s="23" t="s">
        <v>308</v>
      </c>
      <c r="B553" s="23" t="s">
        <v>22</v>
      </c>
      <c r="C553" s="23" t="s">
        <v>73</v>
      </c>
      <c r="D553" s="23" t="str">
        <f t="shared" si="10"/>
        <v>Autoimmune</v>
      </c>
      <c r="E553" s="32" t="s">
        <v>1300</v>
      </c>
      <c r="F553" s="23" t="s">
        <v>1301</v>
      </c>
      <c r="G553" s="69" t="s">
        <v>34</v>
      </c>
      <c r="H553" s="33">
        <v>31712002</v>
      </c>
      <c r="I553" s="23"/>
      <c r="J553" s="23"/>
      <c r="K553" s="23"/>
      <c r="L553" s="23"/>
      <c r="M553" s="23"/>
      <c r="N553" s="22"/>
      <c r="O553" s="23"/>
      <c r="P553" s="23"/>
      <c r="Q553" s="23"/>
      <c r="R553" s="4"/>
      <c r="S553" s="23">
        <v>0</v>
      </c>
      <c r="T553" s="23">
        <v>0</v>
      </c>
      <c r="U553" s="23">
        <v>0</v>
      </c>
      <c r="V553" s="5">
        <v>0</v>
      </c>
      <c r="W553" s="39"/>
      <c r="X553" s="22"/>
      <c r="Y553" s="41"/>
    </row>
    <row r="554" spans="1:25" ht="13.95" customHeight="1">
      <c r="A554" s="23" t="s">
        <v>308</v>
      </c>
      <c r="B554" s="23" t="s">
        <v>22</v>
      </c>
      <c r="C554" s="23" t="s">
        <v>73</v>
      </c>
      <c r="D554" s="23" t="str">
        <f t="shared" si="10"/>
        <v>Autoimmune</v>
      </c>
      <c r="E554" s="32" t="s">
        <v>1300</v>
      </c>
      <c r="F554" s="23" t="s">
        <v>1300</v>
      </c>
      <c r="G554" s="69" t="s">
        <v>25</v>
      </c>
      <c r="H554" s="33">
        <v>31712002</v>
      </c>
      <c r="I554" s="23">
        <v>4135822</v>
      </c>
      <c r="J554" s="22" t="s">
        <v>1302</v>
      </c>
      <c r="K554" s="2" t="s">
        <v>1303</v>
      </c>
      <c r="L554" s="2" t="s">
        <v>1304</v>
      </c>
      <c r="M554" s="9" t="s">
        <v>78</v>
      </c>
      <c r="N554" s="22" t="s">
        <v>1306</v>
      </c>
      <c r="O554" s="4"/>
      <c r="P554" s="4">
        <v>29.3</v>
      </c>
      <c r="Q554" s="23"/>
      <c r="R554" s="4">
        <v>100000</v>
      </c>
      <c r="S554" s="4">
        <f>+(P554/R554)*[1]Population!$C$2</f>
        <v>97656.900000000009</v>
      </c>
      <c r="T554" s="4">
        <f>IF(ISBLANK(Q554),S554,+(Q554/R554)*[1]Population!$C$2)</f>
        <v>97656.900000000009</v>
      </c>
      <c r="U554" s="1">
        <f>+AVERAGE(S554:T554)</f>
        <v>97656.900000000009</v>
      </c>
      <c r="V554" s="5">
        <f>+(U554/[1]Population!$C$2)*100000</f>
        <v>29.3</v>
      </c>
      <c r="W554" s="23"/>
      <c r="X554" s="22" t="s">
        <v>1305</v>
      </c>
      <c r="Y554" s="41"/>
    </row>
    <row r="555" spans="1:25" ht="13.95" customHeight="1">
      <c r="A555" s="23" t="s">
        <v>308</v>
      </c>
      <c r="B555" s="23" t="s">
        <v>22</v>
      </c>
      <c r="C555" s="23" t="s">
        <v>73</v>
      </c>
      <c r="D555" s="23" t="str">
        <f t="shared" si="10"/>
        <v>Autoimmune</v>
      </c>
      <c r="E555" s="32" t="s">
        <v>1300</v>
      </c>
      <c r="F555" s="23" t="s">
        <v>1307</v>
      </c>
      <c r="G555" s="69" t="s">
        <v>36</v>
      </c>
      <c r="H555" s="33">
        <v>31712002</v>
      </c>
      <c r="I555" s="23">
        <v>4135822</v>
      </c>
      <c r="J555" s="22"/>
      <c r="K555" s="2" t="s">
        <v>1303</v>
      </c>
      <c r="L555" s="2" t="s">
        <v>1304</v>
      </c>
      <c r="M555" s="9" t="s">
        <v>78</v>
      </c>
      <c r="N555" s="22" t="s">
        <v>1306</v>
      </c>
      <c r="O555" s="4"/>
      <c r="P555" s="4">
        <v>29.3</v>
      </c>
      <c r="Q555" s="23"/>
      <c r="R555" s="4">
        <v>100000</v>
      </c>
      <c r="S555" s="4">
        <f>+(P555/R555)*[1]Population!$C$2</f>
        <v>97656.900000000009</v>
      </c>
      <c r="T555" s="4">
        <f>IF(ISBLANK(Q555),S555,+(Q555/R555)*[1]Population!$C$2)</f>
        <v>97656.900000000009</v>
      </c>
      <c r="U555" s="1">
        <f>+AVERAGE(S555:T555)</f>
        <v>97656.900000000009</v>
      </c>
      <c r="V555" s="5">
        <f>+(U555/[1]Population!$C$2)*100000</f>
        <v>29.3</v>
      </c>
      <c r="W555" s="23"/>
      <c r="X555" s="22" t="s">
        <v>1305</v>
      </c>
      <c r="Y555" s="41"/>
    </row>
    <row r="556" spans="1:25" ht="13.95" customHeight="1">
      <c r="A556" s="23" t="s">
        <v>1057</v>
      </c>
      <c r="B556" s="23" t="s">
        <v>86</v>
      </c>
      <c r="C556" s="23" t="s">
        <v>73</v>
      </c>
      <c r="D556" s="23" t="str">
        <f t="shared" si="10"/>
        <v>Unconfirmed</v>
      </c>
      <c r="E556" s="32" t="s">
        <v>1308</v>
      </c>
      <c r="F556" s="23" t="s">
        <v>1308</v>
      </c>
      <c r="G556" s="69" t="s">
        <v>25</v>
      </c>
      <c r="H556" s="33">
        <v>53043001</v>
      </c>
      <c r="I556" s="23">
        <v>4203149</v>
      </c>
      <c r="J556" s="22" t="s">
        <v>1309</v>
      </c>
      <c r="K556" s="2" t="s">
        <v>1310</v>
      </c>
      <c r="L556" s="2" t="s">
        <v>1311</v>
      </c>
      <c r="M556" s="3" t="s">
        <v>78</v>
      </c>
      <c r="N556" s="22" t="s">
        <v>1313</v>
      </c>
      <c r="O556" s="1"/>
      <c r="P556" s="23">
        <v>36.5</v>
      </c>
      <c r="Q556" s="23"/>
      <c r="R556" s="4">
        <v>100000</v>
      </c>
      <c r="S556" s="4">
        <f>+(P556/R556)*[1]Population!$C$2</f>
        <v>121654.5</v>
      </c>
      <c r="T556" s="4">
        <f>IF(ISBLANK(Q556),S556,+(Q556/R556)*[1]Population!$C$2)</f>
        <v>121654.5</v>
      </c>
      <c r="U556" s="1">
        <f>+AVERAGE(S556:T556)</f>
        <v>121654.5</v>
      </c>
      <c r="V556" s="5">
        <f>+(U556/[1]Population!$C$2)*100000</f>
        <v>36.5</v>
      </c>
      <c r="W556" s="23"/>
      <c r="X556" s="22" t="s">
        <v>1312</v>
      </c>
      <c r="Y556" s="41"/>
    </row>
    <row r="557" spans="1:25" ht="13.95" customHeight="1">
      <c r="A557" s="23" t="s">
        <v>1057</v>
      </c>
      <c r="B557" s="23" t="s">
        <v>86</v>
      </c>
      <c r="C557" s="23" t="s">
        <v>73</v>
      </c>
      <c r="D557" s="23" t="str">
        <f t="shared" si="10"/>
        <v>Unconfirmed</v>
      </c>
      <c r="E557" s="32" t="s">
        <v>1308</v>
      </c>
      <c r="F557" s="23" t="s">
        <v>1314</v>
      </c>
      <c r="G557" s="69" t="s">
        <v>36</v>
      </c>
      <c r="H557" s="33">
        <v>53043001</v>
      </c>
      <c r="I557" s="23"/>
      <c r="J557" s="23"/>
      <c r="K557" s="23"/>
      <c r="L557" s="23"/>
      <c r="M557" s="23"/>
      <c r="N557" s="22"/>
      <c r="O557" s="23"/>
      <c r="P557" s="23"/>
      <c r="Q557" s="23"/>
      <c r="R557" s="4"/>
      <c r="S557" s="23">
        <v>0</v>
      </c>
      <c r="T557" s="23">
        <v>0</v>
      </c>
      <c r="U557" s="23">
        <v>0</v>
      </c>
      <c r="V557" s="5">
        <v>0</v>
      </c>
      <c r="W557" s="39"/>
      <c r="X557" s="22"/>
      <c r="Y557" s="41"/>
    </row>
    <row r="558" spans="1:25" ht="13.95" customHeight="1">
      <c r="A558" s="23" t="s">
        <v>1057</v>
      </c>
      <c r="B558" s="23" t="s">
        <v>86</v>
      </c>
      <c r="C558" s="23" t="s">
        <v>73</v>
      </c>
      <c r="D558" s="23" t="str">
        <f t="shared" si="10"/>
        <v>Unconfirmed</v>
      </c>
      <c r="E558" s="32" t="s">
        <v>1308</v>
      </c>
      <c r="F558" s="23" t="s">
        <v>1315</v>
      </c>
      <c r="G558" s="69" t="s">
        <v>36</v>
      </c>
      <c r="H558" s="33">
        <v>53043001</v>
      </c>
      <c r="I558" s="23"/>
      <c r="J558" s="23"/>
      <c r="K558" s="23"/>
      <c r="L558" s="23"/>
      <c r="M558" s="23"/>
      <c r="N558" s="22"/>
      <c r="O558" s="23"/>
      <c r="P558" s="23"/>
      <c r="Q558" s="23"/>
      <c r="R558" s="4"/>
      <c r="S558" s="23">
        <v>0</v>
      </c>
      <c r="T558" s="23">
        <v>0</v>
      </c>
      <c r="U558" s="23">
        <v>0</v>
      </c>
      <c r="V558" s="5">
        <v>0</v>
      </c>
      <c r="W558" s="39"/>
      <c r="X558" s="22"/>
      <c r="Y558" s="41"/>
    </row>
    <row r="559" spans="1:25" ht="13.95" customHeight="1">
      <c r="A559" s="23" t="s">
        <v>308</v>
      </c>
      <c r="B559" s="23" t="s">
        <v>218</v>
      </c>
      <c r="C559" s="23" t="s">
        <v>73</v>
      </c>
      <c r="D559" s="23" t="str">
        <f t="shared" si="10"/>
        <v>Autoimmune</v>
      </c>
      <c r="E559" s="32" t="s">
        <v>1316</v>
      </c>
      <c r="F559" s="23" t="s">
        <v>1316</v>
      </c>
      <c r="G559" s="69" t="s">
        <v>25</v>
      </c>
      <c r="H559" s="33">
        <v>197441003</v>
      </c>
      <c r="I559" s="23">
        <v>4058821</v>
      </c>
      <c r="J559" s="22" t="s">
        <v>1317</v>
      </c>
      <c r="K559" s="2" t="s">
        <v>1318</v>
      </c>
      <c r="L559" s="2" t="s">
        <v>1319</v>
      </c>
      <c r="M559" s="9" t="s">
        <v>78</v>
      </c>
      <c r="N559" s="22" t="s">
        <v>1321</v>
      </c>
      <c r="O559" s="4"/>
      <c r="P559" s="23">
        <v>4.82</v>
      </c>
      <c r="Q559" s="23">
        <v>7.35</v>
      </c>
      <c r="R559" s="4">
        <v>100000</v>
      </c>
      <c r="S559" s="4">
        <f>+(P559/R559)*[1]Population!$C$2</f>
        <v>16065.060000000001</v>
      </c>
      <c r="T559" s="4">
        <f>IF(ISBLANK(Q559),S559,+(Q559/R559)*[1]Population!$C$2)</f>
        <v>24497.55</v>
      </c>
      <c r="U559" s="1">
        <f>+AVERAGE(S559:T559)</f>
        <v>20281.305</v>
      </c>
      <c r="V559" s="5">
        <f>+(U559/[1]Population!$C$2)*100000</f>
        <v>6.085</v>
      </c>
      <c r="W559" s="23"/>
      <c r="X559" s="22" t="s">
        <v>1320</v>
      </c>
      <c r="Y559" s="41"/>
    </row>
    <row r="560" spans="1:25" ht="13.95" customHeight="1">
      <c r="A560" s="23" t="s">
        <v>308</v>
      </c>
      <c r="B560" s="23" t="s">
        <v>218</v>
      </c>
      <c r="C560" s="23" t="s">
        <v>73</v>
      </c>
      <c r="D560" s="23" t="str">
        <f t="shared" si="10"/>
        <v>Autoimmune</v>
      </c>
      <c r="E560" s="32" t="s">
        <v>1316</v>
      </c>
      <c r="F560" s="23" t="s">
        <v>1322</v>
      </c>
      <c r="G560" s="69" t="s">
        <v>34</v>
      </c>
      <c r="H560" s="33">
        <v>197441003</v>
      </c>
      <c r="I560" s="23"/>
      <c r="J560" s="23"/>
      <c r="K560" s="23"/>
      <c r="L560" s="23"/>
      <c r="M560" s="23"/>
      <c r="N560" s="22"/>
      <c r="O560" s="23"/>
      <c r="P560" s="23"/>
      <c r="Q560" s="23"/>
      <c r="R560" s="4"/>
      <c r="S560" s="23">
        <v>0</v>
      </c>
      <c r="T560" s="23">
        <v>0</v>
      </c>
      <c r="U560" s="23">
        <v>0</v>
      </c>
      <c r="V560" s="5">
        <v>0</v>
      </c>
      <c r="W560" s="39"/>
      <c r="X560" s="22"/>
      <c r="Y560" s="41"/>
    </row>
    <row r="561" spans="1:25" ht="13.95" customHeight="1">
      <c r="A561" s="23" t="s">
        <v>308</v>
      </c>
      <c r="B561" s="23" t="s">
        <v>218</v>
      </c>
      <c r="C561" s="23" t="s">
        <v>73</v>
      </c>
      <c r="D561" s="23" t="str">
        <f t="shared" si="10"/>
        <v>Autoimmune</v>
      </c>
      <c r="E561" s="32" t="s">
        <v>1316</v>
      </c>
      <c r="F561" s="23" t="s">
        <v>1323</v>
      </c>
      <c r="G561" s="69" t="s">
        <v>36</v>
      </c>
      <c r="H561" s="33">
        <v>197441003</v>
      </c>
      <c r="I561" s="23"/>
      <c r="J561" s="23"/>
      <c r="K561" s="23"/>
      <c r="L561" s="23"/>
      <c r="M561" s="23"/>
      <c r="N561" s="22"/>
      <c r="O561" s="23"/>
      <c r="P561" s="23"/>
      <c r="Q561" s="23"/>
      <c r="R561" s="4"/>
      <c r="S561" s="23">
        <v>0</v>
      </c>
      <c r="T561" s="23">
        <v>0</v>
      </c>
      <c r="U561" s="23">
        <v>0</v>
      </c>
      <c r="V561" s="5">
        <v>0</v>
      </c>
      <c r="W561" s="39"/>
      <c r="X561" s="22"/>
      <c r="Y561" s="41"/>
    </row>
    <row r="562" spans="1:25" s="31" customFormat="1" ht="13.95" customHeight="1">
      <c r="A562" s="23" t="s">
        <v>308</v>
      </c>
      <c r="B562" s="23" t="s">
        <v>218</v>
      </c>
      <c r="C562" s="23" t="s">
        <v>73</v>
      </c>
      <c r="D562" s="23" t="str">
        <f t="shared" si="10"/>
        <v>Autoimmune</v>
      </c>
      <c r="E562" s="32" t="s">
        <v>1316</v>
      </c>
      <c r="F562" s="23" t="s">
        <v>1324</v>
      </c>
      <c r="G562" s="69" t="s">
        <v>36</v>
      </c>
      <c r="H562" s="33">
        <v>197441003</v>
      </c>
      <c r="I562" s="23"/>
      <c r="J562" s="23"/>
      <c r="K562" s="23"/>
      <c r="L562" s="23"/>
      <c r="M562" s="23"/>
      <c r="N562" s="22"/>
      <c r="O562" s="23"/>
      <c r="P562" s="23"/>
      <c r="Q562" s="23"/>
      <c r="R562" s="4"/>
      <c r="S562" s="23">
        <v>0</v>
      </c>
      <c r="T562" s="23">
        <v>0</v>
      </c>
      <c r="U562" s="23">
        <v>0</v>
      </c>
      <c r="V562" s="5">
        <v>0</v>
      </c>
      <c r="W562" s="39"/>
      <c r="X562" s="22"/>
      <c r="Y562" s="41"/>
    </row>
    <row r="563" spans="1:25" ht="13.95" customHeight="1">
      <c r="A563" s="23" t="s">
        <v>308</v>
      </c>
      <c r="B563" s="23" t="s">
        <v>218</v>
      </c>
      <c r="C563" s="23" t="s">
        <v>73</v>
      </c>
      <c r="D563" s="23" t="str">
        <f t="shared" si="10"/>
        <v>Autoimmune</v>
      </c>
      <c r="E563" s="32" t="s">
        <v>1316</v>
      </c>
      <c r="F563" s="23" t="s">
        <v>1325</v>
      </c>
      <c r="G563" s="69" t="s">
        <v>36</v>
      </c>
      <c r="H563" s="33">
        <v>197441003</v>
      </c>
      <c r="I563" s="23"/>
      <c r="J563" s="23"/>
      <c r="K563" s="23"/>
      <c r="L563" s="23"/>
      <c r="M563" s="23"/>
      <c r="N563" s="22"/>
      <c r="O563" s="23"/>
      <c r="P563" s="23"/>
      <c r="Q563" s="23"/>
      <c r="R563" s="4"/>
      <c r="S563" s="23">
        <v>0</v>
      </c>
      <c r="T563" s="23">
        <v>0</v>
      </c>
      <c r="U563" s="23">
        <v>0</v>
      </c>
      <c r="V563" s="5">
        <v>0</v>
      </c>
      <c r="W563" s="39"/>
      <c r="X563" s="22"/>
      <c r="Y563" s="41"/>
    </row>
    <row r="564" spans="1:25" ht="13.95" customHeight="1">
      <c r="A564" s="23" t="s">
        <v>21</v>
      </c>
      <c r="B564" s="23" t="s">
        <v>86</v>
      </c>
      <c r="C564" s="23" t="s">
        <v>86</v>
      </c>
      <c r="D564" s="23" t="str">
        <f t="shared" si="10"/>
        <v>Unconfirmed</v>
      </c>
      <c r="E564" s="32" t="s">
        <v>1326</v>
      </c>
      <c r="F564" s="23" t="s">
        <v>1326</v>
      </c>
      <c r="G564" s="69" t="s">
        <v>25</v>
      </c>
      <c r="H564" s="33">
        <v>718224004</v>
      </c>
      <c r="I564" s="23">
        <v>37397558</v>
      </c>
      <c r="J564" s="22" t="s">
        <v>1327</v>
      </c>
      <c r="K564" s="2" t="s">
        <v>1328</v>
      </c>
      <c r="L564" s="2" t="s">
        <v>1329</v>
      </c>
      <c r="M564" s="60" t="s">
        <v>78</v>
      </c>
      <c r="N564" s="22" t="s">
        <v>1330</v>
      </c>
      <c r="O564" s="4"/>
      <c r="P564" s="23">
        <v>1</v>
      </c>
      <c r="Q564" s="23"/>
      <c r="R564" s="4">
        <v>700000</v>
      </c>
      <c r="S564" s="4">
        <f>+(P564/R564)*[1]Population!$C$2</f>
        <v>476.14285714285717</v>
      </c>
      <c r="T564" s="4">
        <f>IF(ISBLANK(Q564),S564,+(Q564/R564)*[1]Population!$C$2)</f>
        <v>476.14285714285717</v>
      </c>
      <c r="U564" s="1">
        <f>+AVERAGE(S564:T564)</f>
        <v>476.14285714285717</v>
      </c>
      <c r="V564" s="5">
        <f>+(U564/[1]Population!$C$2)*100000</f>
        <v>0.14285714285714285</v>
      </c>
      <c r="W564" s="23"/>
      <c r="X564" s="22" t="s">
        <v>368</v>
      </c>
      <c r="Y564" s="41"/>
    </row>
    <row r="565" spans="1:25" ht="13.95" customHeight="1">
      <c r="A565" s="23" t="s">
        <v>21</v>
      </c>
      <c r="B565" s="23" t="s">
        <v>86</v>
      </c>
      <c r="C565" s="23" t="s">
        <v>86</v>
      </c>
      <c r="D565" s="23" t="str">
        <f t="shared" si="10"/>
        <v>Unconfirmed</v>
      </c>
      <c r="E565" s="32" t="s">
        <v>1326</v>
      </c>
      <c r="F565" s="23" t="s">
        <v>1331</v>
      </c>
      <c r="G565" s="69" t="s">
        <v>36</v>
      </c>
      <c r="H565" s="33">
        <v>718224004</v>
      </c>
      <c r="I565" s="23"/>
      <c r="J565" s="23"/>
      <c r="K565" s="23"/>
      <c r="L565" s="23"/>
      <c r="M565" s="23"/>
      <c r="N565" s="22"/>
      <c r="O565" s="23"/>
      <c r="P565" s="23"/>
      <c r="Q565" s="23"/>
      <c r="R565" s="4"/>
      <c r="S565" s="23">
        <v>0</v>
      </c>
      <c r="T565" s="23">
        <v>0</v>
      </c>
      <c r="U565" s="23">
        <v>0</v>
      </c>
      <c r="V565" s="5">
        <v>0</v>
      </c>
      <c r="W565" s="39"/>
      <c r="X565" s="22"/>
      <c r="Y565" s="41"/>
    </row>
    <row r="566" spans="1:25" ht="13.95" customHeight="1">
      <c r="A566" s="23" t="s">
        <v>21</v>
      </c>
      <c r="B566" s="23" t="s">
        <v>86</v>
      </c>
      <c r="C566" s="23" t="s">
        <v>86</v>
      </c>
      <c r="D566" s="23" t="str">
        <f t="shared" si="10"/>
        <v>Unconfirmed</v>
      </c>
      <c r="E566" s="32" t="s">
        <v>1326</v>
      </c>
      <c r="F566" s="23" t="s">
        <v>1332</v>
      </c>
      <c r="G566" s="69" t="s">
        <v>36</v>
      </c>
      <c r="H566" s="33">
        <v>718224004</v>
      </c>
      <c r="I566" s="23">
        <v>37397558</v>
      </c>
      <c r="J566" s="22"/>
      <c r="K566" s="2" t="s">
        <v>1328</v>
      </c>
      <c r="L566" s="2" t="s">
        <v>1329</v>
      </c>
      <c r="M566" s="60" t="s">
        <v>78</v>
      </c>
      <c r="N566" s="22" t="s">
        <v>1330</v>
      </c>
      <c r="O566" s="4"/>
      <c r="P566" s="23">
        <v>1</v>
      </c>
      <c r="Q566" s="23"/>
      <c r="R566" s="4">
        <v>700000</v>
      </c>
      <c r="S566" s="4">
        <f>+(P566/R566)*[1]Population!$C$2</f>
        <v>476.14285714285717</v>
      </c>
      <c r="T566" s="4">
        <f>IF(ISBLANK(Q566),S566,+(Q566/R566)*[1]Population!$C$2)</f>
        <v>476.14285714285717</v>
      </c>
      <c r="U566" s="1">
        <f>+AVERAGE(S566:T566)</f>
        <v>476.14285714285717</v>
      </c>
      <c r="V566" s="5">
        <f>+(U566/[1]Population!$C$2)*100000</f>
        <v>0.14285714285714285</v>
      </c>
      <c r="W566" s="23"/>
      <c r="X566" s="22" t="s">
        <v>368</v>
      </c>
      <c r="Y566" s="41"/>
    </row>
    <row r="567" spans="1:25" ht="13.95" customHeight="1">
      <c r="A567" s="23" t="s">
        <v>21</v>
      </c>
      <c r="B567" s="23" t="s">
        <v>86</v>
      </c>
      <c r="C567" s="23" t="s">
        <v>86</v>
      </c>
      <c r="D567" s="23" t="str">
        <f t="shared" si="10"/>
        <v>Unconfirmed</v>
      </c>
      <c r="E567" s="32" t="s">
        <v>1326</v>
      </c>
      <c r="F567" s="23" t="s">
        <v>1333</v>
      </c>
      <c r="G567" s="69" t="s">
        <v>36</v>
      </c>
      <c r="H567" s="33">
        <v>718224004</v>
      </c>
      <c r="I567" s="23"/>
      <c r="J567" s="23"/>
      <c r="K567" s="23"/>
      <c r="L567" s="23"/>
      <c r="M567" s="23"/>
      <c r="N567" s="22"/>
      <c r="O567" s="23"/>
      <c r="P567" s="23"/>
      <c r="Q567" s="23"/>
      <c r="R567" s="4"/>
      <c r="S567" s="23">
        <v>0</v>
      </c>
      <c r="T567" s="23">
        <v>0</v>
      </c>
      <c r="U567" s="23">
        <v>0</v>
      </c>
      <c r="V567" s="5">
        <v>0</v>
      </c>
      <c r="W567" s="39"/>
      <c r="X567" s="22"/>
      <c r="Y567" s="41"/>
    </row>
    <row r="568" spans="1:25" ht="13.95" customHeight="1">
      <c r="A568" s="23" t="s">
        <v>21</v>
      </c>
      <c r="B568" s="23" t="s">
        <v>86</v>
      </c>
      <c r="C568" s="23" t="s">
        <v>86</v>
      </c>
      <c r="D568" s="23" t="str">
        <f t="shared" si="10"/>
        <v>Unconfirmed</v>
      </c>
      <c r="E568" s="32" t="s">
        <v>1326</v>
      </c>
      <c r="F568" s="23" t="s">
        <v>1334</v>
      </c>
      <c r="G568" s="69" t="s">
        <v>36</v>
      </c>
      <c r="H568" s="33">
        <v>718224004</v>
      </c>
      <c r="I568" s="23"/>
      <c r="J568" s="23"/>
      <c r="K568" s="23"/>
      <c r="L568" s="23"/>
      <c r="M568" s="23"/>
      <c r="N568" s="22"/>
      <c r="O568" s="23"/>
      <c r="P568" s="23"/>
      <c r="Q568" s="23"/>
      <c r="R568" s="4"/>
      <c r="S568" s="23">
        <v>0</v>
      </c>
      <c r="T568" s="23">
        <v>0</v>
      </c>
      <c r="U568" s="23">
        <v>0</v>
      </c>
      <c r="V568" s="5">
        <v>0</v>
      </c>
      <c r="W568" s="39"/>
      <c r="X568" s="22"/>
      <c r="Y568" s="41"/>
    </row>
    <row r="569" spans="1:25" ht="13.95" customHeight="1">
      <c r="A569" s="23" t="s">
        <v>21</v>
      </c>
      <c r="B569" s="23" t="s">
        <v>218</v>
      </c>
      <c r="C569" s="23" t="s">
        <v>73</v>
      </c>
      <c r="D569" s="23" t="str">
        <f t="shared" si="10"/>
        <v>Autoimmune</v>
      </c>
      <c r="E569" s="32" t="s">
        <v>1335</v>
      </c>
      <c r="F569" s="23" t="s">
        <v>1335</v>
      </c>
      <c r="G569" s="69" t="s">
        <v>25</v>
      </c>
      <c r="H569" s="33">
        <v>9014002</v>
      </c>
      <c r="I569" s="23">
        <v>140168</v>
      </c>
      <c r="J569" s="22" t="s">
        <v>1336</v>
      </c>
      <c r="K569" s="2" t="s">
        <v>1337</v>
      </c>
      <c r="L569" s="2" t="s">
        <v>1338</v>
      </c>
      <c r="M569" s="9" t="s">
        <v>78</v>
      </c>
      <c r="N569" s="22" t="s">
        <v>1340</v>
      </c>
      <c r="O569" s="4"/>
      <c r="P569" s="23">
        <v>2600</v>
      </c>
      <c r="Q569" s="23">
        <v>3700</v>
      </c>
      <c r="R569" s="4">
        <v>100000</v>
      </c>
      <c r="S569" s="4">
        <f>+(P569/R569)*[1]Population!$C$2</f>
        <v>8665800</v>
      </c>
      <c r="T569" s="4">
        <f>IF(ISBLANK(Q569),S569,+(Q569/R569)*[1]Population!$C$2)</f>
        <v>12332100</v>
      </c>
      <c r="U569" s="1">
        <f>+AVERAGE(S569:T569)</f>
        <v>10498950</v>
      </c>
      <c r="V569" s="5">
        <f>+(U569/[1]Population!$C$2)*100000</f>
        <v>3150</v>
      </c>
      <c r="W569" s="23"/>
      <c r="X569" s="22" t="s">
        <v>1339</v>
      </c>
      <c r="Y569" s="41" t="s">
        <v>1341</v>
      </c>
    </row>
    <row r="570" spans="1:25" ht="13.95" customHeight="1">
      <c r="A570" s="23" t="s">
        <v>21</v>
      </c>
      <c r="B570" s="23" t="s">
        <v>218</v>
      </c>
      <c r="C570" s="23" t="s">
        <v>73</v>
      </c>
      <c r="D570" s="23" t="str">
        <f t="shared" si="10"/>
        <v>Autoimmune</v>
      </c>
      <c r="E570" s="32" t="s">
        <v>1335</v>
      </c>
      <c r="F570" s="23" t="s">
        <v>1342</v>
      </c>
      <c r="G570" s="69" t="s">
        <v>52</v>
      </c>
      <c r="H570" s="33">
        <v>37042000</v>
      </c>
      <c r="I570" s="23">
        <v>4284492</v>
      </c>
      <c r="J570" s="22"/>
      <c r="K570" s="23"/>
      <c r="L570" s="23"/>
      <c r="M570" s="23"/>
      <c r="N570" s="22"/>
      <c r="O570" s="23"/>
      <c r="P570" s="23"/>
      <c r="Q570" s="23"/>
      <c r="R570" s="4"/>
      <c r="S570" s="23">
        <v>0</v>
      </c>
      <c r="T570" s="23">
        <v>0</v>
      </c>
      <c r="U570" s="23">
        <v>0</v>
      </c>
      <c r="V570" s="5">
        <v>0</v>
      </c>
      <c r="W570" s="39"/>
      <c r="X570" s="22" t="s">
        <v>1343</v>
      </c>
      <c r="Y570" s="41"/>
    </row>
    <row r="571" spans="1:25" ht="13.95" customHeight="1">
      <c r="A571" s="23" t="s">
        <v>146</v>
      </c>
      <c r="B571" s="23" t="s">
        <v>238</v>
      </c>
      <c r="C571" s="23" t="s">
        <v>73</v>
      </c>
      <c r="D571" s="23" t="str">
        <f t="shared" si="10"/>
        <v>Autoimmune</v>
      </c>
      <c r="E571" s="32" t="s">
        <v>1344</v>
      </c>
      <c r="F571" s="23" t="s">
        <v>1345</v>
      </c>
      <c r="G571" s="69" t="s">
        <v>162</v>
      </c>
      <c r="H571" s="33">
        <v>33339001</v>
      </c>
      <c r="I571" s="23">
        <v>81931</v>
      </c>
      <c r="J571" s="22"/>
      <c r="K571" s="2"/>
      <c r="L571" s="2"/>
      <c r="M571" s="9"/>
      <c r="N571" s="22"/>
      <c r="O571" s="4"/>
      <c r="P571" s="23"/>
      <c r="Q571" s="23"/>
      <c r="R571" s="4"/>
      <c r="S571" s="4"/>
      <c r="T571" s="4"/>
      <c r="U571" s="1"/>
      <c r="V571" s="5"/>
      <c r="W571" s="23"/>
      <c r="X571" s="22"/>
      <c r="Y571" s="41"/>
    </row>
    <row r="572" spans="1:25" ht="13.95" customHeight="1">
      <c r="A572" s="23" t="s">
        <v>146</v>
      </c>
      <c r="B572" s="23" t="s">
        <v>238</v>
      </c>
      <c r="C572" s="23" t="s">
        <v>73</v>
      </c>
      <c r="D572" s="23" t="str">
        <f t="shared" si="10"/>
        <v>Autoimmune</v>
      </c>
      <c r="E572" s="32" t="s">
        <v>1344</v>
      </c>
      <c r="F572" s="23" t="s">
        <v>1346</v>
      </c>
      <c r="G572" s="69" t="s">
        <v>34</v>
      </c>
      <c r="H572" s="33">
        <v>156370009</v>
      </c>
      <c r="I572" s="23"/>
      <c r="J572" s="23"/>
      <c r="K572" s="23"/>
      <c r="L572" s="23"/>
      <c r="M572" s="23"/>
      <c r="N572" s="22"/>
      <c r="O572" s="23"/>
      <c r="P572" s="23"/>
      <c r="Q572" s="23"/>
      <c r="R572" s="4"/>
      <c r="S572" s="23">
        <v>0</v>
      </c>
      <c r="T572" s="23">
        <v>0</v>
      </c>
      <c r="U572" s="23">
        <v>0</v>
      </c>
      <c r="V572" s="5">
        <v>0</v>
      </c>
      <c r="W572" s="39"/>
      <c r="X572" s="22"/>
      <c r="Y572" s="41" t="s">
        <v>1347</v>
      </c>
    </row>
    <row r="573" spans="1:25" ht="13.95" customHeight="1">
      <c r="A573" s="23" t="s">
        <v>146</v>
      </c>
      <c r="B573" s="23" t="s">
        <v>238</v>
      </c>
      <c r="C573" s="23" t="s">
        <v>73</v>
      </c>
      <c r="D573" s="23" t="str">
        <f t="shared" si="10"/>
        <v>Autoimmune</v>
      </c>
      <c r="E573" s="32" t="s">
        <v>1344</v>
      </c>
      <c r="F573" s="23" t="s">
        <v>1344</v>
      </c>
      <c r="G573" s="69" t="s">
        <v>25</v>
      </c>
      <c r="H573" s="33">
        <v>156370009</v>
      </c>
      <c r="I573" s="23">
        <v>40319772</v>
      </c>
      <c r="J573" s="22" t="s">
        <v>1348</v>
      </c>
      <c r="K573" s="2" t="s">
        <v>1349</v>
      </c>
      <c r="L573" s="2" t="s">
        <v>1350</v>
      </c>
      <c r="M573" s="9" t="s">
        <v>78</v>
      </c>
      <c r="N573" s="22" t="s">
        <v>1352</v>
      </c>
      <c r="O573" s="4"/>
      <c r="P573" s="23">
        <v>60</v>
      </c>
      <c r="Q573" s="23">
        <v>250</v>
      </c>
      <c r="R573" s="4">
        <v>100000</v>
      </c>
      <c r="S573" s="4">
        <f>+(P573/R573)*[1]Population!$C$2</f>
        <v>199979.99999999997</v>
      </c>
      <c r="T573" s="4">
        <f>IF(ISBLANK(Q573),S573,+(Q573/R573)*[1]Population!$C$2)</f>
        <v>833250</v>
      </c>
      <c r="U573" s="1">
        <f>+AVERAGE(S573:T573)</f>
        <v>516615</v>
      </c>
      <c r="V573" s="5">
        <f>+(U573/[1]Population!$C$2)*100000</f>
        <v>155</v>
      </c>
      <c r="W573" s="23"/>
      <c r="X573" s="22" t="s">
        <v>1351</v>
      </c>
      <c r="Y573" s="41"/>
    </row>
    <row r="574" spans="1:25" ht="13.95" customHeight="1">
      <c r="A574" s="23" t="s">
        <v>38</v>
      </c>
      <c r="B574" s="23" t="s">
        <v>22</v>
      </c>
      <c r="C574" s="23" t="s">
        <v>73</v>
      </c>
      <c r="D574" s="23" t="str">
        <f t="shared" si="10"/>
        <v>Autoimmune</v>
      </c>
      <c r="E574" s="32" t="s">
        <v>1353</v>
      </c>
      <c r="F574" s="23" t="s">
        <v>1354</v>
      </c>
      <c r="G574" s="69" t="s">
        <v>34</v>
      </c>
      <c r="H574" s="33">
        <v>50715003</v>
      </c>
      <c r="I574" s="23"/>
      <c r="J574" s="23"/>
      <c r="K574" s="23"/>
      <c r="L574" s="23"/>
      <c r="M574" s="23"/>
      <c r="N574" s="22"/>
      <c r="O574" s="23"/>
      <c r="P574" s="23"/>
      <c r="Q574" s="23"/>
      <c r="R574" s="4"/>
      <c r="S574" s="23">
        <v>0</v>
      </c>
      <c r="T574" s="23">
        <v>0</v>
      </c>
      <c r="U574" s="23">
        <v>0</v>
      </c>
      <c r="V574" s="5">
        <v>0</v>
      </c>
      <c r="W574" s="39"/>
      <c r="X574" s="22"/>
      <c r="Y574" s="41"/>
    </row>
    <row r="575" spans="1:25" ht="13.95" customHeight="1">
      <c r="A575" s="23" t="s">
        <v>38</v>
      </c>
      <c r="B575" s="23" t="s">
        <v>22</v>
      </c>
      <c r="C575" s="23" t="s">
        <v>73</v>
      </c>
      <c r="D575" s="23" t="str">
        <f t="shared" si="10"/>
        <v>Autoimmune</v>
      </c>
      <c r="E575" s="32" t="s">
        <v>1353</v>
      </c>
      <c r="F575" s="23" t="s">
        <v>1353</v>
      </c>
      <c r="G575" s="69" t="s">
        <v>25</v>
      </c>
      <c r="H575" s="33">
        <v>50715003</v>
      </c>
      <c r="I575" s="23">
        <v>140065</v>
      </c>
      <c r="J575" s="26" t="s">
        <v>1355</v>
      </c>
      <c r="K575" s="39" t="s">
        <v>1356</v>
      </c>
      <c r="L575" s="10" t="s">
        <v>1357</v>
      </c>
      <c r="M575" s="9" t="s">
        <v>29</v>
      </c>
      <c r="N575" s="62" t="s">
        <v>1358</v>
      </c>
      <c r="O575" s="63" t="s">
        <v>1358</v>
      </c>
      <c r="P575" s="23">
        <v>1.06</v>
      </c>
      <c r="Q575" s="23">
        <v>1.06</v>
      </c>
      <c r="R575" s="4">
        <v>1000000</v>
      </c>
      <c r="S575" s="4">
        <f>+(P575/R575)*[1]Population!$C$2</f>
        <v>353.298</v>
      </c>
      <c r="T575" s="4">
        <f>IF(ISBLANK(Q575),S575,+(Q575/R575)*[1]Population!$C$2)</f>
        <v>353.298</v>
      </c>
      <c r="U575" s="1">
        <f>+AVERAGE(S575:T575)</f>
        <v>353.298</v>
      </c>
      <c r="V575" s="5">
        <f>+(U575/[1]Population!$C$2)*100000</f>
        <v>0.106</v>
      </c>
      <c r="W575" s="23"/>
      <c r="X575" s="22" t="s">
        <v>1359</v>
      </c>
      <c r="Y575" s="41"/>
    </row>
    <row r="576" spans="1:25" ht="13.95" customHeight="1">
      <c r="A576" s="23" t="s">
        <v>38</v>
      </c>
      <c r="B576" s="23" t="s">
        <v>22</v>
      </c>
      <c r="C576" s="23" t="s">
        <v>73</v>
      </c>
      <c r="D576" s="23" t="str">
        <f t="shared" si="10"/>
        <v>Autoimmune</v>
      </c>
      <c r="E576" s="32" t="s">
        <v>1353</v>
      </c>
      <c r="F576" s="23" t="s">
        <v>1360</v>
      </c>
      <c r="G576" s="69" t="s">
        <v>36</v>
      </c>
      <c r="H576" s="33">
        <v>50715003</v>
      </c>
      <c r="I576" s="23"/>
      <c r="J576" s="23"/>
      <c r="K576" s="23"/>
      <c r="L576" s="23"/>
      <c r="M576" s="23"/>
      <c r="N576" s="22"/>
      <c r="O576" s="23"/>
      <c r="P576" s="23"/>
      <c r="Q576" s="23"/>
      <c r="R576" s="4"/>
      <c r="S576" s="23">
        <v>0</v>
      </c>
      <c r="T576" s="23">
        <v>0</v>
      </c>
      <c r="U576" s="23">
        <v>0</v>
      </c>
      <c r="V576" s="5">
        <v>0</v>
      </c>
      <c r="W576" s="39"/>
      <c r="X576" s="22"/>
      <c r="Y576" s="41"/>
    </row>
    <row r="577" spans="1:25" ht="13.95" customHeight="1">
      <c r="A577" s="23" t="s">
        <v>38</v>
      </c>
      <c r="B577" s="23" t="s">
        <v>22</v>
      </c>
      <c r="C577" s="23" t="s">
        <v>73</v>
      </c>
      <c r="D577" s="23" t="str">
        <f t="shared" si="10"/>
        <v>Autoimmune</v>
      </c>
      <c r="E577" s="32" t="s">
        <v>1353</v>
      </c>
      <c r="F577" s="23" t="s">
        <v>1361</v>
      </c>
      <c r="G577" s="69" t="s">
        <v>36</v>
      </c>
      <c r="H577" s="33">
        <v>50715003</v>
      </c>
      <c r="I577" s="23"/>
      <c r="J577" s="23"/>
      <c r="K577" s="23"/>
      <c r="L577" s="23"/>
      <c r="M577" s="23"/>
      <c r="N577" s="22"/>
      <c r="O577" s="23"/>
      <c r="P577" s="23"/>
      <c r="Q577" s="23"/>
      <c r="R577" s="4"/>
      <c r="S577" s="23">
        <v>0</v>
      </c>
      <c r="T577" s="23">
        <v>0</v>
      </c>
      <c r="U577" s="23">
        <v>0</v>
      </c>
      <c r="V577" s="5">
        <v>0</v>
      </c>
      <c r="W577" s="39"/>
      <c r="X577" s="22"/>
      <c r="Y577" s="41"/>
    </row>
    <row r="578" spans="1:25" ht="13.95" customHeight="1">
      <c r="A578" s="23" t="s">
        <v>38</v>
      </c>
      <c r="B578" s="23" t="s">
        <v>22</v>
      </c>
      <c r="C578" s="23" t="s">
        <v>73</v>
      </c>
      <c r="D578" s="23" t="str">
        <f t="shared" si="10"/>
        <v>Autoimmune</v>
      </c>
      <c r="E578" s="32" t="s">
        <v>1353</v>
      </c>
      <c r="F578" s="23" t="s">
        <v>1362</v>
      </c>
      <c r="G578" s="69" t="s">
        <v>36</v>
      </c>
      <c r="H578" s="33">
        <v>50715003</v>
      </c>
      <c r="I578" s="23"/>
      <c r="J578" s="23"/>
      <c r="K578" s="23"/>
      <c r="L578" s="23"/>
      <c r="M578" s="23"/>
      <c r="N578" s="22"/>
      <c r="O578" s="23"/>
      <c r="P578" s="23"/>
      <c r="Q578" s="23"/>
      <c r="R578" s="4"/>
      <c r="S578" s="23">
        <v>0</v>
      </c>
      <c r="T578" s="23">
        <v>0</v>
      </c>
      <c r="U578" s="23">
        <v>0</v>
      </c>
      <c r="V578" s="5">
        <v>0</v>
      </c>
      <c r="W578" s="39"/>
      <c r="X578" s="22"/>
      <c r="Y578" s="41"/>
    </row>
    <row r="579" spans="1:25" ht="13.95" customHeight="1">
      <c r="A579" s="23" t="s">
        <v>38</v>
      </c>
      <c r="B579" s="23" t="s">
        <v>22</v>
      </c>
      <c r="C579" s="23" t="s">
        <v>73</v>
      </c>
      <c r="D579" s="23" t="str">
        <f t="shared" si="10"/>
        <v>Autoimmune</v>
      </c>
      <c r="E579" s="32" t="s">
        <v>1353</v>
      </c>
      <c r="F579" s="23" t="s">
        <v>1363</v>
      </c>
      <c r="G579" s="69" t="s">
        <v>36</v>
      </c>
      <c r="H579" s="33">
        <v>50715003</v>
      </c>
      <c r="I579" s="23"/>
      <c r="J579" s="23"/>
      <c r="K579" s="23"/>
      <c r="L579" s="23"/>
      <c r="M579" s="23"/>
      <c r="N579" s="22"/>
      <c r="O579" s="23"/>
      <c r="P579" s="23"/>
      <c r="Q579" s="23"/>
      <c r="R579" s="4"/>
      <c r="S579" s="23">
        <v>0</v>
      </c>
      <c r="T579" s="23">
        <v>0</v>
      </c>
      <c r="U579" s="23">
        <v>0</v>
      </c>
      <c r="V579" s="5">
        <v>0</v>
      </c>
      <c r="W579" s="39"/>
      <c r="X579" s="22"/>
      <c r="Y579" s="41"/>
    </row>
    <row r="580" spans="1:25" ht="13.95" customHeight="1">
      <c r="A580" s="23" t="s">
        <v>38</v>
      </c>
      <c r="B580" s="23" t="s">
        <v>22</v>
      </c>
      <c r="C580" s="23" t="s">
        <v>73</v>
      </c>
      <c r="D580" s="23" t="str">
        <f t="shared" si="10"/>
        <v>Autoimmune</v>
      </c>
      <c r="E580" s="32" t="s">
        <v>1353</v>
      </c>
      <c r="F580" s="23" t="s">
        <v>1364</v>
      </c>
      <c r="G580" s="69" t="s">
        <v>36</v>
      </c>
      <c r="H580" s="33">
        <v>50715003</v>
      </c>
      <c r="I580" s="23"/>
      <c r="J580" s="23"/>
      <c r="K580" s="23"/>
      <c r="L580" s="23"/>
      <c r="M580" s="23"/>
      <c r="N580" s="22"/>
      <c r="O580" s="23"/>
      <c r="P580" s="23"/>
      <c r="Q580" s="23"/>
      <c r="R580" s="4"/>
      <c r="S580" s="23">
        <v>0</v>
      </c>
      <c r="T580" s="23">
        <v>0</v>
      </c>
      <c r="U580" s="23">
        <v>0</v>
      </c>
      <c r="V580" s="5">
        <v>0</v>
      </c>
      <c r="W580" s="39"/>
      <c r="X580" s="22"/>
      <c r="Y580" s="41"/>
    </row>
    <row r="581" spans="1:25" ht="13.95" customHeight="1">
      <c r="A581" s="23" t="s">
        <v>21</v>
      </c>
      <c r="B581" s="23" t="s">
        <v>86</v>
      </c>
      <c r="C581" s="23" t="s">
        <v>86</v>
      </c>
      <c r="D581" s="23" t="str">
        <f t="shared" si="10"/>
        <v>Unconfirmed</v>
      </c>
      <c r="E581" s="32" t="s">
        <v>1365</v>
      </c>
      <c r="F581" s="23" t="s">
        <v>1365</v>
      </c>
      <c r="G581" s="69" t="s">
        <v>25</v>
      </c>
      <c r="H581" s="33">
        <v>74578003</v>
      </c>
      <c r="I581" s="23">
        <v>133283</v>
      </c>
      <c r="J581" s="22" t="s">
        <v>1366</v>
      </c>
      <c r="K581" s="2" t="s">
        <v>1367</v>
      </c>
      <c r="L581" s="2" t="s">
        <v>1368</v>
      </c>
      <c r="M581" s="9" t="s">
        <v>78</v>
      </c>
      <c r="N581" s="22" t="s">
        <v>1371</v>
      </c>
      <c r="O581" s="63" t="s">
        <v>1369</v>
      </c>
      <c r="P581" s="23">
        <v>5.6</v>
      </c>
      <c r="Q581" s="23">
        <v>6.1</v>
      </c>
      <c r="R581" s="4">
        <v>100000</v>
      </c>
      <c r="S581" s="4">
        <f>+(P581/R581)*[1]Population!$C$2</f>
        <v>18664.8</v>
      </c>
      <c r="T581" s="4">
        <f>IF(ISBLANK(Q581),S581,+(Q581/R581)*[1]Population!$C$2)</f>
        <v>20331.3</v>
      </c>
      <c r="U581" s="1">
        <f>+AVERAGE(S581:T581)</f>
        <v>19498.05</v>
      </c>
      <c r="V581" s="5">
        <f>+(U581/[1]Population!$C$2)*100000</f>
        <v>5.85</v>
      </c>
      <c r="W581" s="23"/>
      <c r="X581" s="22" t="s">
        <v>1370</v>
      </c>
      <c r="Y581" s="41" t="s">
        <v>1372</v>
      </c>
    </row>
    <row r="582" spans="1:25" ht="13.95" customHeight="1">
      <c r="A582" s="23" t="s">
        <v>49</v>
      </c>
      <c r="B582" s="23" t="s">
        <v>22</v>
      </c>
      <c r="C582" s="23" t="s">
        <v>23</v>
      </c>
      <c r="D582" s="23" t="str">
        <f t="shared" ref="D582:D645" si="11">+IF(OR(B582="Antibody Suspected",B582="Antibody",B582="TCELL", B582="Immune-mediated",B582="Genetic"),"Autoimmune","Unconfirmed")</f>
        <v>Autoimmune</v>
      </c>
      <c r="E582" s="32" t="s">
        <v>1373</v>
      </c>
      <c r="F582" s="23" t="s">
        <v>1373</v>
      </c>
      <c r="G582" s="69" t="s">
        <v>25</v>
      </c>
      <c r="H582" s="33">
        <v>230191005</v>
      </c>
      <c r="I582" s="23">
        <v>4041672</v>
      </c>
      <c r="J582" s="22" t="s">
        <v>1374</v>
      </c>
      <c r="K582" s="23" t="s">
        <v>1375</v>
      </c>
      <c r="L582" s="2" t="s">
        <v>1376</v>
      </c>
      <c r="M582" s="3" t="s">
        <v>29</v>
      </c>
      <c r="N582" s="22"/>
      <c r="O582" s="9" t="s">
        <v>1377</v>
      </c>
      <c r="P582" s="23">
        <v>2.4</v>
      </c>
      <c r="Q582" s="23">
        <v>2.4</v>
      </c>
      <c r="R582" s="4">
        <v>1000000</v>
      </c>
      <c r="S582" s="24">
        <f>(P582/R582)*[1]Population!C4</f>
        <v>173.66263200000014</v>
      </c>
      <c r="T582" s="24">
        <f>(Q582/R582)*[1]Population!C4</f>
        <v>173.66263200000014</v>
      </c>
      <c r="U582" s="1">
        <f>+AVERAGE(S582:T582)</f>
        <v>173.66263200000014</v>
      </c>
      <c r="V582" s="5">
        <f>+(U582/[1]Population!$C$2)*100000</f>
        <v>5.2104000000000046E-2</v>
      </c>
      <c r="W582" s="39"/>
      <c r="X582" s="22"/>
      <c r="Y582" s="41" t="s">
        <v>1378</v>
      </c>
    </row>
    <row r="583" spans="1:25" ht="13.95" customHeight="1">
      <c r="A583" s="23" t="s">
        <v>49</v>
      </c>
      <c r="B583" s="23" t="s">
        <v>22</v>
      </c>
      <c r="C583" s="23" t="s">
        <v>23</v>
      </c>
      <c r="D583" s="23" t="str">
        <f t="shared" si="11"/>
        <v>Autoimmune</v>
      </c>
      <c r="E583" s="32" t="s">
        <v>1373</v>
      </c>
      <c r="F583" s="23" t="s">
        <v>1373</v>
      </c>
      <c r="G583" s="69" t="s">
        <v>389</v>
      </c>
      <c r="H583" s="33" t="s">
        <v>1379</v>
      </c>
      <c r="I583" s="23">
        <v>763040</v>
      </c>
      <c r="J583" s="22"/>
      <c r="K583" s="23"/>
      <c r="L583" s="23"/>
      <c r="M583" s="3"/>
      <c r="N583" s="22"/>
      <c r="O583" s="11"/>
      <c r="P583" s="23"/>
      <c r="Q583" s="23"/>
      <c r="R583" s="4"/>
      <c r="S583" s="23">
        <v>50</v>
      </c>
      <c r="T583" s="23">
        <v>50</v>
      </c>
      <c r="U583" s="23">
        <v>50</v>
      </c>
      <c r="V583" s="5">
        <f>+(U583/[1]Population!$C$2)*100000</f>
        <v>1.5001500150015001E-2</v>
      </c>
      <c r="W583" s="39"/>
      <c r="X583" s="22"/>
      <c r="Y583" s="41"/>
    </row>
    <row r="584" spans="1:25" ht="13.95" customHeight="1">
      <c r="A584" s="23" t="s">
        <v>72</v>
      </c>
      <c r="B584" s="23" t="s">
        <v>86</v>
      </c>
      <c r="C584" s="23" t="s">
        <v>1380</v>
      </c>
      <c r="D584" s="23" t="str">
        <f t="shared" si="11"/>
        <v>Unconfirmed</v>
      </c>
      <c r="E584" s="32" t="s">
        <v>1381</v>
      </c>
      <c r="F584" s="23" t="s">
        <v>1381</v>
      </c>
      <c r="G584" s="69" t="s">
        <v>109</v>
      </c>
      <c r="H584" s="33">
        <v>266261006</v>
      </c>
      <c r="I584" s="10">
        <v>4143972</v>
      </c>
      <c r="J584" s="22" t="s">
        <v>1382</v>
      </c>
      <c r="K584" s="2" t="s">
        <v>1383</v>
      </c>
      <c r="L584" s="2" t="s">
        <v>1384</v>
      </c>
      <c r="M584" s="9" t="s">
        <v>78</v>
      </c>
      <c r="N584" s="22" t="s">
        <v>1386</v>
      </c>
      <c r="O584" s="4"/>
      <c r="P584" s="23">
        <v>2080</v>
      </c>
      <c r="Q584" s="23">
        <v>8710</v>
      </c>
      <c r="R584" s="4">
        <v>100000</v>
      </c>
      <c r="S584" s="4">
        <f>+(P584/R584)*[1]Population!$C$2</f>
        <v>6932640</v>
      </c>
      <c r="T584" s="4">
        <f>IF(ISBLANK(Q584),S584,+(Q584/R584)*[1]Population!$C$2)</f>
        <v>29030430</v>
      </c>
      <c r="U584" s="1">
        <f>+AVERAGE(S584:T584)</f>
        <v>17981535</v>
      </c>
      <c r="V584" s="5">
        <f>+(U584/[1]Population!$C$2)*100000</f>
        <v>5395</v>
      </c>
      <c r="W584" s="23"/>
      <c r="X584" s="22" t="s">
        <v>1385</v>
      </c>
      <c r="Y584" s="41"/>
    </row>
    <row r="585" spans="1:25" ht="13.95" customHeight="1">
      <c r="A585" s="23" t="s">
        <v>72</v>
      </c>
      <c r="B585" s="23" t="s">
        <v>86</v>
      </c>
      <c r="C585" s="23" t="s">
        <v>1380</v>
      </c>
      <c r="D585" s="23" t="str">
        <f t="shared" si="11"/>
        <v>Unconfirmed</v>
      </c>
      <c r="E585" s="32" t="s">
        <v>1381</v>
      </c>
      <c r="F585" s="23" t="s">
        <v>1387</v>
      </c>
      <c r="G585" s="69" t="s">
        <v>36</v>
      </c>
      <c r="H585" s="33">
        <v>356198000</v>
      </c>
      <c r="I585" s="23"/>
      <c r="J585" s="23"/>
      <c r="K585" s="23"/>
      <c r="L585" s="23"/>
      <c r="M585" s="23"/>
      <c r="N585" s="22"/>
      <c r="O585" s="23"/>
      <c r="P585" s="23"/>
      <c r="Q585" s="23"/>
      <c r="R585" s="4"/>
      <c r="S585" s="23">
        <v>0</v>
      </c>
      <c r="T585" s="23">
        <v>0</v>
      </c>
      <c r="U585" s="23">
        <v>0</v>
      </c>
      <c r="V585" s="5">
        <v>0</v>
      </c>
      <c r="W585" s="39"/>
      <c r="X585" s="22"/>
      <c r="Y585" s="41"/>
    </row>
    <row r="586" spans="1:25" ht="13.95" customHeight="1">
      <c r="A586" s="23" t="s">
        <v>72</v>
      </c>
      <c r="B586" s="23" t="s">
        <v>86</v>
      </c>
      <c r="C586" s="23" t="s">
        <v>1380</v>
      </c>
      <c r="D586" s="23" t="str">
        <f t="shared" si="11"/>
        <v>Unconfirmed</v>
      </c>
      <c r="E586" s="32" t="s">
        <v>1381</v>
      </c>
      <c r="F586" s="23" t="s">
        <v>1388</v>
      </c>
      <c r="G586" s="69" t="s">
        <v>36</v>
      </c>
      <c r="H586" s="33">
        <v>356198000</v>
      </c>
      <c r="I586" s="23"/>
      <c r="J586" s="23"/>
      <c r="K586" s="23"/>
      <c r="L586" s="23"/>
      <c r="M586" s="23"/>
      <c r="N586" s="22"/>
      <c r="O586" s="23"/>
      <c r="P586" s="23"/>
      <c r="Q586" s="23"/>
      <c r="R586" s="4"/>
      <c r="S586" s="23">
        <v>0</v>
      </c>
      <c r="T586" s="23">
        <v>0</v>
      </c>
      <c r="U586" s="23">
        <v>0</v>
      </c>
      <c r="V586" s="5">
        <v>0</v>
      </c>
      <c r="W586" s="39"/>
      <c r="X586" s="22"/>
      <c r="Y586" s="41"/>
    </row>
    <row r="587" spans="1:25" ht="13.95" customHeight="1">
      <c r="A587" s="23" t="s">
        <v>72</v>
      </c>
      <c r="B587" s="23" t="s">
        <v>86</v>
      </c>
      <c r="C587" s="23" t="s">
        <v>1380</v>
      </c>
      <c r="D587" s="23" t="str">
        <f t="shared" si="11"/>
        <v>Unconfirmed</v>
      </c>
      <c r="E587" s="32" t="s">
        <v>1381</v>
      </c>
      <c r="F587" s="23" t="s">
        <v>1389</v>
      </c>
      <c r="G587" s="69" t="s">
        <v>36</v>
      </c>
      <c r="H587" s="33">
        <v>356198000</v>
      </c>
      <c r="I587" s="23"/>
      <c r="J587" s="23"/>
      <c r="K587" s="23"/>
      <c r="L587" s="23"/>
      <c r="M587" s="23"/>
      <c r="N587" s="22"/>
      <c r="O587" s="23"/>
      <c r="P587" s="23"/>
      <c r="Q587" s="23"/>
      <c r="R587" s="4"/>
      <c r="S587" s="23">
        <v>0</v>
      </c>
      <c r="T587" s="23">
        <v>0</v>
      </c>
      <c r="U587" s="23">
        <v>0</v>
      </c>
      <c r="V587" s="5">
        <v>0</v>
      </c>
      <c r="W587" s="39"/>
      <c r="X587" s="22"/>
      <c r="Y587" s="41"/>
    </row>
    <row r="588" spans="1:25" ht="13.95" customHeight="1">
      <c r="A588" s="23" t="s">
        <v>72</v>
      </c>
      <c r="B588" s="23" t="s">
        <v>86</v>
      </c>
      <c r="C588" s="23" t="s">
        <v>1380</v>
      </c>
      <c r="D588" s="23" t="str">
        <f t="shared" si="11"/>
        <v>Unconfirmed</v>
      </c>
      <c r="E588" s="32" t="s">
        <v>1381</v>
      </c>
      <c r="F588" s="23" t="s">
        <v>1390</v>
      </c>
      <c r="G588" s="69" t="s">
        <v>25</v>
      </c>
      <c r="H588" s="33">
        <v>356198000</v>
      </c>
      <c r="I588" s="23">
        <v>4229162</v>
      </c>
      <c r="J588" s="22" t="s">
        <v>1382</v>
      </c>
      <c r="K588" s="2" t="s">
        <v>1383</v>
      </c>
      <c r="L588" s="2" t="s">
        <v>1384</v>
      </c>
      <c r="M588" s="9" t="s">
        <v>78</v>
      </c>
      <c r="N588" s="22" t="s">
        <v>1386</v>
      </c>
      <c r="O588" s="4"/>
      <c r="P588" s="23">
        <v>2080</v>
      </c>
      <c r="Q588" s="23">
        <v>8710</v>
      </c>
      <c r="R588" s="4">
        <v>100000</v>
      </c>
      <c r="S588" s="4">
        <f>+(P588/R588)*[1]Population!$C$2</f>
        <v>6932640</v>
      </c>
      <c r="T588" s="4">
        <f>IF(ISBLANK(Q588),S588,+(Q588/R588)*[1]Population!$C$2)</f>
        <v>29030430</v>
      </c>
      <c r="U588" s="1">
        <f>+AVERAGE(S588:T588)</f>
        <v>17981535</v>
      </c>
      <c r="V588" s="5">
        <f>+(U588/[1]Population!$C$2)*100000</f>
        <v>5395</v>
      </c>
      <c r="W588" s="23"/>
      <c r="X588" s="22" t="s">
        <v>1385</v>
      </c>
      <c r="Y588" s="41"/>
    </row>
    <row r="589" spans="1:25" ht="13.95" customHeight="1">
      <c r="A589" s="23" t="s">
        <v>146</v>
      </c>
      <c r="B589" s="23" t="s">
        <v>238</v>
      </c>
      <c r="C589" s="23" t="s">
        <v>73</v>
      </c>
      <c r="D589" s="23" t="str">
        <f t="shared" si="11"/>
        <v>Autoimmune</v>
      </c>
      <c r="E589" s="32" t="s">
        <v>1391</v>
      </c>
      <c r="F589" s="23" t="s">
        <v>1392</v>
      </c>
      <c r="G589" s="69" t="s">
        <v>36</v>
      </c>
      <c r="H589" s="33">
        <v>67224007</v>
      </c>
      <c r="I589" s="23">
        <v>78357</v>
      </c>
      <c r="J589" s="22"/>
      <c r="K589" s="23"/>
      <c r="L589" s="23"/>
      <c r="M589" s="23"/>
      <c r="N589" s="22"/>
      <c r="O589" s="23"/>
      <c r="P589" s="23"/>
      <c r="Q589" s="23"/>
      <c r="R589" s="4"/>
      <c r="S589" s="23">
        <v>0</v>
      </c>
      <c r="T589" s="23">
        <v>0</v>
      </c>
      <c r="U589" s="23">
        <v>0</v>
      </c>
      <c r="V589" s="5">
        <v>0</v>
      </c>
      <c r="W589" s="39"/>
      <c r="X589" s="22"/>
      <c r="Y589" s="41"/>
    </row>
    <row r="590" spans="1:25" ht="13.95" customHeight="1">
      <c r="A590" s="23" t="s">
        <v>146</v>
      </c>
      <c r="B590" s="23" t="s">
        <v>238</v>
      </c>
      <c r="C590" s="23" t="s">
        <v>73</v>
      </c>
      <c r="D590" s="23" t="str">
        <f t="shared" si="11"/>
        <v>Autoimmune</v>
      </c>
      <c r="E590" s="32" t="s">
        <v>1391</v>
      </c>
      <c r="F590" s="23" t="s">
        <v>1393</v>
      </c>
      <c r="G590" s="69" t="s">
        <v>34</v>
      </c>
      <c r="H590" s="33">
        <v>201736002</v>
      </c>
      <c r="I590" s="23"/>
      <c r="J590" s="23"/>
      <c r="K590" s="23"/>
      <c r="L590" s="23"/>
      <c r="M590" s="23"/>
      <c r="N590" s="22"/>
      <c r="O590" s="23"/>
      <c r="P590" s="23"/>
      <c r="Q590" s="23"/>
      <c r="R590" s="4"/>
      <c r="S590" s="23">
        <v>0</v>
      </c>
      <c r="T590" s="23">
        <v>0</v>
      </c>
      <c r="U590" s="23">
        <v>0</v>
      </c>
      <c r="V590" s="5">
        <v>0</v>
      </c>
      <c r="W590" s="39"/>
      <c r="X590" s="22"/>
      <c r="Y590" s="41"/>
    </row>
    <row r="591" spans="1:25" ht="13.95" customHeight="1">
      <c r="A591" s="23" t="s">
        <v>146</v>
      </c>
      <c r="B591" s="23" t="s">
        <v>238</v>
      </c>
      <c r="C591" s="23" t="s">
        <v>73</v>
      </c>
      <c r="D591" s="23" t="str">
        <f t="shared" si="11"/>
        <v>Autoimmune</v>
      </c>
      <c r="E591" s="32" t="s">
        <v>1391</v>
      </c>
      <c r="F591" s="23" t="s">
        <v>1391</v>
      </c>
      <c r="G591" s="69" t="s">
        <v>25</v>
      </c>
      <c r="H591" s="33">
        <v>201736002</v>
      </c>
      <c r="I591" s="23">
        <v>40399768</v>
      </c>
      <c r="J591" s="22" t="s">
        <v>1394</v>
      </c>
      <c r="K591" s="2" t="s">
        <v>1395</v>
      </c>
      <c r="L591" s="2" t="s">
        <v>1396</v>
      </c>
      <c r="M591" s="9" t="s">
        <v>78</v>
      </c>
      <c r="N591" s="22" t="s">
        <v>1398</v>
      </c>
      <c r="O591" s="4"/>
      <c r="P591" s="23">
        <v>78.099999999999994</v>
      </c>
      <c r="Q591" s="23">
        <v>106.2</v>
      </c>
      <c r="R591" s="4">
        <v>100000</v>
      </c>
      <c r="S591" s="4">
        <f>+(P591/R591)*[1]Population!$C$2</f>
        <v>260307.29999999996</v>
      </c>
      <c r="T591" s="4">
        <f>IF(ISBLANK(Q591),S591,+(Q591/R591)*[1]Population!$C$2)</f>
        <v>353964.6</v>
      </c>
      <c r="U591" s="1">
        <f>+AVERAGE(S591:T591)</f>
        <v>307135.94999999995</v>
      </c>
      <c r="V591" s="5">
        <f>+(U591/[1]Population!$C$2)*100000</f>
        <v>92.149999999999991</v>
      </c>
      <c r="W591" s="23"/>
      <c r="X591" s="22" t="s">
        <v>1397</v>
      </c>
      <c r="Y591" s="41"/>
    </row>
    <row r="592" spans="1:25" ht="13.95" customHeight="1">
      <c r="A592" s="23" t="s">
        <v>146</v>
      </c>
      <c r="B592" s="23" t="s">
        <v>238</v>
      </c>
      <c r="C592" s="23" t="s">
        <v>73</v>
      </c>
      <c r="D592" s="23" t="str">
        <f t="shared" si="11"/>
        <v>Autoimmune</v>
      </c>
      <c r="E592" s="32" t="s">
        <v>1391</v>
      </c>
      <c r="F592" s="23" t="s">
        <v>1399</v>
      </c>
      <c r="G592" s="69" t="s">
        <v>36</v>
      </c>
      <c r="H592" s="33">
        <v>201736002</v>
      </c>
      <c r="I592" s="23"/>
      <c r="J592" s="23"/>
      <c r="K592" s="23"/>
      <c r="L592" s="23"/>
      <c r="M592" s="23"/>
      <c r="N592" s="22"/>
      <c r="O592" s="23"/>
      <c r="P592" s="23"/>
      <c r="Q592" s="23"/>
      <c r="R592" s="4"/>
      <c r="S592" s="23">
        <v>0</v>
      </c>
      <c r="T592" s="23">
        <v>0</v>
      </c>
      <c r="U592" s="23">
        <v>0</v>
      </c>
      <c r="V592" s="5">
        <v>0</v>
      </c>
      <c r="W592" s="39"/>
      <c r="X592" s="22"/>
      <c r="Y592" s="41"/>
    </row>
    <row r="593" spans="1:25" ht="13.95" customHeight="1">
      <c r="A593" s="23" t="s">
        <v>146</v>
      </c>
      <c r="B593" s="23" t="s">
        <v>238</v>
      </c>
      <c r="C593" s="23" t="s">
        <v>73</v>
      </c>
      <c r="D593" s="23" t="str">
        <f t="shared" si="11"/>
        <v>Autoimmune</v>
      </c>
      <c r="E593" s="32" t="s">
        <v>1391</v>
      </c>
      <c r="F593" s="23" t="s">
        <v>1400</v>
      </c>
      <c r="G593" s="69" t="s">
        <v>36</v>
      </c>
      <c r="H593" s="33">
        <v>201736002</v>
      </c>
      <c r="I593" s="23"/>
      <c r="J593" s="22"/>
      <c r="K593" s="23"/>
      <c r="L593" s="23"/>
      <c r="M593" s="23"/>
      <c r="N593" s="22"/>
      <c r="O593" s="23"/>
      <c r="P593" s="23"/>
      <c r="Q593" s="23"/>
      <c r="R593" s="4"/>
      <c r="S593" s="23">
        <v>0</v>
      </c>
      <c r="T593" s="23">
        <v>0</v>
      </c>
      <c r="U593" s="23">
        <v>0</v>
      </c>
      <c r="V593" s="5">
        <v>0</v>
      </c>
      <c r="W593" s="39"/>
      <c r="X593" s="22"/>
      <c r="Y593" s="41"/>
    </row>
    <row r="594" spans="1:25" ht="13.95" customHeight="1">
      <c r="A594" s="23" t="s">
        <v>146</v>
      </c>
      <c r="B594" s="23" t="s">
        <v>22</v>
      </c>
      <c r="C594" s="23" t="s">
        <v>23</v>
      </c>
      <c r="D594" s="23" t="str">
        <f t="shared" si="11"/>
        <v>Autoimmune</v>
      </c>
      <c r="E594" s="32" t="s">
        <v>1401</v>
      </c>
      <c r="F594" s="23" t="s">
        <v>1401</v>
      </c>
      <c r="G594" s="69" t="s">
        <v>25</v>
      </c>
      <c r="H594" s="33">
        <v>72275000</v>
      </c>
      <c r="I594" s="23">
        <v>4216873</v>
      </c>
      <c r="J594" s="22" t="s">
        <v>1402</v>
      </c>
      <c r="K594" s="2" t="s">
        <v>1403</v>
      </c>
      <c r="L594" s="2" t="s">
        <v>1404</v>
      </c>
      <c r="M594" s="9" t="s">
        <v>78</v>
      </c>
      <c r="N594" s="22" t="s">
        <v>1407</v>
      </c>
      <c r="O594" s="4"/>
      <c r="P594" s="23">
        <v>3.5</v>
      </c>
      <c r="Q594" s="23"/>
      <c r="R594" s="4">
        <v>1000000</v>
      </c>
      <c r="S594" s="4">
        <f>+(P594/R594)*[1]Population!$C$2</f>
        <v>1166.55</v>
      </c>
      <c r="T594" s="4">
        <f>IF(ISBLANK(Q594),S594,+(Q594/R594)*[1]Population!$C$2)</f>
        <v>1166.55</v>
      </c>
      <c r="U594" s="1">
        <f>+AVERAGE(S594:T594)</f>
        <v>1166.55</v>
      </c>
      <c r="V594" s="5">
        <f>+(U594/[1]Population!$C$2)*100000</f>
        <v>0.35</v>
      </c>
      <c r="W594" s="2" t="s">
        <v>1405</v>
      </c>
      <c r="X594" s="22" t="s">
        <v>1406</v>
      </c>
      <c r="Y594" s="41"/>
    </row>
    <row r="595" spans="1:25" ht="13.95" customHeight="1">
      <c r="A595" s="23" t="s">
        <v>146</v>
      </c>
      <c r="B595" s="23" t="s">
        <v>22</v>
      </c>
      <c r="C595" s="23" t="s">
        <v>23</v>
      </c>
      <c r="D595" s="23" t="str">
        <f t="shared" si="11"/>
        <v>Autoimmune</v>
      </c>
      <c r="E595" s="32" t="s">
        <v>1401</v>
      </c>
      <c r="F595" s="23" t="s">
        <v>1408</v>
      </c>
      <c r="G595" s="69" t="s">
        <v>36</v>
      </c>
      <c r="H595" s="33">
        <v>72275000</v>
      </c>
      <c r="I595" s="23">
        <v>4216873</v>
      </c>
      <c r="J595" s="22"/>
      <c r="K595" s="2" t="s">
        <v>1403</v>
      </c>
      <c r="L595" s="2" t="s">
        <v>1404</v>
      </c>
      <c r="M595" s="9" t="s">
        <v>78</v>
      </c>
      <c r="N595" s="22" t="s">
        <v>1407</v>
      </c>
      <c r="O595" s="4"/>
      <c r="P595" s="23">
        <v>3.5</v>
      </c>
      <c r="Q595" s="23"/>
      <c r="R595" s="4">
        <v>1000000</v>
      </c>
      <c r="S595" s="4">
        <f>+(P595/R595)*[1]Population!$C$2</f>
        <v>1166.55</v>
      </c>
      <c r="T595" s="4">
        <f>IF(ISBLANK(Q595),S595,+(Q595/R595)*[1]Population!$C$2)</f>
        <v>1166.55</v>
      </c>
      <c r="U595" s="1">
        <f>+AVERAGE(S595:T595)</f>
        <v>1166.55</v>
      </c>
      <c r="V595" s="5">
        <f>+(U595/[1]Population!$C$2)*100000</f>
        <v>0.35</v>
      </c>
      <c r="W595" s="2" t="s">
        <v>1405</v>
      </c>
      <c r="X595" s="22" t="s">
        <v>1406</v>
      </c>
      <c r="Y595" s="41"/>
    </row>
    <row r="596" spans="1:25" ht="13.95" customHeight="1">
      <c r="A596" s="23" t="s">
        <v>146</v>
      </c>
      <c r="B596" s="23" t="s">
        <v>22</v>
      </c>
      <c r="C596" s="23" t="s">
        <v>23</v>
      </c>
      <c r="D596" s="23" t="str">
        <f t="shared" si="11"/>
        <v>Autoimmune</v>
      </c>
      <c r="E596" s="32" t="s">
        <v>1401</v>
      </c>
      <c r="F596" s="23" t="s">
        <v>1409</v>
      </c>
      <c r="G596" s="69" t="s">
        <v>36</v>
      </c>
      <c r="H596" s="33">
        <v>72275000</v>
      </c>
      <c r="I596" s="23"/>
      <c r="J596" s="23"/>
      <c r="K596" s="23"/>
      <c r="L596" s="23"/>
      <c r="M596" s="23"/>
      <c r="N596" s="22"/>
      <c r="O596" s="23"/>
      <c r="P596" s="23"/>
      <c r="Q596" s="23"/>
      <c r="R596" s="4"/>
      <c r="S596" s="23">
        <v>0</v>
      </c>
      <c r="T596" s="23">
        <v>0</v>
      </c>
      <c r="U596" s="23">
        <v>0</v>
      </c>
      <c r="V596" s="5">
        <v>0</v>
      </c>
      <c r="W596" s="39"/>
      <c r="X596" s="22"/>
      <c r="Y596" s="41"/>
    </row>
    <row r="597" spans="1:25" ht="13.95" customHeight="1">
      <c r="A597" s="23" t="s">
        <v>146</v>
      </c>
      <c r="B597" s="23" t="s">
        <v>22</v>
      </c>
      <c r="C597" s="23" t="s">
        <v>23</v>
      </c>
      <c r="D597" s="23" t="str">
        <f t="shared" si="11"/>
        <v>Autoimmune</v>
      </c>
      <c r="E597" s="32" t="s">
        <v>1401</v>
      </c>
      <c r="F597" s="23" t="s">
        <v>1410</v>
      </c>
      <c r="G597" s="69" t="s">
        <v>36</v>
      </c>
      <c r="H597" s="33">
        <v>72275000</v>
      </c>
      <c r="I597" s="23">
        <v>4216873</v>
      </c>
      <c r="J597" s="22"/>
      <c r="K597" s="2" t="s">
        <v>1403</v>
      </c>
      <c r="L597" s="2" t="s">
        <v>1404</v>
      </c>
      <c r="M597" s="9" t="s">
        <v>78</v>
      </c>
      <c r="N597" s="22" t="s">
        <v>1407</v>
      </c>
      <c r="O597" s="4"/>
      <c r="P597" s="23">
        <v>3.5</v>
      </c>
      <c r="Q597" s="23"/>
      <c r="R597" s="4">
        <v>1000000</v>
      </c>
      <c r="S597" s="4">
        <f>+(P597/R597)*[1]Population!$C$2</f>
        <v>1166.55</v>
      </c>
      <c r="T597" s="4">
        <f>IF(ISBLANK(Q597),S597,+(Q597/R597)*[1]Population!$C$2)</f>
        <v>1166.55</v>
      </c>
      <c r="U597" s="1">
        <f>+AVERAGE(S597:T597)</f>
        <v>1166.55</v>
      </c>
      <c r="V597" s="5">
        <f>+(U597/[1]Population!$C$2)*100000</f>
        <v>0.35</v>
      </c>
      <c r="W597" s="2" t="s">
        <v>1405</v>
      </c>
      <c r="X597" s="22" t="s">
        <v>1406</v>
      </c>
      <c r="Y597" s="41"/>
    </row>
    <row r="598" spans="1:25" ht="13.95" customHeight="1">
      <c r="A598" s="23" t="s">
        <v>146</v>
      </c>
      <c r="B598" s="23" t="s">
        <v>22</v>
      </c>
      <c r="C598" s="23" t="s">
        <v>23</v>
      </c>
      <c r="D598" s="23" t="str">
        <f t="shared" si="11"/>
        <v>Autoimmune</v>
      </c>
      <c r="E598" s="32" t="s">
        <v>1401</v>
      </c>
      <c r="F598" s="23" t="s">
        <v>1411</v>
      </c>
      <c r="G598" s="69" t="s">
        <v>36</v>
      </c>
      <c r="H598" s="33">
        <v>72275000</v>
      </c>
      <c r="I598" s="23"/>
      <c r="J598" s="23"/>
      <c r="K598" s="23"/>
      <c r="L598" s="23"/>
      <c r="M598" s="23"/>
      <c r="N598" s="22"/>
      <c r="O598" s="23"/>
      <c r="P598" s="23"/>
      <c r="Q598" s="23"/>
      <c r="R598" s="4"/>
      <c r="S598" s="23">
        <v>0</v>
      </c>
      <c r="T598" s="23">
        <v>0</v>
      </c>
      <c r="U598" s="23">
        <v>0</v>
      </c>
      <c r="V598" s="5">
        <v>0</v>
      </c>
      <c r="W598" s="39"/>
      <c r="X598" s="22"/>
      <c r="Y598" s="41"/>
    </row>
    <row r="599" spans="1:25" ht="13.95" customHeight="1">
      <c r="A599" s="23" t="s">
        <v>146</v>
      </c>
      <c r="B599" s="23" t="s">
        <v>22</v>
      </c>
      <c r="C599" s="23" t="s">
        <v>23</v>
      </c>
      <c r="D599" s="23" t="str">
        <f t="shared" si="11"/>
        <v>Autoimmune</v>
      </c>
      <c r="E599" s="32" t="s">
        <v>1401</v>
      </c>
      <c r="F599" s="23" t="s">
        <v>1412</v>
      </c>
      <c r="G599" s="69" t="s">
        <v>36</v>
      </c>
      <c r="H599" s="33">
        <v>72275000</v>
      </c>
      <c r="I599" s="23"/>
      <c r="J599" s="23"/>
      <c r="K599" s="23"/>
      <c r="L599" s="23"/>
      <c r="M599" s="23"/>
      <c r="N599" s="22"/>
      <c r="O599" s="23"/>
      <c r="P599" s="23"/>
      <c r="Q599" s="23"/>
      <c r="R599" s="4"/>
      <c r="S599" s="23">
        <v>0</v>
      </c>
      <c r="T599" s="23">
        <v>0</v>
      </c>
      <c r="U599" s="23">
        <v>0</v>
      </c>
      <c r="V599" s="5">
        <v>0</v>
      </c>
      <c r="W599" s="39"/>
      <c r="X599" s="22"/>
      <c r="Y599" s="41"/>
    </row>
    <row r="600" spans="1:25" ht="13.95" customHeight="1">
      <c r="A600" s="23" t="s">
        <v>146</v>
      </c>
      <c r="B600" s="23" t="s">
        <v>22</v>
      </c>
      <c r="C600" s="23" t="s">
        <v>23</v>
      </c>
      <c r="D600" s="23" t="str">
        <f t="shared" si="11"/>
        <v>Autoimmune</v>
      </c>
      <c r="E600" s="32" t="s">
        <v>1401</v>
      </c>
      <c r="F600" s="23" t="s">
        <v>1413</v>
      </c>
      <c r="G600" s="69" t="s">
        <v>36</v>
      </c>
      <c r="H600" s="33">
        <v>72275000</v>
      </c>
      <c r="I600" s="23"/>
      <c r="J600" s="23"/>
      <c r="K600" s="23"/>
      <c r="L600" s="23"/>
      <c r="M600" s="23"/>
      <c r="N600" s="22"/>
      <c r="O600" s="23"/>
      <c r="P600" s="23"/>
      <c r="Q600" s="23"/>
      <c r="R600" s="4"/>
      <c r="S600" s="23">
        <v>0</v>
      </c>
      <c r="T600" s="23">
        <v>0</v>
      </c>
      <c r="U600" s="23">
        <v>0</v>
      </c>
      <c r="V600" s="5">
        <v>0</v>
      </c>
      <c r="W600" s="39"/>
      <c r="X600" s="22"/>
      <c r="Y600" s="41"/>
    </row>
    <row r="601" spans="1:25" ht="13.95" customHeight="1">
      <c r="A601" s="23" t="s">
        <v>146</v>
      </c>
      <c r="B601" s="23" t="s">
        <v>22</v>
      </c>
      <c r="C601" s="23" t="s">
        <v>23</v>
      </c>
      <c r="D601" s="23" t="str">
        <f t="shared" si="11"/>
        <v>Autoimmune</v>
      </c>
      <c r="E601" s="32" t="s">
        <v>1401</v>
      </c>
      <c r="F601" s="23" t="s">
        <v>1414</v>
      </c>
      <c r="G601" s="69" t="s">
        <v>36</v>
      </c>
      <c r="H601" s="33">
        <v>72275000</v>
      </c>
      <c r="I601" s="23"/>
      <c r="J601" s="23"/>
      <c r="K601" s="23"/>
      <c r="L601" s="23"/>
      <c r="M601" s="23"/>
      <c r="N601" s="22"/>
      <c r="O601" s="23"/>
      <c r="P601" s="23"/>
      <c r="Q601" s="23"/>
      <c r="R601" s="4"/>
      <c r="S601" s="23">
        <v>0</v>
      </c>
      <c r="T601" s="23">
        <v>0</v>
      </c>
      <c r="U601" s="23">
        <v>0</v>
      </c>
      <c r="V601" s="5">
        <v>0</v>
      </c>
      <c r="W601" s="39"/>
      <c r="X601" s="22"/>
      <c r="Y601" s="41"/>
    </row>
    <row r="602" spans="1:25" ht="13.95" customHeight="1">
      <c r="A602" s="23" t="s">
        <v>146</v>
      </c>
      <c r="B602" s="23" t="s">
        <v>22</v>
      </c>
      <c r="C602" s="23" t="s">
        <v>23</v>
      </c>
      <c r="D602" s="23" t="str">
        <f t="shared" si="11"/>
        <v>Autoimmune</v>
      </c>
      <c r="E602" s="32" t="s">
        <v>1401</v>
      </c>
      <c r="F602" s="23" t="s">
        <v>1415</v>
      </c>
      <c r="G602" s="69" t="s">
        <v>36</v>
      </c>
      <c r="H602" s="33">
        <v>72275000</v>
      </c>
      <c r="I602" s="23">
        <v>4216873</v>
      </c>
      <c r="J602" s="22"/>
      <c r="K602" s="2" t="s">
        <v>1403</v>
      </c>
      <c r="L602" s="2" t="s">
        <v>1404</v>
      </c>
      <c r="M602" s="9" t="s">
        <v>78</v>
      </c>
      <c r="N602" s="22" t="s">
        <v>1407</v>
      </c>
      <c r="O602" s="4"/>
      <c r="P602" s="23">
        <v>3.5</v>
      </c>
      <c r="Q602" s="23"/>
      <c r="R602" s="4">
        <v>1000000</v>
      </c>
      <c r="S602" s="4">
        <f>+(P602/R602)*[1]Population!$C$2</f>
        <v>1166.55</v>
      </c>
      <c r="T602" s="4">
        <f>IF(ISBLANK(Q602),S602,+(Q602/R602)*[1]Population!$C$2)</f>
        <v>1166.55</v>
      </c>
      <c r="U602" s="1">
        <f>+AVERAGE(S602:T602)</f>
        <v>1166.55</v>
      </c>
      <c r="V602" s="5">
        <f>+(U602/[1]Population!$C$2)*100000</f>
        <v>0.35</v>
      </c>
      <c r="W602" s="2" t="s">
        <v>1405</v>
      </c>
      <c r="X602" s="22" t="s">
        <v>1406</v>
      </c>
      <c r="Y602" s="41"/>
    </row>
    <row r="603" spans="1:25" ht="13.95" customHeight="1">
      <c r="A603" s="23" t="s">
        <v>146</v>
      </c>
      <c r="B603" s="23" t="s">
        <v>22</v>
      </c>
      <c r="C603" s="23" t="s">
        <v>23</v>
      </c>
      <c r="D603" s="23" t="str">
        <f t="shared" si="11"/>
        <v>Autoimmune</v>
      </c>
      <c r="E603" s="32" t="s">
        <v>1401</v>
      </c>
      <c r="F603" s="23" t="s">
        <v>1416</v>
      </c>
      <c r="G603" s="69" t="s">
        <v>36</v>
      </c>
      <c r="H603" s="33">
        <v>72275000</v>
      </c>
      <c r="I603" s="23"/>
      <c r="J603" s="23"/>
      <c r="K603" s="23"/>
      <c r="L603" s="23"/>
      <c r="M603" s="23"/>
      <c r="N603" s="22"/>
      <c r="O603" s="23"/>
      <c r="P603" s="23"/>
      <c r="Q603" s="23"/>
      <c r="R603" s="4"/>
      <c r="S603" s="23">
        <v>0</v>
      </c>
      <c r="T603" s="23">
        <v>0</v>
      </c>
      <c r="U603" s="23">
        <v>0</v>
      </c>
      <c r="V603" s="5">
        <v>0</v>
      </c>
      <c r="W603" s="39"/>
      <c r="X603" s="22"/>
      <c r="Y603" s="41"/>
    </row>
    <row r="604" spans="1:25" ht="13.95" customHeight="1">
      <c r="A604" s="23" t="s">
        <v>146</v>
      </c>
      <c r="B604" s="23" t="s">
        <v>22</v>
      </c>
      <c r="C604" s="23" t="s">
        <v>23</v>
      </c>
      <c r="D604" s="23" t="str">
        <f t="shared" si="11"/>
        <v>Autoimmune</v>
      </c>
      <c r="E604" s="32" t="s">
        <v>1401</v>
      </c>
      <c r="F604" s="23" t="s">
        <v>1417</v>
      </c>
      <c r="G604" s="69" t="s">
        <v>36</v>
      </c>
      <c r="H604" s="33">
        <v>72275000</v>
      </c>
      <c r="I604" s="23"/>
      <c r="J604" s="23"/>
      <c r="K604" s="23"/>
      <c r="L604" s="23"/>
      <c r="M604" s="23"/>
      <c r="N604" s="22"/>
      <c r="O604" s="23"/>
      <c r="P604" s="23"/>
      <c r="Q604" s="23"/>
      <c r="R604" s="4"/>
      <c r="S604" s="23">
        <v>0</v>
      </c>
      <c r="T604" s="23">
        <v>0</v>
      </c>
      <c r="U604" s="23">
        <v>0</v>
      </c>
      <c r="V604" s="5">
        <v>0</v>
      </c>
      <c r="W604" s="39"/>
      <c r="X604" s="22"/>
      <c r="Y604" s="41"/>
    </row>
    <row r="605" spans="1:25" ht="13.95" customHeight="1">
      <c r="A605" s="23" t="s">
        <v>49</v>
      </c>
      <c r="B605" s="23" t="s">
        <v>86</v>
      </c>
      <c r="C605" s="23" t="s">
        <v>1380</v>
      </c>
      <c r="D605" s="23" t="str">
        <f t="shared" si="11"/>
        <v>Unconfirmed</v>
      </c>
      <c r="E605" s="32" t="s">
        <v>1418</v>
      </c>
      <c r="F605" s="23" t="s">
        <v>1418</v>
      </c>
      <c r="G605" s="69" t="s">
        <v>123</v>
      </c>
      <c r="H605" s="33">
        <v>32914008</v>
      </c>
      <c r="I605" s="23">
        <v>73754</v>
      </c>
      <c r="J605" s="22" t="s">
        <v>1419</v>
      </c>
      <c r="K605" s="2" t="s">
        <v>1420</v>
      </c>
      <c r="L605" s="2" t="s">
        <v>1421</v>
      </c>
      <c r="M605" s="9" t="s">
        <v>78</v>
      </c>
      <c r="N605" s="22" t="s">
        <v>1422</v>
      </c>
      <c r="O605" s="23"/>
      <c r="P605" s="23">
        <v>4000</v>
      </c>
      <c r="Q605" s="23">
        <v>29000</v>
      </c>
      <c r="R605" s="4">
        <v>100000</v>
      </c>
      <c r="S605" s="4">
        <f>+(P605/R605)*[1]Population!$C$2</f>
        <v>13332000</v>
      </c>
      <c r="T605" s="4">
        <f>IF(ISBLANK(Q605),S605,+(Q605/R605)*[1]Population!$C$2)</f>
        <v>96657000</v>
      </c>
      <c r="U605" s="1">
        <f>+AVERAGE(S605:T605)</f>
        <v>54994500</v>
      </c>
      <c r="V605" s="5">
        <f>+(U605/[1]Population!$C$2)*100000</f>
        <v>16500</v>
      </c>
      <c r="W605" s="23"/>
      <c r="X605" s="22" t="s">
        <v>368</v>
      </c>
      <c r="Y605" s="40"/>
    </row>
    <row r="606" spans="1:25" ht="13.95" customHeight="1">
      <c r="A606" s="23" t="s">
        <v>49</v>
      </c>
      <c r="B606" s="23" t="s">
        <v>86</v>
      </c>
      <c r="C606" s="23" t="s">
        <v>1380</v>
      </c>
      <c r="D606" s="23" t="str">
        <f t="shared" si="11"/>
        <v>Unconfirmed</v>
      </c>
      <c r="E606" s="32" t="s">
        <v>1418</v>
      </c>
      <c r="F606" s="23" t="s">
        <v>1423</v>
      </c>
      <c r="G606" s="69" t="s">
        <v>36</v>
      </c>
      <c r="H606" s="33">
        <v>32914008</v>
      </c>
      <c r="I606" s="23"/>
      <c r="J606" s="24"/>
      <c r="K606" s="2"/>
      <c r="L606" s="2"/>
      <c r="M606" s="9"/>
      <c r="N606" s="22"/>
      <c r="O606" s="4"/>
      <c r="P606" s="23"/>
      <c r="Q606" s="23"/>
      <c r="R606" s="4"/>
      <c r="S606" s="23">
        <v>0</v>
      </c>
      <c r="T606" s="23">
        <v>0</v>
      </c>
      <c r="U606" s="23">
        <v>0</v>
      </c>
      <c r="V606" s="5">
        <v>0</v>
      </c>
      <c r="W606" s="23"/>
      <c r="X606" s="22"/>
      <c r="Y606" s="40"/>
    </row>
    <row r="607" spans="1:25" ht="13.95" customHeight="1">
      <c r="A607" s="23" t="s">
        <v>49</v>
      </c>
      <c r="B607" s="23" t="s">
        <v>86</v>
      </c>
      <c r="C607" s="23" t="s">
        <v>1380</v>
      </c>
      <c r="D607" s="23" t="str">
        <f t="shared" si="11"/>
        <v>Unconfirmed</v>
      </c>
      <c r="E607" s="32" t="s">
        <v>1418</v>
      </c>
      <c r="F607" s="23" t="s">
        <v>1424</v>
      </c>
      <c r="G607" s="69" t="s">
        <v>36</v>
      </c>
      <c r="H607" s="33">
        <v>32914008</v>
      </c>
      <c r="I607" s="23"/>
      <c r="J607" s="23"/>
      <c r="K607" s="23"/>
      <c r="L607" s="23"/>
      <c r="M607" s="23"/>
      <c r="N607" s="22"/>
      <c r="O607" s="23"/>
      <c r="P607" s="23"/>
      <c r="Q607" s="23"/>
      <c r="R607" s="4"/>
      <c r="S607" s="23">
        <v>0</v>
      </c>
      <c r="T607" s="23">
        <v>0</v>
      </c>
      <c r="U607" s="23">
        <v>0</v>
      </c>
      <c r="V607" s="5">
        <v>0</v>
      </c>
      <c r="W607" s="39"/>
      <c r="X607" s="22"/>
      <c r="Y607" s="41"/>
    </row>
    <row r="608" spans="1:25" ht="13.95" customHeight="1">
      <c r="A608" s="23" t="s">
        <v>72</v>
      </c>
      <c r="B608" s="23" t="s">
        <v>226</v>
      </c>
      <c r="C608" s="23" t="s">
        <v>86</v>
      </c>
      <c r="D608" s="23" t="str">
        <f t="shared" si="11"/>
        <v>Autoimmune</v>
      </c>
      <c r="E608" s="32" t="s">
        <v>1425</v>
      </c>
      <c r="F608" s="23" t="s">
        <v>1426</v>
      </c>
      <c r="G608" s="69" t="s">
        <v>34</v>
      </c>
      <c r="H608" s="33">
        <v>702575003</v>
      </c>
      <c r="I608" s="23"/>
      <c r="J608" s="23"/>
      <c r="K608" s="23"/>
      <c r="L608" s="23"/>
      <c r="M608" s="23"/>
      <c r="N608" s="22"/>
      <c r="O608" s="23"/>
      <c r="P608" s="23"/>
      <c r="Q608" s="23"/>
      <c r="R608" s="4"/>
      <c r="S608" s="23">
        <v>0</v>
      </c>
      <c r="T608" s="23">
        <v>0</v>
      </c>
      <c r="U608" s="23">
        <v>0</v>
      </c>
      <c r="V608" s="5">
        <v>0</v>
      </c>
      <c r="W608" s="39"/>
      <c r="X608" s="22"/>
      <c r="Y608" s="41"/>
    </row>
    <row r="609" spans="1:25" ht="13.95" customHeight="1">
      <c r="A609" s="23" t="s">
        <v>72</v>
      </c>
      <c r="B609" s="23" t="s">
        <v>226</v>
      </c>
      <c r="C609" s="23" t="s">
        <v>86</v>
      </c>
      <c r="D609" s="23" t="str">
        <f t="shared" si="11"/>
        <v>Autoimmune</v>
      </c>
      <c r="E609" s="32" t="s">
        <v>1425</v>
      </c>
      <c r="F609" s="23" t="s">
        <v>1425</v>
      </c>
      <c r="G609" s="69" t="s">
        <v>25</v>
      </c>
      <c r="H609" s="33">
        <v>702575003</v>
      </c>
      <c r="I609" s="23">
        <v>45765600</v>
      </c>
      <c r="J609" s="22" t="s">
        <v>1427</v>
      </c>
      <c r="K609" s="2" t="s">
        <v>1428</v>
      </c>
      <c r="L609" s="2" t="s">
        <v>1429</v>
      </c>
      <c r="M609" s="23" t="s">
        <v>78</v>
      </c>
      <c r="N609" s="22" t="s">
        <v>261</v>
      </c>
      <c r="O609" s="11" t="s">
        <v>258</v>
      </c>
      <c r="P609" s="23"/>
      <c r="Q609" s="23"/>
      <c r="R609" s="4">
        <v>0</v>
      </c>
      <c r="S609" s="4">
        <v>50</v>
      </c>
      <c r="T609" s="4">
        <v>50</v>
      </c>
      <c r="U609" s="1">
        <f>+AVERAGE(S609:T609)</f>
        <v>50</v>
      </c>
      <c r="V609" s="5">
        <f>+(U609/[1]Population!$C$2)*100000</f>
        <v>1.5001500150015001E-2</v>
      </c>
      <c r="W609" s="23"/>
      <c r="X609" s="22" t="s">
        <v>368</v>
      </c>
      <c r="Y609" s="41" t="s">
        <v>1430</v>
      </c>
    </row>
    <row r="610" spans="1:25" ht="13.95" customHeight="1">
      <c r="A610" s="23" t="s">
        <v>72</v>
      </c>
      <c r="B610" s="23" t="s">
        <v>226</v>
      </c>
      <c r="C610" s="23" t="s">
        <v>86</v>
      </c>
      <c r="D610" s="23" t="str">
        <f t="shared" si="11"/>
        <v>Autoimmune</v>
      </c>
      <c r="E610" s="32" t="s">
        <v>1425</v>
      </c>
      <c r="F610" s="23" t="s">
        <v>1431</v>
      </c>
      <c r="G610" s="69" t="s">
        <v>34</v>
      </c>
      <c r="H610" s="33">
        <v>702575003</v>
      </c>
      <c r="I610" s="23"/>
      <c r="J610" s="23"/>
      <c r="K610" s="23"/>
      <c r="L610" s="23"/>
      <c r="M610" s="23"/>
      <c r="N610" s="22"/>
      <c r="O610" s="23"/>
      <c r="P610" s="23"/>
      <c r="Q610" s="23"/>
      <c r="R610" s="4"/>
      <c r="S610" s="23">
        <v>0</v>
      </c>
      <c r="T610" s="23">
        <v>0</v>
      </c>
      <c r="U610" s="23">
        <v>0</v>
      </c>
      <c r="V610" s="5">
        <v>0</v>
      </c>
      <c r="W610" s="39"/>
      <c r="X610" s="22"/>
      <c r="Y610" s="41"/>
    </row>
    <row r="611" spans="1:25" ht="13.95" customHeight="1">
      <c r="A611" s="23" t="s">
        <v>72</v>
      </c>
      <c r="B611" s="23" t="s">
        <v>226</v>
      </c>
      <c r="C611" s="23" t="s">
        <v>86</v>
      </c>
      <c r="D611" s="23" t="str">
        <f t="shared" si="11"/>
        <v>Autoimmune</v>
      </c>
      <c r="E611" s="32" t="s">
        <v>1425</v>
      </c>
      <c r="F611" s="23" t="s">
        <v>1432</v>
      </c>
      <c r="G611" s="69" t="s">
        <v>36</v>
      </c>
      <c r="H611" s="33">
        <v>702575003</v>
      </c>
      <c r="I611" s="23"/>
      <c r="J611" s="23"/>
      <c r="K611" s="23"/>
      <c r="L611" s="23"/>
      <c r="M611" s="23"/>
      <c r="N611" s="22"/>
      <c r="O611" s="23"/>
      <c r="P611" s="23"/>
      <c r="Q611" s="23"/>
      <c r="R611" s="4"/>
      <c r="S611" s="23">
        <v>0</v>
      </c>
      <c r="T611" s="23">
        <v>0</v>
      </c>
      <c r="U611" s="23">
        <v>0</v>
      </c>
      <c r="V611" s="5">
        <v>0</v>
      </c>
      <c r="W611" s="39"/>
      <c r="X611" s="22"/>
      <c r="Y611" s="41"/>
    </row>
    <row r="612" spans="1:25" ht="13.95" customHeight="1">
      <c r="A612" s="23" t="s">
        <v>72</v>
      </c>
      <c r="B612" s="23" t="s">
        <v>226</v>
      </c>
      <c r="C612" s="23" t="s">
        <v>86</v>
      </c>
      <c r="D612" s="23" t="str">
        <f t="shared" si="11"/>
        <v>Autoimmune</v>
      </c>
      <c r="E612" s="32" t="s">
        <v>1425</v>
      </c>
      <c r="F612" s="23" t="s">
        <v>1433</v>
      </c>
      <c r="G612" s="69" t="s">
        <v>36</v>
      </c>
      <c r="H612" s="33">
        <v>702575003</v>
      </c>
      <c r="I612" s="23"/>
      <c r="J612" s="23"/>
      <c r="K612" s="23"/>
      <c r="L612" s="23"/>
      <c r="M612" s="23"/>
      <c r="N612" s="22"/>
      <c r="O612" s="23"/>
      <c r="P612" s="23"/>
      <c r="Q612" s="23"/>
      <c r="R612" s="4"/>
      <c r="S612" s="23">
        <v>0</v>
      </c>
      <c r="T612" s="23">
        <v>0</v>
      </c>
      <c r="U612" s="23">
        <v>0</v>
      </c>
      <c r="V612" s="5">
        <v>0</v>
      </c>
      <c r="W612" s="39"/>
      <c r="X612" s="22"/>
      <c r="Y612" s="41"/>
    </row>
    <row r="613" spans="1:25" ht="13.95" customHeight="1">
      <c r="A613" s="23" t="s">
        <v>72</v>
      </c>
      <c r="B613" s="23" t="s">
        <v>226</v>
      </c>
      <c r="C613" s="23" t="s">
        <v>86</v>
      </c>
      <c r="D613" s="23" t="str">
        <f t="shared" si="11"/>
        <v>Autoimmune</v>
      </c>
      <c r="E613" s="32" t="s">
        <v>1425</v>
      </c>
      <c r="F613" s="23" t="s">
        <v>1434</v>
      </c>
      <c r="G613" s="69" t="s">
        <v>36</v>
      </c>
      <c r="H613" s="33">
        <v>702575003</v>
      </c>
      <c r="I613" s="23"/>
      <c r="J613" s="23"/>
      <c r="K613" s="23"/>
      <c r="L613" s="23"/>
      <c r="M613" s="23"/>
      <c r="N613" s="22"/>
      <c r="O613" s="23"/>
      <c r="P613" s="23"/>
      <c r="Q613" s="23"/>
      <c r="R613" s="4"/>
      <c r="S613" s="23">
        <v>0</v>
      </c>
      <c r="T613" s="23">
        <v>0</v>
      </c>
      <c r="U613" s="23">
        <v>0</v>
      </c>
      <c r="V613" s="5">
        <v>0</v>
      </c>
      <c r="W613" s="39"/>
      <c r="X613" s="22"/>
      <c r="Y613" s="41"/>
    </row>
    <row r="614" spans="1:25" ht="13.95" customHeight="1">
      <c r="A614" s="23" t="s">
        <v>72</v>
      </c>
      <c r="B614" s="23" t="s">
        <v>226</v>
      </c>
      <c r="C614" s="23" t="s">
        <v>86</v>
      </c>
      <c r="D614" s="23" t="str">
        <f t="shared" si="11"/>
        <v>Autoimmune</v>
      </c>
      <c r="E614" s="32" t="s">
        <v>1425</v>
      </c>
      <c r="F614" s="23" t="s">
        <v>1435</v>
      </c>
      <c r="G614" s="69" t="s">
        <v>36</v>
      </c>
      <c r="H614" s="33">
        <v>702575003</v>
      </c>
      <c r="I614" s="23">
        <v>45765600</v>
      </c>
      <c r="J614" s="22"/>
      <c r="K614" s="2" t="s">
        <v>1428</v>
      </c>
      <c r="L614" s="2" t="s">
        <v>1429</v>
      </c>
      <c r="M614" s="23" t="s">
        <v>78</v>
      </c>
      <c r="N614" s="22" t="s">
        <v>261</v>
      </c>
      <c r="O614" s="11" t="s">
        <v>258</v>
      </c>
      <c r="P614" s="23"/>
      <c r="Q614" s="23"/>
      <c r="R614" s="4">
        <v>0</v>
      </c>
      <c r="S614" s="4">
        <v>50</v>
      </c>
      <c r="T614" s="4">
        <v>50</v>
      </c>
      <c r="U614" s="1">
        <f>+AVERAGE(S614:T614)</f>
        <v>50</v>
      </c>
      <c r="V614" s="5">
        <f>+(U614/[1]Population!$C$2)*100000</f>
        <v>1.5001500150015001E-2</v>
      </c>
      <c r="W614" s="23"/>
      <c r="X614" s="22" t="s">
        <v>368</v>
      </c>
      <c r="Y614" s="41" t="s">
        <v>1430</v>
      </c>
    </row>
    <row r="615" spans="1:25" ht="13.95" customHeight="1">
      <c r="A615" s="23" t="s">
        <v>146</v>
      </c>
      <c r="B615" s="23" t="s">
        <v>86</v>
      </c>
      <c r="C615" s="23" t="s">
        <v>86</v>
      </c>
      <c r="D615" s="23" t="str">
        <f t="shared" si="11"/>
        <v>Unconfirmed</v>
      </c>
      <c r="E615" s="32" t="s">
        <v>1436</v>
      </c>
      <c r="F615" s="23" t="s">
        <v>1436</v>
      </c>
      <c r="G615" s="69" t="s">
        <v>25</v>
      </c>
      <c r="H615" s="33">
        <v>46826000</v>
      </c>
      <c r="I615" s="23">
        <v>444120</v>
      </c>
      <c r="J615" s="22" t="s">
        <v>1437</v>
      </c>
      <c r="K615" s="39" t="s">
        <v>410</v>
      </c>
      <c r="L615" s="39" t="s">
        <v>411</v>
      </c>
      <c r="M615" s="9" t="s">
        <v>78</v>
      </c>
      <c r="N615" s="22" t="s">
        <v>1438</v>
      </c>
      <c r="O615" s="11" t="s">
        <v>258</v>
      </c>
      <c r="P615" s="50"/>
      <c r="Q615" s="50"/>
      <c r="R615" s="50">
        <v>0</v>
      </c>
      <c r="S615" s="11">
        <v>50</v>
      </c>
      <c r="T615" s="11">
        <v>50</v>
      </c>
      <c r="U615" s="1">
        <f>+AVERAGE(S615:T615)</f>
        <v>50</v>
      </c>
      <c r="V615" s="5">
        <f>+(U615/[1]Population!$C$2)*100000</f>
        <v>1.5001500150015001E-2</v>
      </c>
      <c r="W615" s="23"/>
      <c r="X615" s="22" t="s">
        <v>1201</v>
      </c>
      <c r="Y615" s="41"/>
    </row>
    <row r="616" spans="1:25" ht="13.95" customHeight="1">
      <c r="A616" s="23" t="s">
        <v>146</v>
      </c>
      <c r="B616" s="23" t="s">
        <v>86</v>
      </c>
      <c r="C616" s="23" t="s">
        <v>86</v>
      </c>
      <c r="D616" s="23" t="str">
        <f t="shared" si="11"/>
        <v>Unconfirmed</v>
      </c>
      <c r="E616" s="32" t="s">
        <v>1439</v>
      </c>
      <c r="F616" s="23" t="s">
        <v>1440</v>
      </c>
      <c r="G616" s="69" t="s">
        <v>36</v>
      </c>
      <c r="H616" s="33">
        <v>46826000</v>
      </c>
      <c r="I616" s="23"/>
      <c r="J616" s="23"/>
      <c r="K616" s="23"/>
      <c r="L616" s="23"/>
      <c r="M616" s="23"/>
      <c r="N616" s="22"/>
      <c r="O616" s="23"/>
      <c r="P616" s="23"/>
      <c r="Q616" s="23"/>
      <c r="R616" s="4"/>
      <c r="S616" s="23">
        <v>0</v>
      </c>
      <c r="T616" s="23">
        <v>0</v>
      </c>
      <c r="U616" s="23">
        <v>0</v>
      </c>
      <c r="V616" s="5">
        <v>0</v>
      </c>
      <c r="W616" s="39"/>
      <c r="X616" s="22"/>
      <c r="Y616" s="41"/>
    </row>
    <row r="617" spans="1:25" ht="13.95" customHeight="1">
      <c r="A617" s="23" t="s">
        <v>146</v>
      </c>
      <c r="B617" s="23" t="s">
        <v>86</v>
      </c>
      <c r="C617" s="23" t="s">
        <v>86</v>
      </c>
      <c r="D617" s="23" t="str">
        <f t="shared" si="11"/>
        <v>Unconfirmed</v>
      </c>
      <c r="E617" s="32" t="s">
        <v>1436</v>
      </c>
      <c r="F617" s="23" t="s">
        <v>1441</v>
      </c>
      <c r="G617" s="69" t="s">
        <v>36</v>
      </c>
      <c r="H617" s="33">
        <v>46826000</v>
      </c>
      <c r="I617" s="23">
        <v>444120</v>
      </c>
      <c r="J617" s="22"/>
      <c r="K617" s="39" t="s">
        <v>410</v>
      </c>
      <c r="L617" s="39" t="s">
        <v>411</v>
      </c>
      <c r="M617" s="9" t="s">
        <v>78</v>
      </c>
      <c r="N617" s="22" t="s">
        <v>1438</v>
      </c>
      <c r="O617" s="11" t="s">
        <v>258</v>
      </c>
      <c r="P617" s="50"/>
      <c r="Q617" s="50"/>
      <c r="R617" s="50">
        <v>0</v>
      </c>
      <c r="S617" s="11">
        <v>50</v>
      </c>
      <c r="T617" s="11">
        <v>50</v>
      </c>
      <c r="U617" s="1">
        <f>+AVERAGE(S617:T617)</f>
        <v>50</v>
      </c>
      <c r="V617" s="5">
        <f>+(U617/[1]Population!$C$2)*100000</f>
        <v>1.5001500150015001E-2</v>
      </c>
      <c r="W617" s="23"/>
      <c r="X617" s="22" t="s">
        <v>1201</v>
      </c>
      <c r="Y617" s="41"/>
    </row>
    <row r="618" spans="1:25" ht="13.95" customHeight="1">
      <c r="A618" s="23" t="s">
        <v>146</v>
      </c>
      <c r="B618" s="23" t="s">
        <v>86</v>
      </c>
      <c r="C618" s="23" t="s">
        <v>86</v>
      </c>
      <c r="D618" s="23" t="str">
        <f t="shared" si="11"/>
        <v>Unconfirmed</v>
      </c>
      <c r="E618" s="32" t="s">
        <v>1439</v>
      </c>
      <c r="F618" s="23" t="s">
        <v>1442</v>
      </c>
      <c r="G618" s="69" t="s">
        <v>36</v>
      </c>
      <c r="H618" s="33">
        <v>46826000</v>
      </c>
      <c r="I618" s="23"/>
      <c r="J618" s="23"/>
      <c r="K618" s="23"/>
      <c r="L618" s="23"/>
      <c r="M618" s="23"/>
      <c r="N618" s="22"/>
      <c r="O618" s="23"/>
      <c r="P618" s="23"/>
      <c r="Q618" s="23"/>
      <c r="R618" s="4"/>
      <c r="S618" s="23">
        <v>0</v>
      </c>
      <c r="T618" s="23">
        <v>0</v>
      </c>
      <c r="U618" s="23">
        <v>0</v>
      </c>
      <c r="V618" s="5">
        <v>0</v>
      </c>
      <c r="W618" s="39"/>
      <c r="X618" s="22"/>
      <c r="Y618" s="41"/>
    </row>
    <row r="619" spans="1:25" ht="13.95" customHeight="1">
      <c r="A619" s="23" t="s">
        <v>112</v>
      </c>
      <c r="B619" s="23" t="s">
        <v>22</v>
      </c>
      <c r="C619" s="23" t="s">
        <v>73</v>
      </c>
      <c r="D619" s="23" t="str">
        <f t="shared" si="11"/>
        <v>Autoimmune</v>
      </c>
      <c r="E619" s="32" t="s">
        <v>1443</v>
      </c>
      <c r="F619" s="23" t="s">
        <v>1443</v>
      </c>
      <c r="G619" s="69" t="s">
        <v>25</v>
      </c>
      <c r="H619" s="33">
        <v>58718002</v>
      </c>
      <c r="I619" s="23">
        <v>442313</v>
      </c>
      <c r="J619" s="22" t="s">
        <v>1444</v>
      </c>
      <c r="K619" s="2" t="s">
        <v>1445</v>
      </c>
      <c r="L619" s="2" t="s">
        <v>1446</v>
      </c>
      <c r="M619" s="9" t="s">
        <v>29</v>
      </c>
      <c r="N619" s="22" t="s">
        <v>1449</v>
      </c>
      <c r="O619" s="1" t="s">
        <v>1447</v>
      </c>
      <c r="P619" s="23">
        <v>5</v>
      </c>
      <c r="Q619" s="23"/>
      <c r="R619" s="4">
        <v>100000</v>
      </c>
      <c r="S619" s="4">
        <f>+(P619/R619)*[1]Population!$C$2</f>
        <v>16665</v>
      </c>
      <c r="T619" s="4">
        <f>IF(ISBLANK(Q619),S619,+(Q619/R619)*[1]Population!$C$2)</f>
        <v>16665</v>
      </c>
      <c r="U619" s="1">
        <f>+AVERAGE(S619:T619)</f>
        <v>16665</v>
      </c>
      <c r="V619" s="5">
        <f>+(U619/[1]Population!$C$2)*100000</f>
        <v>5</v>
      </c>
      <c r="W619" s="23"/>
      <c r="X619" s="22" t="s">
        <v>1448</v>
      </c>
      <c r="Y619" s="41"/>
    </row>
    <row r="620" spans="1:25" ht="13.95" customHeight="1">
      <c r="A620" s="23" t="s">
        <v>112</v>
      </c>
      <c r="B620" s="23" t="s">
        <v>22</v>
      </c>
      <c r="C620" s="23" t="s">
        <v>73</v>
      </c>
      <c r="D620" s="23" t="str">
        <f t="shared" si="11"/>
        <v>Autoimmune</v>
      </c>
      <c r="E620" s="32" t="s">
        <v>1443</v>
      </c>
      <c r="F620" s="23" t="s">
        <v>1450</v>
      </c>
      <c r="G620" s="69" t="s">
        <v>36</v>
      </c>
      <c r="H620" s="33">
        <v>58718002</v>
      </c>
      <c r="I620" s="23"/>
      <c r="J620" s="23"/>
      <c r="K620" s="23"/>
      <c r="L620" s="23"/>
      <c r="M620" s="23"/>
      <c r="N620" s="22"/>
      <c r="O620" s="23"/>
      <c r="P620" s="23"/>
      <c r="Q620" s="23"/>
      <c r="R620" s="4"/>
      <c r="S620" s="23">
        <v>0</v>
      </c>
      <c r="T620" s="23">
        <v>0</v>
      </c>
      <c r="U620" s="23">
        <v>0</v>
      </c>
      <c r="V620" s="5">
        <v>0</v>
      </c>
      <c r="W620" s="39"/>
      <c r="X620" s="22"/>
      <c r="Y620" s="41"/>
    </row>
    <row r="621" spans="1:25" ht="13.95" customHeight="1">
      <c r="A621" s="23" t="s">
        <v>112</v>
      </c>
      <c r="B621" s="23" t="s">
        <v>22</v>
      </c>
      <c r="C621" s="23" t="s">
        <v>73</v>
      </c>
      <c r="D621" s="23" t="str">
        <f t="shared" si="11"/>
        <v>Autoimmune</v>
      </c>
      <c r="E621" s="32" t="s">
        <v>1443</v>
      </c>
      <c r="F621" s="23" t="s">
        <v>1451</v>
      </c>
      <c r="G621" s="69" t="s">
        <v>36</v>
      </c>
      <c r="H621" s="33">
        <v>58718002</v>
      </c>
      <c r="I621" s="23"/>
      <c r="J621" s="23"/>
      <c r="K621" s="23"/>
      <c r="L621" s="23"/>
      <c r="M621" s="23"/>
      <c r="N621" s="22"/>
      <c r="O621" s="23"/>
      <c r="P621" s="23"/>
      <c r="Q621" s="23"/>
      <c r="R621" s="4"/>
      <c r="S621" s="23">
        <v>0</v>
      </c>
      <c r="T621" s="23">
        <v>0</v>
      </c>
      <c r="U621" s="23">
        <v>0</v>
      </c>
      <c r="V621" s="5">
        <v>0</v>
      </c>
      <c r="W621" s="39"/>
      <c r="X621" s="22"/>
      <c r="Y621" s="41"/>
    </row>
    <row r="622" spans="1:25" ht="13.95" customHeight="1">
      <c r="A622" s="23" t="s">
        <v>112</v>
      </c>
      <c r="B622" s="23" t="s">
        <v>22</v>
      </c>
      <c r="C622" s="23" t="s">
        <v>73</v>
      </c>
      <c r="D622" s="23" t="str">
        <f t="shared" si="11"/>
        <v>Autoimmune</v>
      </c>
      <c r="E622" s="32" t="s">
        <v>1443</v>
      </c>
      <c r="F622" s="23" t="s">
        <v>1452</v>
      </c>
      <c r="G622" s="69" t="s">
        <v>36</v>
      </c>
      <c r="H622" s="33">
        <v>58718002</v>
      </c>
      <c r="I622" s="23"/>
      <c r="J622" s="23"/>
      <c r="K622" s="23"/>
      <c r="L622" s="23"/>
      <c r="M622" s="23"/>
      <c r="N622" s="22"/>
      <c r="O622" s="23"/>
      <c r="P622" s="23"/>
      <c r="Q622" s="23"/>
      <c r="R622" s="4"/>
      <c r="S622" s="23">
        <v>0</v>
      </c>
      <c r="T622" s="23">
        <v>0</v>
      </c>
      <c r="U622" s="23">
        <v>0</v>
      </c>
      <c r="V622" s="5">
        <v>0</v>
      </c>
      <c r="W622" s="39"/>
      <c r="X622" s="22"/>
      <c r="Y622" s="41"/>
    </row>
    <row r="623" spans="1:25" ht="13.95" customHeight="1">
      <c r="A623" s="23" t="s">
        <v>1057</v>
      </c>
      <c r="B623" s="23" t="s">
        <v>22</v>
      </c>
      <c r="C623" s="23" t="s">
        <v>23</v>
      </c>
      <c r="D623" s="23" t="str">
        <f t="shared" si="11"/>
        <v>Autoimmune</v>
      </c>
      <c r="E623" s="32" t="s">
        <v>1443</v>
      </c>
      <c r="F623" s="23" t="s">
        <v>1453</v>
      </c>
      <c r="G623" s="69" t="s">
        <v>36</v>
      </c>
      <c r="H623" s="33">
        <v>194709000</v>
      </c>
      <c r="I623" s="23"/>
      <c r="J623" s="23"/>
      <c r="K623" s="23"/>
      <c r="L623" s="23"/>
      <c r="M623" s="23"/>
      <c r="N623" s="22"/>
      <c r="O623" s="23"/>
      <c r="P623" s="23"/>
      <c r="Q623" s="23"/>
      <c r="R623" s="4"/>
      <c r="S623" s="23">
        <v>0</v>
      </c>
      <c r="T623" s="23">
        <v>0</v>
      </c>
      <c r="U623" s="23">
        <v>0</v>
      </c>
      <c r="V623" s="5">
        <v>0</v>
      </c>
      <c r="W623" s="39"/>
      <c r="X623" s="22"/>
      <c r="Y623" s="41"/>
    </row>
    <row r="624" spans="1:25" ht="13.95" customHeight="1">
      <c r="A624" s="23" t="s">
        <v>146</v>
      </c>
      <c r="B624" s="23" t="s">
        <v>22</v>
      </c>
      <c r="C624" s="23" t="s">
        <v>73</v>
      </c>
      <c r="D624" s="23" t="str">
        <f t="shared" si="11"/>
        <v>Autoimmune</v>
      </c>
      <c r="E624" s="32" t="s">
        <v>1454</v>
      </c>
      <c r="F624" s="23" t="s">
        <v>1454</v>
      </c>
      <c r="G624" s="69" t="s">
        <v>25</v>
      </c>
      <c r="H624" s="33">
        <v>69896004</v>
      </c>
      <c r="I624" s="23">
        <v>80809</v>
      </c>
      <c r="J624" s="22" t="s">
        <v>1455</v>
      </c>
      <c r="K624" s="2" t="s">
        <v>1456</v>
      </c>
      <c r="L624" s="2" t="s">
        <v>1457</v>
      </c>
      <c r="M624" s="9" t="s">
        <v>78</v>
      </c>
      <c r="N624" s="22" t="s">
        <v>1459</v>
      </c>
      <c r="O624" s="4"/>
      <c r="P624" s="23">
        <v>330</v>
      </c>
      <c r="Q624" s="23">
        <v>790</v>
      </c>
      <c r="R624" s="4">
        <v>100000</v>
      </c>
      <c r="S624" s="4">
        <f>+(P624/R624)*[1]Population!$C$2</f>
        <v>1099890</v>
      </c>
      <c r="T624" s="4">
        <f>IF(ISBLANK(Q624),S624,+(Q624/R624)*[1]Population!$C$2)</f>
        <v>2633070.0000000005</v>
      </c>
      <c r="U624" s="1">
        <f>+AVERAGE(S624:T624)</f>
        <v>1866480.0000000002</v>
      </c>
      <c r="V624" s="5">
        <f>+(U624/[1]Population!$C$2)*100000</f>
        <v>560.00000000000011</v>
      </c>
      <c r="W624" s="23"/>
      <c r="X624" s="22" t="s">
        <v>1458</v>
      </c>
      <c r="Y624" s="41"/>
    </row>
    <row r="625" spans="1:25" ht="13.95" customHeight="1">
      <c r="A625" s="23" t="s">
        <v>72</v>
      </c>
      <c r="B625" s="23" t="s">
        <v>22</v>
      </c>
      <c r="C625" s="23" t="s">
        <v>73</v>
      </c>
      <c r="D625" s="23" t="str">
        <f t="shared" si="11"/>
        <v>Autoimmune</v>
      </c>
      <c r="E625" s="32" t="s">
        <v>1460</v>
      </c>
      <c r="F625" s="23" t="s">
        <v>1460</v>
      </c>
      <c r="G625" s="69" t="s">
        <v>25</v>
      </c>
      <c r="H625" s="33">
        <v>400054000</v>
      </c>
      <c r="I625" s="23">
        <v>4271003</v>
      </c>
      <c r="J625" s="22" t="s">
        <v>1461</v>
      </c>
      <c r="K625" s="2" t="s">
        <v>1462</v>
      </c>
      <c r="L625" s="2" t="s">
        <v>1463</v>
      </c>
      <c r="M625" s="9" t="s">
        <v>78</v>
      </c>
      <c r="N625" s="22" t="s">
        <v>1466</v>
      </c>
      <c r="O625" s="4" t="s">
        <v>1464</v>
      </c>
      <c r="P625" s="17">
        <v>0.25900000000000001</v>
      </c>
      <c r="Q625" s="17">
        <v>0.33200000000000002</v>
      </c>
      <c r="R625" s="4">
        <v>100</v>
      </c>
      <c r="S625" s="4">
        <f>+(P625/R625)*[1]Population!$C$2</f>
        <v>863247.00000000012</v>
      </c>
      <c r="T625" s="4">
        <f>IF(ISBLANK(Q625),S625,+(Q625/R625)*[1]Population!$C$2)</f>
        <v>1106556</v>
      </c>
      <c r="U625" s="1">
        <f>+AVERAGE(S625:T625)</f>
        <v>984901.5</v>
      </c>
      <c r="V625" s="5">
        <f>+(U625/[1]Population!$C$2)*100000</f>
        <v>295.5</v>
      </c>
      <c r="W625" s="23"/>
      <c r="X625" s="22" t="s">
        <v>1465</v>
      </c>
      <c r="Y625" s="41"/>
    </row>
    <row r="626" spans="1:25" ht="13.95" customHeight="1">
      <c r="A626" s="23" t="s">
        <v>72</v>
      </c>
      <c r="B626" s="23" t="s">
        <v>22</v>
      </c>
      <c r="C626" s="23" t="s">
        <v>73</v>
      </c>
      <c r="D626" s="23" t="str">
        <f t="shared" si="11"/>
        <v>Autoimmune</v>
      </c>
      <c r="E626" s="32" t="s">
        <v>1460</v>
      </c>
      <c r="F626" s="23" t="s">
        <v>1467</v>
      </c>
      <c r="G626" s="69" t="s">
        <v>34</v>
      </c>
      <c r="H626" s="33">
        <v>400054000</v>
      </c>
      <c r="I626" s="23"/>
      <c r="J626" s="23"/>
      <c r="K626" s="23"/>
      <c r="L626" s="23"/>
      <c r="M626" s="23"/>
      <c r="N626" s="22"/>
      <c r="O626" s="23"/>
      <c r="P626" s="23"/>
      <c r="Q626" s="23"/>
      <c r="R626" s="4"/>
      <c r="S626" s="23">
        <v>0</v>
      </c>
      <c r="T626" s="23">
        <v>0</v>
      </c>
      <c r="U626" s="23">
        <v>0</v>
      </c>
      <c r="V626" s="5">
        <v>0</v>
      </c>
      <c r="W626" s="39"/>
      <c r="X626" s="22"/>
      <c r="Y626" s="41"/>
    </row>
    <row r="627" spans="1:25" ht="13.95" customHeight="1">
      <c r="A627" s="23" t="s">
        <v>112</v>
      </c>
      <c r="B627" s="23" t="s">
        <v>86</v>
      </c>
      <c r="C627" s="23" t="s">
        <v>86</v>
      </c>
      <c r="D627" s="23" t="str">
        <f t="shared" si="11"/>
        <v>Unconfirmed</v>
      </c>
      <c r="E627" s="32" t="s">
        <v>1468</v>
      </c>
      <c r="F627" s="23" t="s">
        <v>1468</v>
      </c>
      <c r="G627" s="69" t="s">
        <v>25</v>
      </c>
      <c r="H627" s="33" t="s">
        <v>1469</v>
      </c>
      <c r="I627" s="23">
        <v>438688</v>
      </c>
      <c r="J627" s="22" t="s">
        <v>1470</v>
      </c>
      <c r="K627" s="2" t="s">
        <v>1471</v>
      </c>
      <c r="L627" s="2" t="s">
        <v>1472</v>
      </c>
      <c r="M627" s="9" t="s">
        <v>78</v>
      </c>
      <c r="N627" s="22" t="s">
        <v>1475</v>
      </c>
      <c r="O627" s="23" t="s">
        <v>1473</v>
      </c>
      <c r="P627" s="23">
        <v>59.04</v>
      </c>
      <c r="Q627" s="23">
        <v>60.18</v>
      </c>
      <c r="R627" s="4">
        <v>100000</v>
      </c>
      <c r="S627" s="4">
        <f>+(P627/R627)*[1]Population!$C$2</f>
        <v>196780.32</v>
      </c>
      <c r="T627" s="4">
        <f>IF(ISBLANK(Q627),S627,+(Q627/R627)*[1]Population!$C$2)</f>
        <v>200579.94</v>
      </c>
      <c r="U627" s="1">
        <f>+AVERAGE(S627:T627)</f>
        <v>198680.13</v>
      </c>
      <c r="V627" s="5">
        <f>+(U627/[1]Population!$C$2)*100000</f>
        <v>59.61</v>
      </c>
      <c r="W627" s="23"/>
      <c r="X627" s="22" t="s">
        <v>1474</v>
      </c>
      <c r="Y627" s="40"/>
    </row>
    <row r="628" spans="1:25" ht="13.95" customHeight="1">
      <c r="A628" s="23" t="s">
        <v>112</v>
      </c>
      <c r="B628" s="23" t="s">
        <v>86</v>
      </c>
      <c r="C628" s="23" t="s">
        <v>86</v>
      </c>
      <c r="D628" s="23" t="str">
        <f t="shared" si="11"/>
        <v>Unconfirmed</v>
      </c>
      <c r="E628" s="32" t="s">
        <v>1468</v>
      </c>
      <c r="F628" s="23" t="s">
        <v>1476</v>
      </c>
      <c r="G628" s="69" t="s">
        <v>36</v>
      </c>
      <c r="H628" s="33" t="s">
        <v>1477</v>
      </c>
      <c r="I628" s="23"/>
      <c r="J628" s="23"/>
      <c r="K628" s="23"/>
      <c r="L628" s="23"/>
      <c r="M628" s="23"/>
      <c r="N628" s="22"/>
      <c r="O628" s="23"/>
      <c r="P628" s="23"/>
      <c r="Q628" s="23"/>
      <c r="R628" s="4"/>
      <c r="S628" s="23">
        <v>0</v>
      </c>
      <c r="T628" s="23">
        <v>0</v>
      </c>
      <c r="U628" s="23">
        <v>0</v>
      </c>
      <c r="V628" s="5">
        <v>0</v>
      </c>
      <c r="W628" s="39"/>
      <c r="X628" s="22"/>
      <c r="Y628" s="41"/>
    </row>
    <row r="629" spans="1:25" ht="13.95" customHeight="1">
      <c r="A629" s="23" t="s">
        <v>112</v>
      </c>
      <c r="B629" s="23" t="s">
        <v>86</v>
      </c>
      <c r="C629" s="23" t="s">
        <v>86</v>
      </c>
      <c r="D629" s="23" t="str">
        <f t="shared" si="11"/>
        <v>Unconfirmed</v>
      </c>
      <c r="E629" s="32" t="s">
        <v>1468</v>
      </c>
      <c r="F629" s="23" t="s">
        <v>1478</v>
      </c>
      <c r="G629" s="69" t="s">
        <v>52</v>
      </c>
      <c r="H629" s="33" t="s">
        <v>1477</v>
      </c>
      <c r="I629" s="23">
        <v>4216556</v>
      </c>
      <c r="J629" s="22" t="s">
        <v>1470</v>
      </c>
      <c r="K629" s="2" t="s">
        <v>1471</v>
      </c>
      <c r="L629" s="2" t="s">
        <v>1472</v>
      </c>
      <c r="M629" s="9" t="s">
        <v>78</v>
      </c>
      <c r="N629" s="22" t="s">
        <v>1475</v>
      </c>
      <c r="O629" s="23" t="s">
        <v>1473</v>
      </c>
      <c r="P629" s="23">
        <v>59.04</v>
      </c>
      <c r="Q629" s="23">
        <v>60.18</v>
      </c>
      <c r="R629" s="4">
        <v>100000</v>
      </c>
      <c r="S629" s="4">
        <f>+(P629/R629)*[1]Population!$C$2</f>
        <v>196780.32</v>
      </c>
      <c r="T629" s="4">
        <f>IF(ISBLANK(Q629),S629,+(Q629/R629)*[1]Population!$C$2)</f>
        <v>200579.94</v>
      </c>
      <c r="U629" s="1">
        <f>+AVERAGE(S629:T629)</f>
        <v>198680.13</v>
      </c>
      <c r="V629" s="5">
        <f>+(U629/[1]Population!$C$2)*100000</f>
        <v>59.61</v>
      </c>
      <c r="W629" s="23"/>
      <c r="X629" s="22" t="s">
        <v>1474</v>
      </c>
      <c r="Y629" s="40"/>
    </row>
    <row r="630" spans="1:25" ht="13.95" customHeight="1">
      <c r="A630" s="23" t="s">
        <v>112</v>
      </c>
      <c r="B630" s="23" t="s">
        <v>86</v>
      </c>
      <c r="C630" s="23" t="s">
        <v>86</v>
      </c>
      <c r="D630" s="23" t="str">
        <f t="shared" si="11"/>
        <v>Unconfirmed</v>
      </c>
      <c r="E630" s="32" t="s">
        <v>1468</v>
      </c>
      <c r="F630" s="23" t="s">
        <v>1479</v>
      </c>
      <c r="G630" s="69" t="s">
        <v>52</v>
      </c>
      <c r="H630" s="33" t="s">
        <v>1480</v>
      </c>
      <c r="I630" s="23">
        <v>4081069</v>
      </c>
      <c r="J630" s="22" t="s">
        <v>1470</v>
      </c>
      <c r="K630" s="2" t="s">
        <v>1471</v>
      </c>
      <c r="L630" s="2" t="s">
        <v>1472</v>
      </c>
      <c r="M630" s="9" t="s">
        <v>78</v>
      </c>
      <c r="N630" s="22" t="s">
        <v>1475</v>
      </c>
      <c r="O630" s="23" t="s">
        <v>1473</v>
      </c>
      <c r="P630" s="23">
        <v>59.04</v>
      </c>
      <c r="Q630" s="23">
        <v>60.18</v>
      </c>
      <c r="R630" s="4">
        <v>100000</v>
      </c>
      <c r="S630" s="4">
        <f>+(P630/R630)*[1]Population!$C$2</f>
        <v>196780.32</v>
      </c>
      <c r="T630" s="4">
        <f>IF(ISBLANK(Q630),S630,+(Q630/R630)*[1]Population!$C$2)</f>
        <v>200579.94</v>
      </c>
      <c r="U630" s="1">
        <f>+AVERAGE(S630:T630)</f>
        <v>198680.13</v>
      </c>
      <c r="V630" s="5">
        <f>+(U630/[1]Population!$C$2)*100000</f>
        <v>59.61</v>
      </c>
      <c r="W630" s="23"/>
      <c r="X630" s="22" t="s">
        <v>1474</v>
      </c>
      <c r="Y630" s="40"/>
    </row>
    <row r="631" spans="1:25" ht="13.95" customHeight="1">
      <c r="A631" s="23" t="s">
        <v>146</v>
      </c>
      <c r="B631" s="23" t="s">
        <v>86</v>
      </c>
      <c r="C631" s="23" t="s">
        <v>86</v>
      </c>
      <c r="D631" s="23" t="str">
        <f t="shared" si="11"/>
        <v>Unconfirmed</v>
      </c>
      <c r="E631" s="32" t="s">
        <v>1481</v>
      </c>
      <c r="F631" s="23" t="s">
        <v>1481</v>
      </c>
      <c r="G631" s="69" t="s">
        <v>25</v>
      </c>
      <c r="H631" s="33">
        <v>402415001</v>
      </c>
      <c r="I631" s="23">
        <v>4297647</v>
      </c>
      <c r="J631" s="22" t="s">
        <v>1482</v>
      </c>
      <c r="K631" s="2" t="s">
        <v>1483</v>
      </c>
      <c r="L631" s="2" t="s">
        <v>1484</v>
      </c>
      <c r="M631" s="9" t="s">
        <v>78</v>
      </c>
      <c r="N631" s="22" t="s">
        <v>1486</v>
      </c>
      <c r="O631" s="23" t="s">
        <v>1485</v>
      </c>
      <c r="P631" s="23"/>
      <c r="Q631" s="23"/>
      <c r="R631" s="4">
        <v>0</v>
      </c>
      <c r="S631" s="4">
        <v>300</v>
      </c>
      <c r="T631" s="4">
        <v>300</v>
      </c>
      <c r="U631" s="1">
        <f>+AVERAGE(S631:T631)</f>
        <v>300</v>
      </c>
      <c r="V631" s="5">
        <f>+(U631/[1]Population!$C$2)*100000</f>
        <v>9.0009000900090008E-2</v>
      </c>
      <c r="W631" s="23"/>
      <c r="X631" s="22" t="s">
        <v>368</v>
      </c>
      <c r="Y631" s="41" t="s">
        <v>1487</v>
      </c>
    </row>
    <row r="632" spans="1:25" ht="13.95" customHeight="1">
      <c r="A632" s="23" t="s">
        <v>146</v>
      </c>
      <c r="B632" s="23" t="s">
        <v>86</v>
      </c>
      <c r="C632" s="23" t="s">
        <v>86</v>
      </c>
      <c r="D632" s="23" t="str">
        <f t="shared" si="11"/>
        <v>Unconfirmed</v>
      </c>
      <c r="E632" s="32" t="s">
        <v>1481</v>
      </c>
      <c r="F632" s="23" t="s">
        <v>1488</v>
      </c>
      <c r="G632" s="69" t="s">
        <v>36</v>
      </c>
      <c r="H632" s="33">
        <v>402415001</v>
      </c>
      <c r="I632" s="23"/>
      <c r="J632" s="23"/>
      <c r="K632" s="23"/>
      <c r="L632" s="23"/>
      <c r="M632" s="23"/>
      <c r="N632" s="22"/>
      <c r="O632" s="23"/>
      <c r="P632" s="23"/>
      <c r="Q632" s="23"/>
      <c r="R632" s="4"/>
      <c r="S632" s="23">
        <v>0</v>
      </c>
      <c r="T632" s="23">
        <v>0</v>
      </c>
      <c r="U632" s="23">
        <v>0</v>
      </c>
      <c r="V632" s="5">
        <v>0</v>
      </c>
      <c r="W632" s="39"/>
      <c r="X632" s="22"/>
      <c r="Y632" s="41"/>
    </row>
    <row r="633" spans="1:25" ht="13.95" customHeight="1">
      <c r="A633" s="23" t="s">
        <v>146</v>
      </c>
      <c r="B633" s="23" t="s">
        <v>86</v>
      </c>
      <c r="C633" s="23" t="s">
        <v>86</v>
      </c>
      <c r="D633" s="23" t="str">
        <f t="shared" si="11"/>
        <v>Unconfirmed</v>
      </c>
      <c r="E633" s="32" t="s">
        <v>1481</v>
      </c>
      <c r="F633" s="23" t="s">
        <v>1489</v>
      </c>
      <c r="G633" s="69" t="s">
        <v>36</v>
      </c>
      <c r="H633" s="33">
        <v>402415001</v>
      </c>
      <c r="I633" s="23"/>
      <c r="J633" s="23"/>
      <c r="K633" s="23"/>
      <c r="L633" s="23"/>
      <c r="M633" s="23"/>
      <c r="N633" s="22"/>
      <c r="O633" s="23"/>
      <c r="P633" s="23"/>
      <c r="Q633" s="23"/>
      <c r="R633" s="4"/>
      <c r="S633" s="23">
        <v>0</v>
      </c>
      <c r="T633" s="23">
        <v>0</v>
      </c>
      <c r="U633" s="23">
        <v>0</v>
      </c>
      <c r="V633" s="5">
        <v>0</v>
      </c>
      <c r="W633" s="39"/>
      <c r="X633" s="22"/>
      <c r="Y633" s="41"/>
    </row>
    <row r="634" spans="1:25" ht="13.95" customHeight="1">
      <c r="A634" s="23" t="s">
        <v>146</v>
      </c>
      <c r="B634" s="23" t="s">
        <v>86</v>
      </c>
      <c r="C634" s="23" t="s">
        <v>86</v>
      </c>
      <c r="D634" s="23" t="str">
        <f t="shared" si="11"/>
        <v>Unconfirmed</v>
      </c>
      <c r="E634" s="32" t="s">
        <v>1481</v>
      </c>
      <c r="F634" s="23" t="s">
        <v>1490</v>
      </c>
      <c r="G634" s="69" t="s">
        <v>36</v>
      </c>
      <c r="H634" s="33">
        <v>402415001</v>
      </c>
      <c r="I634" s="23"/>
      <c r="J634" s="23"/>
      <c r="K634" s="23"/>
      <c r="L634" s="23"/>
      <c r="M634" s="23"/>
      <c r="N634" s="22"/>
      <c r="O634" s="23"/>
      <c r="P634" s="23"/>
      <c r="Q634" s="23"/>
      <c r="R634" s="4"/>
      <c r="S634" s="23">
        <v>0</v>
      </c>
      <c r="T634" s="23">
        <v>0</v>
      </c>
      <c r="U634" s="23">
        <v>0</v>
      </c>
      <c r="V634" s="5">
        <v>0</v>
      </c>
      <c r="W634" s="39"/>
      <c r="X634" s="22"/>
      <c r="Y634" s="41"/>
    </row>
    <row r="635" spans="1:25" ht="13.95" customHeight="1">
      <c r="A635" s="23" t="s">
        <v>146</v>
      </c>
      <c r="B635" s="23" t="s">
        <v>86</v>
      </c>
      <c r="C635" s="23" t="s">
        <v>86</v>
      </c>
      <c r="D635" s="23" t="str">
        <f t="shared" si="11"/>
        <v>Unconfirmed</v>
      </c>
      <c r="E635" s="32" t="s">
        <v>1481</v>
      </c>
      <c r="F635" s="23" t="s">
        <v>1491</v>
      </c>
      <c r="G635" s="69" t="s">
        <v>36</v>
      </c>
      <c r="H635" s="33">
        <v>402415001</v>
      </c>
      <c r="I635" s="23"/>
      <c r="J635" s="23"/>
      <c r="K635" s="23"/>
      <c r="L635" s="23"/>
      <c r="M635" s="23"/>
      <c r="N635" s="22"/>
      <c r="O635" s="23"/>
      <c r="P635" s="23"/>
      <c r="Q635" s="23"/>
      <c r="R635" s="4"/>
      <c r="S635" s="23">
        <v>0</v>
      </c>
      <c r="T635" s="23">
        <v>0</v>
      </c>
      <c r="U635" s="23">
        <v>0</v>
      </c>
      <c r="V635" s="5">
        <v>0</v>
      </c>
      <c r="W635" s="39"/>
      <c r="X635" s="22"/>
      <c r="Y635" s="41"/>
    </row>
    <row r="636" spans="1:25" ht="13.95" customHeight="1">
      <c r="A636" s="23" t="s">
        <v>49</v>
      </c>
      <c r="B636" s="23" t="s">
        <v>86</v>
      </c>
      <c r="C636" s="23" t="s">
        <v>23</v>
      </c>
      <c r="D636" s="23" t="str">
        <f t="shared" si="11"/>
        <v>Unconfirmed</v>
      </c>
      <c r="E636" s="32" t="s">
        <v>1492</v>
      </c>
      <c r="F636" s="23" t="s">
        <v>1492</v>
      </c>
      <c r="G636" s="69" t="s">
        <v>25</v>
      </c>
      <c r="H636" s="33">
        <v>78370002</v>
      </c>
      <c r="I636" s="23">
        <v>434944</v>
      </c>
      <c r="J636" s="22" t="s">
        <v>1493</v>
      </c>
      <c r="K636" s="2" t="s">
        <v>682</v>
      </c>
      <c r="L636" s="2" t="s">
        <v>683</v>
      </c>
      <c r="M636" s="3" t="s">
        <v>78</v>
      </c>
      <c r="N636" s="22" t="s">
        <v>424</v>
      </c>
      <c r="O636" s="23"/>
      <c r="P636" s="23">
        <v>5.2</v>
      </c>
      <c r="Q636" s="23"/>
      <c r="R636" s="4">
        <v>100000</v>
      </c>
      <c r="S636" s="4">
        <f>+(P636/R636)*[1]Population!$C$2</f>
        <v>17331.600000000002</v>
      </c>
      <c r="T636" s="4">
        <f>IF(ISBLANK(Q636),S636,+(Q636/R636)*[1]Population!$C$2)</f>
        <v>17331.600000000002</v>
      </c>
      <c r="U636" s="1">
        <f>+AVERAGE(S636:T636)</f>
        <v>17331.600000000002</v>
      </c>
      <c r="V636" s="5">
        <f>+(U636/[1]Population!$C$2)*100000</f>
        <v>5.2</v>
      </c>
      <c r="W636" s="23"/>
      <c r="X636" s="22" t="s">
        <v>1494</v>
      </c>
      <c r="Y636" s="41"/>
    </row>
    <row r="637" spans="1:25" ht="13.95" customHeight="1">
      <c r="A637" s="23" t="s">
        <v>98</v>
      </c>
      <c r="B637" s="23" t="s">
        <v>22</v>
      </c>
      <c r="C637" s="23" t="s">
        <v>73</v>
      </c>
      <c r="D637" s="23" t="str">
        <f t="shared" si="11"/>
        <v>Autoimmune</v>
      </c>
      <c r="E637" s="32" t="s">
        <v>1495</v>
      </c>
      <c r="F637" s="23" t="s">
        <v>1495</v>
      </c>
      <c r="G637" s="69" t="s">
        <v>25</v>
      </c>
      <c r="H637" s="33">
        <v>83901003</v>
      </c>
      <c r="I637" s="23">
        <v>254443</v>
      </c>
      <c r="J637" s="22" t="s">
        <v>1496</v>
      </c>
      <c r="K637" s="2" t="s">
        <v>1497</v>
      </c>
      <c r="L637" s="2" t="s">
        <v>1498</v>
      </c>
      <c r="M637" s="9" t="s">
        <v>78</v>
      </c>
      <c r="N637" s="22" t="s">
        <v>1500</v>
      </c>
      <c r="O637" s="4"/>
      <c r="P637" s="23">
        <v>0.15</v>
      </c>
      <c r="Q637" s="23">
        <v>0.43</v>
      </c>
      <c r="R637" s="4">
        <v>100</v>
      </c>
      <c r="S637" s="4">
        <f>+(P637/R637)*[1]Population!$C$2</f>
        <v>499950</v>
      </c>
      <c r="T637" s="4">
        <f>IF(ISBLANK(Q637),S637,+(Q637/R637)*[1]Population!$C$2)</f>
        <v>1433190</v>
      </c>
      <c r="U637" s="1">
        <f>+AVERAGE(S637:T637)</f>
        <v>966570</v>
      </c>
      <c r="V637" s="5">
        <f>+(U637/[1]Population!$C$2)*100000</f>
        <v>290</v>
      </c>
      <c r="W637" s="23"/>
      <c r="X637" s="22" t="s">
        <v>1499</v>
      </c>
      <c r="Y637" s="40" t="s">
        <v>1501</v>
      </c>
    </row>
    <row r="638" spans="1:25" ht="13.95" customHeight="1">
      <c r="A638" s="23" t="s">
        <v>98</v>
      </c>
      <c r="B638" s="23" t="s">
        <v>22</v>
      </c>
      <c r="C638" s="23" t="s">
        <v>73</v>
      </c>
      <c r="D638" s="23" t="str">
        <f t="shared" si="11"/>
        <v>Autoimmune</v>
      </c>
      <c r="E638" s="32" t="s">
        <v>1495</v>
      </c>
      <c r="F638" s="23" t="s">
        <v>1502</v>
      </c>
      <c r="G638" s="69" t="s">
        <v>34</v>
      </c>
      <c r="H638" s="33">
        <v>83901003</v>
      </c>
      <c r="I638" s="23"/>
      <c r="J638" s="22" t="s">
        <v>1503</v>
      </c>
      <c r="K638" s="2" t="s">
        <v>1497</v>
      </c>
      <c r="L638" s="2" t="s">
        <v>1498</v>
      </c>
      <c r="M638" s="9" t="s">
        <v>78</v>
      </c>
      <c r="N638" s="22" t="s">
        <v>1500</v>
      </c>
      <c r="O638" s="4"/>
      <c r="P638" s="23">
        <v>0.15</v>
      </c>
      <c r="Q638" s="23">
        <v>0.43</v>
      </c>
      <c r="R638" s="4">
        <v>100</v>
      </c>
      <c r="S638" s="4">
        <f>+(P638/R638)*[1]Population!$C$2</f>
        <v>499950</v>
      </c>
      <c r="T638" s="4">
        <f>IF(ISBLANK(Q638),S638,+(Q638/R638)*[1]Population!$C$2)</f>
        <v>1433190</v>
      </c>
      <c r="U638" s="1">
        <f>+AVERAGE(S638:T638)</f>
        <v>966570</v>
      </c>
      <c r="V638" s="5">
        <f>+(U638/[1]Population!$C$2)*100000</f>
        <v>290</v>
      </c>
      <c r="W638" s="23"/>
      <c r="X638" s="22" t="s">
        <v>1499</v>
      </c>
      <c r="Y638" s="40" t="s">
        <v>1501</v>
      </c>
    </row>
    <row r="639" spans="1:25" ht="13.95" customHeight="1">
      <c r="A639" s="23" t="s">
        <v>98</v>
      </c>
      <c r="B639" s="23" t="s">
        <v>22</v>
      </c>
      <c r="C639" s="23" t="s">
        <v>73</v>
      </c>
      <c r="D639" s="23" t="str">
        <f t="shared" si="11"/>
        <v>Autoimmune</v>
      </c>
      <c r="E639" s="32" t="s">
        <v>1495</v>
      </c>
      <c r="F639" s="23" t="s">
        <v>1504</v>
      </c>
      <c r="G639" s="69" t="s">
        <v>427</v>
      </c>
      <c r="H639" s="33">
        <v>83901003</v>
      </c>
      <c r="I639" s="23">
        <v>254443</v>
      </c>
      <c r="J639" s="22"/>
      <c r="K639" s="2" t="s">
        <v>1497</v>
      </c>
      <c r="L639" s="2" t="s">
        <v>1498</v>
      </c>
      <c r="M639" s="9" t="s">
        <v>78</v>
      </c>
      <c r="N639" s="22" t="s">
        <v>1500</v>
      </c>
      <c r="O639" s="4"/>
      <c r="P639" s="23">
        <v>0.15</v>
      </c>
      <c r="Q639" s="23">
        <v>0.43</v>
      </c>
      <c r="R639" s="4">
        <v>100</v>
      </c>
      <c r="S639" s="4">
        <f>+(P639/R639)*[1]Population!$C$2</f>
        <v>499950</v>
      </c>
      <c r="T639" s="4">
        <f>IF(ISBLANK(Q639),S639,+(Q639/R639)*[1]Population!$C$2)</f>
        <v>1433190</v>
      </c>
      <c r="U639" s="1">
        <f>+AVERAGE(S639:T639)</f>
        <v>966570</v>
      </c>
      <c r="V639" s="5">
        <f>+(U639/[1]Population!$C$2)*100000</f>
        <v>290</v>
      </c>
      <c r="W639" s="23"/>
      <c r="X639" s="22" t="s">
        <v>1499</v>
      </c>
      <c r="Y639" s="40" t="s">
        <v>1501</v>
      </c>
    </row>
    <row r="640" spans="1:25" ht="13.95" customHeight="1">
      <c r="A640" s="23" t="s">
        <v>98</v>
      </c>
      <c r="B640" s="23" t="s">
        <v>22</v>
      </c>
      <c r="C640" s="23" t="s">
        <v>73</v>
      </c>
      <c r="D640" s="23" t="str">
        <f t="shared" si="11"/>
        <v>Autoimmune</v>
      </c>
      <c r="E640" s="32" t="s">
        <v>1495</v>
      </c>
      <c r="F640" s="23" t="s">
        <v>1505</v>
      </c>
      <c r="G640" s="69" t="s">
        <v>36</v>
      </c>
      <c r="H640" s="33">
        <v>83901003</v>
      </c>
      <c r="I640" s="23"/>
      <c r="J640" s="23"/>
      <c r="K640" s="23"/>
      <c r="L640" s="23"/>
      <c r="M640" s="23"/>
      <c r="N640" s="22"/>
      <c r="O640" s="23"/>
      <c r="P640" s="23"/>
      <c r="Q640" s="23"/>
      <c r="R640" s="4"/>
      <c r="S640" s="23">
        <v>0</v>
      </c>
      <c r="T640" s="23">
        <v>0</v>
      </c>
      <c r="U640" s="23">
        <v>0</v>
      </c>
      <c r="V640" s="5">
        <v>0</v>
      </c>
      <c r="W640" s="39"/>
      <c r="X640" s="22"/>
      <c r="Y640" s="41"/>
    </row>
    <row r="641" spans="1:25" ht="13.95" customHeight="1">
      <c r="A641" s="23" t="s">
        <v>98</v>
      </c>
      <c r="B641" s="23" t="s">
        <v>22</v>
      </c>
      <c r="C641" s="23" t="s">
        <v>73</v>
      </c>
      <c r="D641" s="23" t="str">
        <f t="shared" si="11"/>
        <v>Autoimmune</v>
      </c>
      <c r="E641" s="32" t="s">
        <v>1495</v>
      </c>
      <c r="F641" s="23" t="s">
        <v>1506</v>
      </c>
      <c r="G641" s="69" t="s">
        <v>36</v>
      </c>
      <c r="H641" s="33">
        <v>83901003</v>
      </c>
      <c r="I641" s="23">
        <v>254443</v>
      </c>
      <c r="J641" s="24" t="s">
        <v>1507</v>
      </c>
      <c r="K641" s="2" t="s">
        <v>1497</v>
      </c>
      <c r="L641" s="2" t="s">
        <v>1498</v>
      </c>
      <c r="M641" s="9" t="s">
        <v>78</v>
      </c>
      <c r="N641" s="22" t="s">
        <v>1500</v>
      </c>
      <c r="O641" s="4"/>
      <c r="P641" s="23">
        <v>0.15</v>
      </c>
      <c r="Q641" s="23">
        <v>0.43</v>
      </c>
      <c r="R641" s="4">
        <v>100</v>
      </c>
      <c r="S641" s="4">
        <f>+(P641/R641)*[1]Population!$C$2</f>
        <v>499950</v>
      </c>
      <c r="T641" s="4">
        <f>IF(ISBLANK(Q641),S641,+(Q641/R641)*[1]Population!$C$2)</f>
        <v>1433190</v>
      </c>
      <c r="U641" s="1">
        <f t="shared" ref="U641:U647" si="12">+AVERAGE(S641:T641)</f>
        <v>966570</v>
      </c>
      <c r="V641" s="5">
        <f>+(U641/[1]Population!$C$2)*100000</f>
        <v>290</v>
      </c>
      <c r="W641" s="23"/>
      <c r="X641" s="22" t="s">
        <v>1499</v>
      </c>
      <c r="Y641" s="40" t="s">
        <v>1501</v>
      </c>
    </row>
    <row r="642" spans="1:25" ht="13.95" customHeight="1">
      <c r="A642" s="23" t="s">
        <v>98</v>
      </c>
      <c r="B642" s="23" t="s">
        <v>22</v>
      </c>
      <c r="C642" s="23" t="s">
        <v>73</v>
      </c>
      <c r="D642" s="23" t="str">
        <f t="shared" si="11"/>
        <v>Autoimmune</v>
      </c>
      <c r="E642" s="32" t="s">
        <v>1495</v>
      </c>
      <c r="F642" s="23" t="s">
        <v>1508</v>
      </c>
      <c r="G642" s="69" t="s">
        <v>36</v>
      </c>
      <c r="H642" s="33">
        <v>83901003</v>
      </c>
      <c r="I642" s="23">
        <v>254443</v>
      </c>
      <c r="J642" s="22"/>
      <c r="K642" s="2" t="s">
        <v>1497</v>
      </c>
      <c r="L642" s="2" t="s">
        <v>1498</v>
      </c>
      <c r="M642" s="9" t="s">
        <v>78</v>
      </c>
      <c r="N642" s="22" t="s">
        <v>1500</v>
      </c>
      <c r="O642" s="4"/>
      <c r="P642" s="23">
        <v>0.15</v>
      </c>
      <c r="Q642" s="23">
        <v>0.43</v>
      </c>
      <c r="R642" s="4">
        <v>100</v>
      </c>
      <c r="S642" s="4">
        <f>+(P642/R642)*[1]Population!$C$2</f>
        <v>499950</v>
      </c>
      <c r="T642" s="4">
        <f>IF(ISBLANK(Q642),S642,+(Q642/R642)*[1]Population!$C$2)</f>
        <v>1433190</v>
      </c>
      <c r="U642" s="1">
        <f t="shared" si="12"/>
        <v>966570</v>
      </c>
      <c r="V642" s="5">
        <f>+(U642/[1]Population!$C$2)*100000</f>
        <v>290</v>
      </c>
      <c r="W642" s="23"/>
      <c r="X642" s="22" t="s">
        <v>1499</v>
      </c>
      <c r="Y642" s="40" t="s">
        <v>1501</v>
      </c>
    </row>
    <row r="643" spans="1:25" ht="13.95" customHeight="1">
      <c r="A643" s="23" t="s">
        <v>98</v>
      </c>
      <c r="B643" s="23" t="s">
        <v>22</v>
      </c>
      <c r="C643" s="23" t="s">
        <v>73</v>
      </c>
      <c r="D643" s="23" t="str">
        <f t="shared" si="11"/>
        <v>Autoimmune</v>
      </c>
      <c r="E643" s="32" t="s">
        <v>1495</v>
      </c>
      <c r="F643" s="23" t="s">
        <v>1509</v>
      </c>
      <c r="G643" s="69" t="s">
        <v>36</v>
      </c>
      <c r="H643" s="33">
        <v>83901003</v>
      </c>
      <c r="I643" s="23">
        <v>254443</v>
      </c>
      <c r="J643" s="22"/>
      <c r="K643" s="2" t="s">
        <v>1497</v>
      </c>
      <c r="L643" s="2" t="s">
        <v>1498</v>
      </c>
      <c r="M643" s="9" t="s">
        <v>78</v>
      </c>
      <c r="N643" s="22" t="s">
        <v>1500</v>
      </c>
      <c r="O643" s="4"/>
      <c r="P643" s="23">
        <v>0.15</v>
      </c>
      <c r="Q643" s="23">
        <v>0.43</v>
      </c>
      <c r="R643" s="4">
        <v>100</v>
      </c>
      <c r="S643" s="4">
        <f>+(P643/R643)*[1]Population!$C$2</f>
        <v>499950</v>
      </c>
      <c r="T643" s="4">
        <f>IF(ISBLANK(Q643),S643,+(Q643/R643)*[1]Population!$C$2)</f>
        <v>1433190</v>
      </c>
      <c r="U643" s="1">
        <f t="shared" si="12"/>
        <v>966570</v>
      </c>
      <c r="V643" s="5">
        <f>+(U643/[1]Population!$C$2)*100000</f>
        <v>290</v>
      </c>
      <c r="W643" s="23"/>
      <c r="X643" s="22" t="s">
        <v>1499</v>
      </c>
      <c r="Y643" s="40" t="s">
        <v>1501</v>
      </c>
    </row>
    <row r="644" spans="1:25" ht="13.95" customHeight="1">
      <c r="A644" s="23" t="s">
        <v>156</v>
      </c>
      <c r="B644" s="23" t="s">
        <v>22</v>
      </c>
      <c r="C644" s="23" t="s">
        <v>73</v>
      </c>
      <c r="D644" s="23" t="str">
        <f t="shared" si="11"/>
        <v>Autoimmune</v>
      </c>
      <c r="E644" s="32" t="s">
        <v>1510</v>
      </c>
      <c r="F644" s="23" t="s">
        <v>1510</v>
      </c>
      <c r="G644" s="69" t="s">
        <v>25</v>
      </c>
      <c r="H644" s="33">
        <v>68815009</v>
      </c>
      <c r="I644" s="23">
        <v>4285717</v>
      </c>
      <c r="J644" s="22" t="s">
        <v>1511</v>
      </c>
      <c r="K644" s="2" t="s">
        <v>1512</v>
      </c>
      <c r="L644" s="2" t="s">
        <v>1513</v>
      </c>
      <c r="M644" s="9" t="s">
        <v>78</v>
      </c>
      <c r="N644" s="22" t="s">
        <v>1514</v>
      </c>
      <c r="O644" s="4" t="s">
        <v>973</v>
      </c>
      <c r="P644" s="23">
        <f>72.1*0.29</f>
        <v>20.908999999999995</v>
      </c>
      <c r="Q644" s="23">
        <f>74.4*0.29</f>
        <v>21.576000000000001</v>
      </c>
      <c r="R644" s="4">
        <v>100000</v>
      </c>
      <c r="S644" s="4">
        <f>+(P644/R644)*[1]Population!$C$2</f>
        <v>69689.696999999986</v>
      </c>
      <c r="T644" s="17">
        <f>+(Q644/R644)*[1]Population!$C$2</f>
        <v>71912.808000000005</v>
      </c>
      <c r="U644" s="1">
        <f t="shared" si="12"/>
        <v>70801.252500000002</v>
      </c>
      <c r="V644" s="5">
        <f>+(U644/[1]Population!$C$2)*100000</f>
        <v>21.2425</v>
      </c>
      <c r="W644" s="23"/>
      <c r="X644" s="22" t="s">
        <v>974</v>
      </c>
      <c r="Y644" s="40"/>
    </row>
    <row r="645" spans="1:25" ht="13.95" customHeight="1">
      <c r="A645" s="23" t="s">
        <v>156</v>
      </c>
      <c r="B645" s="23" t="s">
        <v>22</v>
      </c>
      <c r="C645" s="23" t="s">
        <v>73</v>
      </c>
      <c r="D645" s="23" t="str">
        <f t="shared" si="11"/>
        <v>Autoimmune</v>
      </c>
      <c r="E645" s="32" t="s">
        <v>1510</v>
      </c>
      <c r="F645" s="23" t="s">
        <v>1515</v>
      </c>
      <c r="G645" s="69" t="s">
        <v>36</v>
      </c>
      <c r="H645" s="33">
        <v>68815009</v>
      </c>
      <c r="I645" s="23">
        <v>4285717</v>
      </c>
      <c r="J645" s="22"/>
      <c r="K645" s="2" t="s">
        <v>1512</v>
      </c>
      <c r="L645" s="2" t="s">
        <v>1513</v>
      </c>
      <c r="M645" s="9" t="s">
        <v>78</v>
      </c>
      <c r="N645" s="22" t="s">
        <v>1514</v>
      </c>
      <c r="O645" s="4" t="s">
        <v>973</v>
      </c>
      <c r="P645" s="23">
        <f>72.1*0.29</f>
        <v>20.908999999999995</v>
      </c>
      <c r="Q645" s="23">
        <f>74.4*0.29</f>
        <v>21.576000000000001</v>
      </c>
      <c r="R645" s="4">
        <v>100000</v>
      </c>
      <c r="S645" s="4">
        <f>+(P645/R645)*[1]Population!$C$2</f>
        <v>69689.696999999986</v>
      </c>
      <c r="T645" s="17">
        <f>+(Q645/R645)*[1]Population!$C$2</f>
        <v>71912.808000000005</v>
      </c>
      <c r="U645" s="1">
        <f t="shared" si="12"/>
        <v>70801.252500000002</v>
      </c>
      <c r="V645" s="5">
        <f>+(U645/[1]Population!$C$2)*100000</f>
        <v>21.2425</v>
      </c>
      <c r="W645" s="23"/>
      <c r="X645" s="22" t="s">
        <v>974</v>
      </c>
      <c r="Y645" s="40"/>
    </row>
    <row r="646" spans="1:25" ht="13.95" customHeight="1">
      <c r="A646" s="23" t="s">
        <v>49</v>
      </c>
      <c r="B646" s="23" t="s">
        <v>22</v>
      </c>
      <c r="C646" s="23" t="s">
        <v>23</v>
      </c>
      <c r="D646" s="23" t="str">
        <f t="shared" ref="D646:D709" si="13">+IF(OR(B646="Antibody Suspected",B646="Antibody",B646="TCELL", B646="Immune-mediated",B646="Genetic"),"Autoimmune","Unconfirmed")</f>
        <v>Autoimmune</v>
      </c>
      <c r="E646" s="32" t="s">
        <v>1516</v>
      </c>
      <c r="F646" s="23" t="s">
        <v>1516</v>
      </c>
      <c r="G646" s="69" t="s">
        <v>25</v>
      </c>
      <c r="H646" s="33">
        <v>771271000</v>
      </c>
      <c r="I646" s="23">
        <v>36674282</v>
      </c>
      <c r="J646" s="22" t="s">
        <v>1517</v>
      </c>
      <c r="K646" s="2" t="s">
        <v>1518</v>
      </c>
      <c r="L646" s="2" t="s">
        <v>1519</v>
      </c>
      <c r="M646" s="3" t="s">
        <v>78</v>
      </c>
      <c r="N646" s="22" t="s">
        <v>1522</v>
      </c>
      <c r="O646" s="2" t="s">
        <v>1520</v>
      </c>
      <c r="P646" s="64">
        <v>2.1</v>
      </c>
      <c r="Q646" s="23"/>
      <c r="R646" s="4">
        <v>100000</v>
      </c>
      <c r="S646" s="4">
        <f>+(P646/R646)*[1]Population!$C$2</f>
        <v>6999.3000000000011</v>
      </c>
      <c r="T646" s="4">
        <f>IF(ISBLANK(Q646),S646,+(Q646/R646)*[1]Population!$C$2)</f>
        <v>6999.3000000000011</v>
      </c>
      <c r="U646" s="1">
        <f t="shared" si="12"/>
        <v>6999.3000000000011</v>
      </c>
      <c r="V646" s="5">
        <f>+(U646/[1]Population!$C$2)*100000</f>
        <v>2.1</v>
      </c>
      <c r="W646" s="23"/>
      <c r="X646" s="22" t="s">
        <v>1521</v>
      </c>
      <c r="Y646" s="40" t="s">
        <v>1523</v>
      </c>
    </row>
    <row r="647" spans="1:25" ht="13.95" customHeight="1">
      <c r="A647" s="23" t="s">
        <v>49</v>
      </c>
      <c r="B647" s="23" t="s">
        <v>22</v>
      </c>
      <c r="C647" s="23" t="s">
        <v>23</v>
      </c>
      <c r="D647" s="23" t="str">
        <f t="shared" si="13"/>
        <v>Autoimmune</v>
      </c>
      <c r="E647" s="32" t="s">
        <v>1516</v>
      </c>
      <c r="F647" s="23" t="s">
        <v>1524</v>
      </c>
      <c r="G647" s="69" t="s">
        <v>36</v>
      </c>
      <c r="H647" s="33">
        <v>771271000</v>
      </c>
      <c r="I647" s="23">
        <v>36674282</v>
      </c>
      <c r="J647" s="22"/>
      <c r="K647" s="2" t="s">
        <v>1518</v>
      </c>
      <c r="L647" s="2" t="s">
        <v>1519</v>
      </c>
      <c r="M647" s="3" t="s">
        <v>78</v>
      </c>
      <c r="N647" s="22" t="s">
        <v>1522</v>
      </c>
      <c r="O647" s="2" t="s">
        <v>1520</v>
      </c>
      <c r="P647" s="64">
        <v>2.1</v>
      </c>
      <c r="Q647" s="23"/>
      <c r="R647" s="4">
        <v>100000</v>
      </c>
      <c r="S647" s="4">
        <f>+(P647/R647)*[1]Population!$C$2</f>
        <v>6999.3000000000011</v>
      </c>
      <c r="T647" s="4">
        <f>IF(ISBLANK(Q647),S647,+(Q647/R647)*[1]Population!$C$2)</f>
        <v>6999.3000000000011</v>
      </c>
      <c r="U647" s="1">
        <f t="shared" si="12"/>
        <v>6999.3000000000011</v>
      </c>
      <c r="V647" s="5">
        <f>+(U647/[1]Population!$C$2)*100000</f>
        <v>2.1</v>
      </c>
      <c r="W647" s="23"/>
      <c r="X647" s="22" t="s">
        <v>1521</v>
      </c>
      <c r="Y647" s="40" t="s">
        <v>1523</v>
      </c>
    </row>
    <row r="648" spans="1:25" ht="13.95" customHeight="1">
      <c r="A648" s="23" t="s">
        <v>49</v>
      </c>
      <c r="B648" s="23" t="s">
        <v>22</v>
      </c>
      <c r="C648" s="23" t="s">
        <v>23</v>
      </c>
      <c r="D648" s="23" t="str">
        <f t="shared" si="13"/>
        <v>Autoimmune</v>
      </c>
      <c r="E648" s="32" t="s">
        <v>1516</v>
      </c>
      <c r="F648" s="23" t="s">
        <v>1525</v>
      </c>
      <c r="G648" s="69" t="s">
        <v>36</v>
      </c>
      <c r="H648" s="33">
        <v>771271000</v>
      </c>
      <c r="I648" s="23"/>
      <c r="J648" s="23"/>
      <c r="K648" s="23"/>
      <c r="L648" s="23"/>
      <c r="M648" s="23"/>
      <c r="N648" s="22"/>
      <c r="O648" s="23"/>
      <c r="P648" s="23"/>
      <c r="Q648" s="23"/>
      <c r="R648" s="4"/>
      <c r="S648" s="23">
        <v>0</v>
      </c>
      <c r="T648" s="23">
        <v>0</v>
      </c>
      <c r="U648" s="23">
        <v>0</v>
      </c>
      <c r="V648" s="5">
        <v>0</v>
      </c>
      <c r="W648" s="39"/>
      <c r="X648" s="22"/>
      <c r="Y648" s="41"/>
    </row>
    <row r="649" spans="1:25" ht="13.95" customHeight="1">
      <c r="A649" s="23" t="s">
        <v>49</v>
      </c>
      <c r="B649" s="23" t="s">
        <v>22</v>
      </c>
      <c r="C649" s="23" t="s">
        <v>23</v>
      </c>
      <c r="D649" s="23" t="str">
        <f t="shared" si="13"/>
        <v>Autoimmune</v>
      </c>
      <c r="E649" s="32" t="s">
        <v>1516</v>
      </c>
      <c r="F649" s="23" t="s">
        <v>1526</v>
      </c>
      <c r="G649" s="69" t="s">
        <v>36</v>
      </c>
      <c r="H649" s="33">
        <v>771271000</v>
      </c>
      <c r="I649" s="23">
        <v>36674282</v>
      </c>
      <c r="J649" s="22"/>
      <c r="K649" s="2" t="s">
        <v>1518</v>
      </c>
      <c r="L649" s="2" t="s">
        <v>1519</v>
      </c>
      <c r="M649" s="3" t="s">
        <v>78</v>
      </c>
      <c r="N649" s="22" t="s">
        <v>1522</v>
      </c>
      <c r="O649" s="2" t="s">
        <v>1520</v>
      </c>
      <c r="P649" s="64">
        <v>2.1</v>
      </c>
      <c r="Q649" s="23"/>
      <c r="R649" s="4">
        <v>100000</v>
      </c>
      <c r="S649" s="4">
        <f>+(P649/R649)*[1]Population!$C$2</f>
        <v>6999.3000000000011</v>
      </c>
      <c r="T649" s="4">
        <f>IF(ISBLANK(Q649),S649,+(Q649/R649)*[1]Population!$C$2)</f>
        <v>6999.3000000000011</v>
      </c>
      <c r="U649" s="1">
        <f>+AVERAGE(S649:T649)</f>
        <v>6999.3000000000011</v>
      </c>
      <c r="V649" s="5">
        <f>+(U649/[1]Population!$C$2)*100000</f>
        <v>2.1</v>
      </c>
      <c r="W649" s="23"/>
      <c r="X649" s="22" t="s">
        <v>1521</v>
      </c>
      <c r="Y649" s="40" t="s">
        <v>1523</v>
      </c>
    </row>
    <row r="650" spans="1:25" ht="13.95" customHeight="1">
      <c r="A650" s="23" t="s">
        <v>49</v>
      </c>
      <c r="B650" s="23" t="s">
        <v>22</v>
      </c>
      <c r="C650" s="23" t="s">
        <v>23</v>
      </c>
      <c r="D650" s="23" t="str">
        <f t="shared" si="13"/>
        <v>Autoimmune</v>
      </c>
      <c r="E650" s="32" t="s">
        <v>1516</v>
      </c>
      <c r="F650" s="23" t="s">
        <v>1527</v>
      </c>
      <c r="G650" s="69" t="s">
        <v>36</v>
      </c>
      <c r="H650" s="33">
        <v>771271000</v>
      </c>
      <c r="I650" s="23"/>
      <c r="J650" s="23"/>
      <c r="K650" s="23"/>
      <c r="L650" s="23"/>
      <c r="M650" s="23"/>
      <c r="N650" s="22"/>
      <c r="O650" s="23"/>
      <c r="P650" s="23"/>
      <c r="Q650" s="23"/>
      <c r="R650" s="4"/>
      <c r="S650" s="23">
        <v>0</v>
      </c>
      <c r="T650" s="23">
        <v>0</v>
      </c>
      <c r="U650" s="23">
        <v>0</v>
      </c>
      <c r="V650" s="5">
        <v>0</v>
      </c>
      <c r="W650" s="39"/>
      <c r="X650" s="22"/>
      <c r="Y650" s="41"/>
    </row>
    <row r="651" spans="1:25" ht="13.95" customHeight="1">
      <c r="A651" s="23" t="s">
        <v>146</v>
      </c>
      <c r="B651" s="23" t="s">
        <v>22</v>
      </c>
      <c r="C651" s="23" t="s">
        <v>23</v>
      </c>
      <c r="D651" s="23" t="str">
        <f t="shared" si="13"/>
        <v>Autoimmune</v>
      </c>
      <c r="E651" s="32" t="s">
        <v>1528</v>
      </c>
      <c r="F651" s="23" t="s">
        <v>1528</v>
      </c>
      <c r="G651" s="69" t="s">
        <v>25</v>
      </c>
      <c r="H651" s="33">
        <v>5217008</v>
      </c>
      <c r="I651" s="23">
        <v>379008</v>
      </c>
      <c r="J651" s="22" t="s">
        <v>1529</v>
      </c>
      <c r="K651" s="2" t="s">
        <v>1530</v>
      </c>
      <c r="L651" s="2" t="s">
        <v>1531</v>
      </c>
      <c r="M651" s="9" t="s">
        <v>78</v>
      </c>
      <c r="N651" s="22" t="s">
        <v>1534</v>
      </c>
      <c r="O651" s="23" t="s">
        <v>1532</v>
      </c>
      <c r="P651" s="23">
        <v>0.1</v>
      </c>
      <c r="Q651" s="23"/>
      <c r="R651" s="4">
        <v>100000</v>
      </c>
      <c r="S651" s="4">
        <f>+(P651/R651)*[1]Population!$C$2</f>
        <v>333.3</v>
      </c>
      <c r="T651" s="4">
        <f>IF(ISBLANK(Q651),S651,+(Q651/R651)*[1]Population!$C$2)</f>
        <v>333.3</v>
      </c>
      <c r="U651" s="1">
        <f>+AVERAGE(S651:T651)</f>
        <v>333.3</v>
      </c>
      <c r="V651" s="5">
        <f>+(U651/[1]Population!$C$2)*100000</f>
        <v>9.9999999999999992E-2</v>
      </c>
      <c r="W651" s="23"/>
      <c r="X651" s="22" t="s">
        <v>1533</v>
      </c>
      <c r="Y651" s="41"/>
    </row>
    <row r="652" spans="1:25" ht="13.95" customHeight="1">
      <c r="A652" s="23" t="s">
        <v>146</v>
      </c>
      <c r="B652" s="23" t="s">
        <v>22</v>
      </c>
      <c r="C652" s="23" t="s">
        <v>23</v>
      </c>
      <c r="D652" s="23" t="str">
        <f t="shared" si="13"/>
        <v>Autoimmune</v>
      </c>
      <c r="E652" s="32" t="s">
        <v>1528</v>
      </c>
      <c r="F652" s="23" t="s">
        <v>1535</v>
      </c>
      <c r="G652" s="69" t="s">
        <v>36</v>
      </c>
      <c r="H652" s="33">
        <v>5217008</v>
      </c>
      <c r="I652" s="23"/>
      <c r="J652" s="23"/>
      <c r="K652" s="23"/>
      <c r="L652" s="23"/>
      <c r="M652" s="23"/>
      <c r="N652" s="22"/>
      <c r="O652" s="23"/>
      <c r="P652" s="23"/>
      <c r="Q652" s="23"/>
      <c r="R652" s="4"/>
      <c r="S652" s="23">
        <v>0</v>
      </c>
      <c r="T652" s="23">
        <v>0</v>
      </c>
      <c r="U652" s="23">
        <v>0</v>
      </c>
      <c r="V652" s="5">
        <v>0</v>
      </c>
      <c r="W652" s="39"/>
      <c r="X652" s="22"/>
      <c r="Y652" s="41"/>
    </row>
    <row r="653" spans="1:25" ht="13.95" customHeight="1">
      <c r="A653" s="23" t="s">
        <v>146</v>
      </c>
      <c r="B653" s="23" t="s">
        <v>22</v>
      </c>
      <c r="C653" s="23" t="s">
        <v>23</v>
      </c>
      <c r="D653" s="23" t="str">
        <f t="shared" si="13"/>
        <v>Autoimmune</v>
      </c>
      <c r="E653" s="32" t="s">
        <v>1528</v>
      </c>
      <c r="F653" s="23" t="s">
        <v>1536</v>
      </c>
      <c r="G653" s="69" t="s">
        <v>36</v>
      </c>
      <c r="H653" s="33">
        <v>5217008</v>
      </c>
      <c r="I653" s="23">
        <v>379008</v>
      </c>
      <c r="J653" s="22" t="s">
        <v>1529</v>
      </c>
      <c r="K653" s="2" t="s">
        <v>1530</v>
      </c>
      <c r="L653" s="2" t="s">
        <v>1531</v>
      </c>
      <c r="M653" s="9" t="s">
        <v>78</v>
      </c>
      <c r="N653" s="22" t="s">
        <v>1534</v>
      </c>
      <c r="O653" s="23" t="s">
        <v>1532</v>
      </c>
      <c r="P653" s="23">
        <v>0.1</v>
      </c>
      <c r="Q653" s="23"/>
      <c r="R653" s="4">
        <v>100000</v>
      </c>
      <c r="S653" s="4">
        <f>+(P653/R653)*[1]Population!$C$2</f>
        <v>333.3</v>
      </c>
      <c r="T653" s="4">
        <f>IF(ISBLANK(Q653),S653,+(Q653/R653)*[1]Population!$C$2)</f>
        <v>333.3</v>
      </c>
      <c r="U653" s="1">
        <f>+AVERAGE(S653:T653)</f>
        <v>333.3</v>
      </c>
      <c r="V653" s="5">
        <f>+(U653/[1]Population!$C$2)*100000</f>
        <v>9.9999999999999992E-2</v>
      </c>
      <c r="W653" s="23"/>
      <c r="X653" s="22" t="s">
        <v>1533</v>
      </c>
      <c r="Y653" s="41"/>
    </row>
    <row r="654" spans="1:25" ht="13.95" customHeight="1">
      <c r="A654" s="23" t="s">
        <v>146</v>
      </c>
      <c r="B654" s="23" t="s">
        <v>22</v>
      </c>
      <c r="C654" s="23" t="s">
        <v>23</v>
      </c>
      <c r="D654" s="23" t="str">
        <f t="shared" si="13"/>
        <v>Autoimmune</v>
      </c>
      <c r="E654" s="32" t="s">
        <v>1528</v>
      </c>
      <c r="F654" s="23" t="s">
        <v>1537</v>
      </c>
      <c r="G654" s="69" t="s">
        <v>36</v>
      </c>
      <c r="H654" s="33">
        <v>5217008</v>
      </c>
      <c r="I654" s="23">
        <v>379008</v>
      </c>
      <c r="J654" s="22" t="s">
        <v>1529</v>
      </c>
      <c r="K654" s="2" t="s">
        <v>1530</v>
      </c>
      <c r="L654" s="2" t="s">
        <v>1531</v>
      </c>
      <c r="M654" s="9" t="s">
        <v>78</v>
      </c>
      <c r="N654" s="22" t="s">
        <v>1534</v>
      </c>
      <c r="O654" s="23" t="s">
        <v>1532</v>
      </c>
      <c r="P654" s="23">
        <v>0.1</v>
      </c>
      <c r="Q654" s="23"/>
      <c r="R654" s="4">
        <v>100000</v>
      </c>
      <c r="S654" s="4">
        <f>+(P654/R654)*[1]Population!$C$2</f>
        <v>333.3</v>
      </c>
      <c r="T654" s="4">
        <f>IF(ISBLANK(Q654),S654,+(Q654/R654)*[1]Population!$C$2)</f>
        <v>333.3</v>
      </c>
      <c r="U654" s="1">
        <f>+AVERAGE(S654:T654)</f>
        <v>333.3</v>
      </c>
      <c r="V654" s="5">
        <f>+(U654/[1]Population!$C$2)*100000</f>
        <v>9.9999999999999992E-2</v>
      </c>
      <c r="W654" s="23"/>
      <c r="X654" s="22" t="s">
        <v>1533</v>
      </c>
      <c r="Y654" s="41"/>
    </row>
    <row r="655" spans="1:25" ht="13.95" customHeight="1">
      <c r="A655" s="23" t="s">
        <v>1057</v>
      </c>
      <c r="B655" s="23" t="s">
        <v>86</v>
      </c>
      <c r="C655" s="23" t="s">
        <v>86</v>
      </c>
      <c r="D655" s="23" t="str">
        <f t="shared" si="13"/>
        <v>Unconfirmed</v>
      </c>
      <c r="E655" s="32" t="s">
        <v>1538</v>
      </c>
      <c r="F655" s="39" t="s">
        <v>1538</v>
      </c>
      <c r="G655" s="69" t="s">
        <v>25</v>
      </c>
      <c r="H655" s="33">
        <v>73774007</v>
      </c>
      <c r="I655" s="65">
        <v>4249899</v>
      </c>
      <c r="J655" s="22" t="s">
        <v>1539</v>
      </c>
      <c r="K655" s="2" t="s">
        <v>1540</v>
      </c>
      <c r="L655" s="2" t="s">
        <v>1541</v>
      </c>
      <c r="M655" s="9" t="s">
        <v>29</v>
      </c>
      <c r="N655" s="22" t="s">
        <v>1543</v>
      </c>
      <c r="O655" s="1" t="s">
        <v>43</v>
      </c>
      <c r="P655" s="23">
        <v>3</v>
      </c>
      <c r="Q655" s="23">
        <v>10</v>
      </c>
      <c r="R655" s="4">
        <v>100000</v>
      </c>
      <c r="S655" s="4">
        <f>+(P655/R655)*[1]Population!$C$2</f>
        <v>9999</v>
      </c>
      <c r="T655" s="4">
        <f>IF(ISBLANK(Q655),S655,+(Q655/R655)*[1]Population!$C$2)</f>
        <v>33330</v>
      </c>
      <c r="U655" s="1">
        <f>+AVERAGE(S655:T655)</f>
        <v>21664.5</v>
      </c>
      <c r="V655" s="5">
        <f>+(U655/[1]Population!$C$2)*100000</f>
        <v>6.4999999999999991</v>
      </c>
      <c r="W655" s="23"/>
      <c r="X655" s="22" t="s">
        <v>1542</v>
      </c>
      <c r="Y655" s="40"/>
    </row>
    <row r="656" spans="1:25" ht="13.95" customHeight="1">
      <c r="A656" s="23" t="s">
        <v>1057</v>
      </c>
      <c r="B656" s="23" t="s">
        <v>86</v>
      </c>
      <c r="C656" s="23" t="s">
        <v>86</v>
      </c>
      <c r="D656" s="23" t="str">
        <f t="shared" si="13"/>
        <v>Unconfirmed</v>
      </c>
      <c r="E656" s="32" t="s">
        <v>1538</v>
      </c>
      <c r="F656" s="23" t="s">
        <v>1544</v>
      </c>
      <c r="G656" s="69" t="s">
        <v>36</v>
      </c>
      <c r="H656" s="33">
        <v>73774007</v>
      </c>
      <c r="I656" s="23"/>
      <c r="J656" s="23"/>
      <c r="K656" s="23"/>
      <c r="L656" s="23"/>
      <c r="M656" s="23"/>
      <c r="N656" s="22"/>
      <c r="O656" s="23"/>
      <c r="P656" s="23"/>
      <c r="Q656" s="23"/>
      <c r="R656" s="4"/>
      <c r="S656" s="23">
        <v>0</v>
      </c>
      <c r="T656" s="23">
        <v>0</v>
      </c>
      <c r="U656" s="23">
        <v>0</v>
      </c>
      <c r="V656" s="5">
        <v>0</v>
      </c>
      <c r="W656" s="39"/>
      <c r="X656" s="22"/>
      <c r="Y656" s="41"/>
    </row>
    <row r="657" spans="1:25" ht="13.95" customHeight="1">
      <c r="A657" s="23" t="s">
        <v>1057</v>
      </c>
      <c r="B657" s="23" t="s">
        <v>86</v>
      </c>
      <c r="C657" s="23" t="s">
        <v>86</v>
      </c>
      <c r="D657" s="23" t="str">
        <f t="shared" si="13"/>
        <v>Unconfirmed</v>
      </c>
      <c r="E657" s="32" t="s">
        <v>1538</v>
      </c>
      <c r="F657" s="23" t="s">
        <v>1545</v>
      </c>
      <c r="G657" s="69" t="s">
        <v>36</v>
      </c>
      <c r="H657" s="33">
        <v>73774007</v>
      </c>
      <c r="I657" s="23"/>
      <c r="J657" s="23"/>
      <c r="K657" s="23"/>
      <c r="L657" s="23"/>
      <c r="M657" s="23"/>
      <c r="N657" s="22"/>
      <c r="O657" s="23"/>
      <c r="P657" s="23"/>
      <c r="Q657" s="23"/>
      <c r="R657" s="4"/>
      <c r="S657" s="23">
        <v>0</v>
      </c>
      <c r="T657" s="23">
        <v>0</v>
      </c>
      <c r="U657" s="23">
        <v>0</v>
      </c>
      <c r="V657" s="5">
        <v>0</v>
      </c>
      <c r="W657" s="39"/>
      <c r="X657" s="22"/>
      <c r="Y657" s="41"/>
    </row>
    <row r="658" spans="1:25" ht="13.95" customHeight="1">
      <c r="A658" s="23" t="s">
        <v>49</v>
      </c>
      <c r="B658" s="23" t="s">
        <v>22</v>
      </c>
      <c r="C658" s="23" t="s">
        <v>23</v>
      </c>
      <c r="D658" s="23" t="str">
        <f t="shared" si="13"/>
        <v>Autoimmune</v>
      </c>
      <c r="E658" s="32" t="s">
        <v>1546</v>
      </c>
      <c r="F658" s="23" t="s">
        <v>1546</v>
      </c>
      <c r="G658" s="69" t="s">
        <v>25</v>
      </c>
      <c r="H658" s="33">
        <v>75315001</v>
      </c>
      <c r="I658" s="23">
        <v>438739</v>
      </c>
      <c r="J658" s="22" t="s">
        <v>1547</v>
      </c>
      <c r="K658" s="2" t="s">
        <v>1548</v>
      </c>
      <c r="L658" s="2" t="s">
        <v>1549</v>
      </c>
      <c r="M658" s="23" t="s">
        <v>29</v>
      </c>
      <c r="N658" s="22" t="s">
        <v>1550</v>
      </c>
      <c r="O658" s="1" t="s">
        <v>43</v>
      </c>
      <c r="P658" s="23">
        <v>0.03</v>
      </c>
      <c r="Q658" s="23"/>
      <c r="R658" s="4">
        <v>100000</v>
      </c>
      <c r="S658" s="4">
        <f>+(P658/R658)*[1]Population!$C$2</f>
        <v>99.99</v>
      </c>
      <c r="T658" s="4">
        <f>IF(ISBLANK(Q658),S658,+(Q658/R658)*[1]Population!$C$2)</f>
        <v>99.99</v>
      </c>
      <c r="U658" s="1">
        <f>+AVERAGE(S658:T658)</f>
        <v>99.99</v>
      </c>
      <c r="V658" s="5">
        <f>+(U658/[1]Population!$C$2)*100000</f>
        <v>0.03</v>
      </c>
      <c r="W658" s="23"/>
      <c r="X658" s="22" t="s">
        <v>901</v>
      </c>
      <c r="Y658" s="41"/>
    </row>
    <row r="659" spans="1:25" ht="13.95" customHeight="1">
      <c r="A659" s="23" t="s">
        <v>49</v>
      </c>
      <c r="B659" s="23" t="s">
        <v>22</v>
      </c>
      <c r="C659" s="23" t="s">
        <v>23</v>
      </c>
      <c r="D659" s="23" t="str">
        <f t="shared" si="13"/>
        <v>Autoimmune</v>
      </c>
      <c r="E659" s="32" t="s">
        <v>1546</v>
      </c>
      <c r="F659" s="23" t="s">
        <v>1551</v>
      </c>
      <c r="G659" s="69" t="s">
        <v>36</v>
      </c>
      <c r="H659" s="33">
        <v>75315001</v>
      </c>
      <c r="I659" s="23"/>
      <c r="J659" s="23"/>
      <c r="K659" s="23"/>
      <c r="L659" s="23"/>
      <c r="M659" s="23"/>
      <c r="N659" s="22"/>
      <c r="O659" s="23"/>
      <c r="P659" s="23"/>
      <c r="Q659" s="23"/>
      <c r="R659" s="4"/>
      <c r="S659" s="23">
        <v>0</v>
      </c>
      <c r="T659" s="23">
        <v>0</v>
      </c>
      <c r="U659" s="23">
        <v>0</v>
      </c>
      <c r="V659" s="5">
        <v>0</v>
      </c>
      <c r="W659" s="39"/>
      <c r="X659" s="22"/>
      <c r="Y659" s="41"/>
    </row>
    <row r="660" spans="1:25" ht="13.95" customHeight="1">
      <c r="A660" s="23" t="s">
        <v>49</v>
      </c>
      <c r="B660" s="23" t="s">
        <v>22</v>
      </c>
      <c r="C660" s="23" t="s">
        <v>23</v>
      </c>
      <c r="D660" s="23" t="str">
        <f t="shared" si="13"/>
        <v>Autoimmune</v>
      </c>
      <c r="E660" s="32" t="s">
        <v>1546</v>
      </c>
      <c r="F660" s="23" t="s">
        <v>1552</v>
      </c>
      <c r="G660" s="69" t="s">
        <v>36</v>
      </c>
      <c r="H660" s="33">
        <v>75315001</v>
      </c>
      <c r="I660" s="23"/>
      <c r="J660" s="23"/>
      <c r="K660" s="23"/>
      <c r="L660" s="23"/>
      <c r="M660" s="23"/>
      <c r="N660" s="22"/>
      <c r="O660" s="23"/>
      <c r="P660" s="23"/>
      <c r="Q660" s="23"/>
      <c r="R660" s="4"/>
      <c r="S660" s="23">
        <v>0</v>
      </c>
      <c r="T660" s="23">
        <v>0</v>
      </c>
      <c r="U660" s="23">
        <v>0</v>
      </c>
      <c r="V660" s="5">
        <v>0</v>
      </c>
      <c r="W660" s="39"/>
      <c r="X660" s="22"/>
      <c r="Y660" s="41"/>
    </row>
    <row r="661" spans="1:25" ht="13.95" customHeight="1">
      <c r="A661" s="23" t="s">
        <v>49</v>
      </c>
      <c r="B661" s="23" t="s">
        <v>22</v>
      </c>
      <c r="C661" s="23" t="s">
        <v>23</v>
      </c>
      <c r="D661" s="23" t="str">
        <f t="shared" si="13"/>
        <v>Autoimmune</v>
      </c>
      <c r="E661" s="32" t="s">
        <v>1546</v>
      </c>
      <c r="F661" s="23" t="s">
        <v>1553</v>
      </c>
      <c r="G661" s="69" t="s">
        <v>36</v>
      </c>
      <c r="H661" s="33">
        <v>75315001</v>
      </c>
      <c r="I661" s="23">
        <v>438739</v>
      </c>
      <c r="J661" s="22"/>
      <c r="K661" s="2" t="s">
        <v>1548</v>
      </c>
      <c r="L661" s="2" t="s">
        <v>1549</v>
      </c>
      <c r="M661" s="23" t="s">
        <v>29</v>
      </c>
      <c r="N661" s="22" t="s">
        <v>1550</v>
      </c>
      <c r="O661" s="1" t="s">
        <v>43</v>
      </c>
      <c r="P661" s="23">
        <v>0.03</v>
      </c>
      <c r="Q661" s="23"/>
      <c r="R661" s="4">
        <v>100000</v>
      </c>
      <c r="S661" s="4">
        <f>+(P661/R661)*[1]Population!$C$2</f>
        <v>99.99</v>
      </c>
      <c r="T661" s="4">
        <f>IF(ISBLANK(Q661),S661,+(Q661/R661)*[1]Population!$C$2)</f>
        <v>99.99</v>
      </c>
      <c r="U661" s="1">
        <f>+AVERAGE(S661:T661)</f>
        <v>99.99</v>
      </c>
      <c r="V661" s="5">
        <f>+(U661/[1]Population!$C$2)*100000</f>
        <v>0.03</v>
      </c>
      <c r="W661" s="23"/>
      <c r="X661" s="22" t="s">
        <v>901</v>
      </c>
      <c r="Y661" s="41"/>
    </row>
    <row r="662" spans="1:25" ht="13.95" customHeight="1">
      <c r="A662" s="23" t="s">
        <v>49</v>
      </c>
      <c r="B662" s="23" t="s">
        <v>22</v>
      </c>
      <c r="C662" s="23" t="s">
        <v>23</v>
      </c>
      <c r="D662" s="23" t="str">
        <f t="shared" si="13"/>
        <v>Autoimmune</v>
      </c>
      <c r="E662" s="32" t="s">
        <v>1546</v>
      </c>
      <c r="F662" s="23" t="s">
        <v>1554</v>
      </c>
      <c r="G662" s="69" t="s">
        <v>36</v>
      </c>
      <c r="H662" s="33">
        <v>75315001</v>
      </c>
      <c r="I662" s="23"/>
      <c r="J662" s="23"/>
      <c r="K662" s="23"/>
      <c r="L662" s="23"/>
      <c r="M662" s="23"/>
      <c r="N662" s="22"/>
      <c r="O662" s="23"/>
      <c r="P662" s="23"/>
      <c r="Q662" s="23"/>
      <c r="R662" s="4"/>
      <c r="S662" s="23">
        <v>0</v>
      </c>
      <c r="T662" s="23">
        <v>0</v>
      </c>
      <c r="U662" s="23">
        <v>0</v>
      </c>
      <c r="V662" s="5">
        <v>0</v>
      </c>
      <c r="W662" s="39"/>
      <c r="X662" s="22"/>
      <c r="Y662" s="41"/>
    </row>
    <row r="663" spans="1:25" ht="13.95" customHeight="1">
      <c r="A663" s="23" t="s">
        <v>112</v>
      </c>
      <c r="B663" s="23" t="s">
        <v>22</v>
      </c>
      <c r="C663" s="23" t="s">
        <v>73</v>
      </c>
      <c r="D663" s="23" t="str">
        <f t="shared" si="13"/>
        <v>Autoimmune</v>
      </c>
      <c r="E663" s="32" t="s">
        <v>1555</v>
      </c>
      <c r="F663" s="23" t="s">
        <v>1556</v>
      </c>
      <c r="G663" s="69" t="s">
        <v>34</v>
      </c>
      <c r="H663" s="33">
        <v>55464009</v>
      </c>
      <c r="I663" s="23"/>
      <c r="J663" s="23"/>
      <c r="K663" s="23"/>
      <c r="L663" s="23"/>
      <c r="M663" s="23"/>
      <c r="N663" s="22"/>
      <c r="O663" s="23"/>
      <c r="P663" s="23"/>
      <c r="Q663" s="23"/>
      <c r="R663" s="4"/>
      <c r="S663" s="23">
        <v>0</v>
      </c>
      <c r="T663" s="23">
        <v>0</v>
      </c>
      <c r="U663" s="23">
        <v>0</v>
      </c>
      <c r="V663" s="5">
        <v>0</v>
      </c>
      <c r="W663" s="39"/>
      <c r="X663" s="22"/>
      <c r="Y663" s="41"/>
    </row>
    <row r="664" spans="1:25" ht="13.95" customHeight="1">
      <c r="A664" s="23" t="s">
        <v>112</v>
      </c>
      <c r="B664" s="23" t="s">
        <v>22</v>
      </c>
      <c r="C664" s="23" t="s">
        <v>73</v>
      </c>
      <c r="D664" s="23" t="str">
        <f t="shared" si="13"/>
        <v>Autoimmune</v>
      </c>
      <c r="E664" s="32" t="s">
        <v>1555</v>
      </c>
      <c r="F664" s="23" t="s">
        <v>1555</v>
      </c>
      <c r="G664" s="69" t="s">
        <v>25</v>
      </c>
      <c r="H664" s="33">
        <v>55464009</v>
      </c>
      <c r="I664" s="23">
        <v>257628</v>
      </c>
      <c r="J664" s="22" t="s">
        <v>1557</v>
      </c>
      <c r="K664" s="2" t="s">
        <v>1558</v>
      </c>
      <c r="L664" s="2" t="s">
        <v>1559</v>
      </c>
      <c r="M664" s="9" t="s">
        <v>78</v>
      </c>
      <c r="N664" s="22" t="s">
        <v>1561</v>
      </c>
      <c r="O664" s="4"/>
      <c r="P664" s="23">
        <v>65.3</v>
      </c>
      <c r="Q664" s="23">
        <v>81</v>
      </c>
      <c r="R664" s="4">
        <v>100000</v>
      </c>
      <c r="S664" s="4">
        <f>+(P664/R664)*[1]Population!$C$2</f>
        <v>217644.89999999997</v>
      </c>
      <c r="T664" s="4">
        <f>IF(ISBLANK(Q664),S664,+(Q664/R664)*[1]Population!$C$2)</f>
        <v>269973</v>
      </c>
      <c r="U664" s="1">
        <f>+AVERAGE(S664:T664)</f>
        <v>243808.94999999998</v>
      </c>
      <c r="V664" s="5">
        <f>+(U664/[1]Population!$C$2)*100000</f>
        <v>73.149999999999991</v>
      </c>
      <c r="W664" s="23"/>
      <c r="X664" s="22" t="s">
        <v>1560</v>
      </c>
      <c r="Y664" s="41"/>
    </row>
    <row r="665" spans="1:25" ht="13.95" customHeight="1">
      <c r="A665" s="23" t="s">
        <v>112</v>
      </c>
      <c r="B665" s="23" t="s">
        <v>22</v>
      </c>
      <c r="C665" s="23" t="s">
        <v>73</v>
      </c>
      <c r="D665" s="23" t="str">
        <f t="shared" si="13"/>
        <v>Autoimmune</v>
      </c>
      <c r="E665" s="32" t="s">
        <v>1555</v>
      </c>
      <c r="F665" s="23" t="s">
        <v>1555</v>
      </c>
      <c r="G665" s="69" t="s">
        <v>389</v>
      </c>
      <c r="H665" s="33">
        <v>55464009</v>
      </c>
      <c r="I665" s="23">
        <v>255891</v>
      </c>
      <c r="J665" s="22"/>
      <c r="K665" s="2" t="s">
        <v>1558</v>
      </c>
      <c r="L665" s="2" t="s">
        <v>1559</v>
      </c>
      <c r="M665" s="9" t="s">
        <v>78</v>
      </c>
      <c r="N665" s="22" t="s">
        <v>1561</v>
      </c>
      <c r="O665" s="4"/>
      <c r="P665" s="23">
        <v>65.3</v>
      </c>
      <c r="Q665" s="23">
        <v>81</v>
      </c>
      <c r="R665" s="4">
        <v>100000</v>
      </c>
      <c r="S665" s="4">
        <f>+(P665/R665)*[1]Population!$C$2</f>
        <v>217644.89999999997</v>
      </c>
      <c r="T665" s="4">
        <f>IF(ISBLANK(Q665),S665,+(Q665/R665)*[1]Population!$C$2)</f>
        <v>269973</v>
      </c>
      <c r="U665" s="1">
        <f>+AVERAGE(S665:T665)</f>
        <v>243808.94999999998</v>
      </c>
      <c r="V665" s="5">
        <f>+(U665/[1]Population!$C$2)*100000</f>
        <v>73.149999999999991</v>
      </c>
      <c r="W665" s="23"/>
      <c r="X665" s="22" t="s">
        <v>1560</v>
      </c>
      <c r="Y665" s="41"/>
    </row>
    <row r="666" spans="1:25" ht="13.95" customHeight="1">
      <c r="A666" s="23" t="s">
        <v>112</v>
      </c>
      <c r="B666" s="23" t="s">
        <v>22</v>
      </c>
      <c r="C666" s="23" t="s">
        <v>73</v>
      </c>
      <c r="D666" s="23" t="str">
        <f t="shared" si="13"/>
        <v>Autoimmune</v>
      </c>
      <c r="E666" s="32" t="s">
        <v>1555</v>
      </c>
      <c r="F666" s="23" t="s">
        <v>1562</v>
      </c>
      <c r="G666" s="69" t="s">
        <v>36</v>
      </c>
      <c r="H666" s="33">
        <v>55464009</v>
      </c>
      <c r="I666" s="23"/>
      <c r="J666" s="23"/>
      <c r="K666" s="23"/>
      <c r="L666" s="23"/>
      <c r="M666" s="23"/>
      <c r="N666" s="22"/>
      <c r="O666" s="23"/>
      <c r="P666" s="23"/>
      <c r="Q666" s="23"/>
      <c r="R666" s="4"/>
      <c r="S666" s="23">
        <v>0</v>
      </c>
      <c r="T666" s="23">
        <v>0</v>
      </c>
      <c r="U666" s="23">
        <v>0</v>
      </c>
      <c r="V666" s="5">
        <v>0</v>
      </c>
      <c r="W666" s="39"/>
      <c r="X666" s="22"/>
      <c r="Y666" s="41"/>
    </row>
    <row r="667" spans="1:25" ht="13.95" customHeight="1">
      <c r="A667" s="23" t="s">
        <v>112</v>
      </c>
      <c r="B667" s="23" t="s">
        <v>86</v>
      </c>
      <c r="C667" s="23" t="s">
        <v>600</v>
      </c>
      <c r="D667" s="23" t="str">
        <f t="shared" si="13"/>
        <v>Unconfirmed</v>
      </c>
      <c r="E667" s="32" t="s">
        <v>1563</v>
      </c>
      <c r="F667" s="23" t="s">
        <v>1563</v>
      </c>
      <c r="G667" s="69" t="s">
        <v>25</v>
      </c>
      <c r="H667" s="33">
        <v>397016004</v>
      </c>
      <c r="I667" s="23">
        <v>4246284</v>
      </c>
      <c r="J667" s="26" t="s">
        <v>1564</v>
      </c>
      <c r="K667" s="39" t="s">
        <v>1565</v>
      </c>
      <c r="L667" s="2" t="s">
        <v>1566</v>
      </c>
      <c r="M667" s="9" t="s">
        <v>78</v>
      </c>
      <c r="N667" s="22" t="s">
        <v>1568</v>
      </c>
      <c r="O667" s="66" t="s">
        <v>1567</v>
      </c>
      <c r="P667" s="66">
        <v>25.95</v>
      </c>
      <c r="Q667" s="23">
        <v>28.96</v>
      </c>
      <c r="R667" s="4">
        <v>100000</v>
      </c>
      <c r="S667" s="4">
        <f>+(P667/R667)*[1]Population!$C$2</f>
        <v>86491.35</v>
      </c>
      <c r="T667" s="4">
        <f>IF(ISBLANK(Q667),S667,+(Q667/R667)*[1]Population!$C$2)</f>
        <v>96523.68</v>
      </c>
      <c r="U667" s="1">
        <f>+AVERAGE(S667:T667)</f>
        <v>91507.514999999999</v>
      </c>
      <c r="V667" s="5">
        <f>+(U667/[1]Population!$C$2)*100000</f>
        <v>27.454999999999998</v>
      </c>
      <c r="W667" s="23"/>
      <c r="X667" s="22" t="s">
        <v>368</v>
      </c>
      <c r="Y667" s="41"/>
    </row>
    <row r="668" spans="1:25" ht="13.95" customHeight="1">
      <c r="A668" s="23" t="s">
        <v>112</v>
      </c>
      <c r="B668" s="23" t="s">
        <v>22</v>
      </c>
      <c r="C668" s="23" t="s">
        <v>73</v>
      </c>
      <c r="D668" s="23" t="str">
        <f t="shared" si="13"/>
        <v>Autoimmune</v>
      </c>
      <c r="E668" s="32" t="s">
        <v>1569</v>
      </c>
      <c r="F668" s="23" t="s">
        <v>1569</v>
      </c>
      <c r="G668" s="69" t="s">
        <v>25</v>
      </c>
      <c r="H668" s="33">
        <v>89155008</v>
      </c>
      <c r="I668" s="23">
        <v>134442</v>
      </c>
      <c r="J668" s="27" t="s">
        <v>1570</v>
      </c>
      <c r="K668" s="2" t="s">
        <v>1571</v>
      </c>
      <c r="L668" s="2" t="s">
        <v>1572</v>
      </c>
      <c r="M668" s="9" t="s">
        <v>78</v>
      </c>
      <c r="N668" s="22" t="s">
        <v>1574</v>
      </c>
      <c r="O668" s="4"/>
      <c r="P668" s="23">
        <v>15</v>
      </c>
      <c r="Q668" s="23">
        <v>30</v>
      </c>
      <c r="R668" s="4">
        <v>100000</v>
      </c>
      <c r="S668" s="4">
        <f>+(P668/R668)*[1]Population!$C$2</f>
        <v>49994.999999999993</v>
      </c>
      <c r="T668" s="4">
        <f>IF(ISBLANK(Q668),S668,+(Q668/R668)*[1]Population!$C$2)</f>
        <v>99989.999999999985</v>
      </c>
      <c r="U668" s="1">
        <f>+AVERAGE(S668:T668)</f>
        <v>74992.499999999985</v>
      </c>
      <c r="V668" s="5">
        <f>+(U668/[1]Population!$C$2)*100000</f>
        <v>22.499999999999996</v>
      </c>
      <c r="W668" s="23"/>
      <c r="X668" s="54" t="s">
        <v>1573</v>
      </c>
      <c r="Y668" s="40"/>
    </row>
    <row r="669" spans="1:25" ht="13.95" customHeight="1">
      <c r="A669" s="23" t="s">
        <v>112</v>
      </c>
      <c r="B669" s="23" t="s">
        <v>22</v>
      </c>
      <c r="C669" s="23" t="s">
        <v>73</v>
      </c>
      <c r="D669" s="23" t="str">
        <f t="shared" si="13"/>
        <v>Autoimmune</v>
      </c>
      <c r="E669" s="32" t="s">
        <v>1569</v>
      </c>
      <c r="F669" s="23" t="s">
        <v>1575</v>
      </c>
      <c r="G669" s="69" t="s">
        <v>36</v>
      </c>
      <c r="H669" s="33">
        <v>89155008</v>
      </c>
      <c r="I669" s="23"/>
      <c r="J669" s="23"/>
      <c r="K669" s="23"/>
      <c r="L669" s="23"/>
      <c r="M669" s="23"/>
      <c r="N669" s="22"/>
      <c r="O669" s="23"/>
      <c r="P669" s="23"/>
      <c r="Q669" s="23"/>
      <c r="R669" s="4"/>
      <c r="S669" s="23">
        <v>0</v>
      </c>
      <c r="T669" s="23">
        <v>0</v>
      </c>
      <c r="U669" s="23">
        <v>0</v>
      </c>
      <c r="V669" s="5">
        <v>0</v>
      </c>
      <c r="W669" s="39"/>
      <c r="X669" s="22"/>
      <c r="Y669" s="41"/>
    </row>
    <row r="670" spans="1:25" ht="13.95" customHeight="1">
      <c r="A670" s="23" t="s">
        <v>112</v>
      </c>
      <c r="B670" s="23" t="s">
        <v>22</v>
      </c>
      <c r="C670" s="23" t="s">
        <v>73</v>
      </c>
      <c r="D670" s="23" t="str">
        <f t="shared" si="13"/>
        <v>Autoimmune</v>
      </c>
      <c r="E670" s="32" t="s">
        <v>1569</v>
      </c>
      <c r="F670" s="23" t="s">
        <v>1576</v>
      </c>
      <c r="G670" s="69" t="s">
        <v>36</v>
      </c>
      <c r="H670" s="33">
        <v>89155008</v>
      </c>
      <c r="I670" s="23"/>
      <c r="J670" s="23"/>
      <c r="K670" s="23"/>
      <c r="L670" s="23"/>
      <c r="M670" s="23"/>
      <c r="N670" s="22"/>
      <c r="O670" s="23"/>
      <c r="P670" s="23"/>
      <c r="Q670" s="23"/>
      <c r="R670" s="4"/>
      <c r="S670" s="23">
        <v>0</v>
      </c>
      <c r="T670" s="23">
        <v>0</v>
      </c>
      <c r="U670" s="23">
        <v>0</v>
      </c>
      <c r="V670" s="5">
        <v>0</v>
      </c>
      <c r="W670" s="39"/>
      <c r="X670" s="22"/>
      <c r="Y670" s="41"/>
    </row>
    <row r="671" spans="1:25" ht="13.95" customHeight="1">
      <c r="A671" s="23" t="s">
        <v>112</v>
      </c>
      <c r="B671" s="23" t="s">
        <v>22</v>
      </c>
      <c r="C671" s="23" t="s">
        <v>73</v>
      </c>
      <c r="D671" s="23" t="str">
        <f t="shared" si="13"/>
        <v>Autoimmune</v>
      </c>
      <c r="E671" s="32" t="s">
        <v>1569</v>
      </c>
      <c r="F671" s="23" t="s">
        <v>1577</v>
      </c>
      <c r="G671" s="69" t="s">
        <v>36</v>
      </c>
      <c r="H671" s="33">
        <v>89155008</v>
      </c>
      <c r="I671" s="23">
        <v>134442</v>
      </c>
      <c r="J671" s="22"/>
      <c r="K671" s="2" t="s">
        <v>1571</v>
      </c>
      <c r="L671" s="2" t="s">
        <v>1572</v>
      </c>
      <c r="M671" s="9" t="s">
        <v>78</v>
      </c>
      <c r="N671" s="22" t="s">
        <v>1574</v>
      </c>
      <c r="O671" s="4"/>
      <c r="P671" s="23">
        <v>15</v>
      </c>
      <c r="Q671" s="23">
        <v>30</v>
      </c>
      <c r="R671" s="4">
        <v>100000</v>
      </c>
      <c r="S671" s="4">
        <f>+(P671/R671)*[1]Population!$C$2</f>
        <v>49994.999999999993</v>
      </c>
      <c r="T671" s="4">
        <f>IF(ISBLANK(Q671),S671,+(Q671/R671)*[1]Population!$C$2)</f>
        <v>99989.999999999985</v>
      </c>
      <c r="U671" s="1">
        <f>+AVERAGE(S671:T671)</f>
        <v>74992.499999999985</v>
      </c>
      <c r="V671" s="5">
        <f>+(U671/[1]Population!$C$2)*100000</f>
        <v>22.499999999999996</v>
      </c>
      <c r="W671" s="23"/>
      <c r="X671" s="54" t="s">
        <v>1573</v>
      </c>
      <c r="Y671" s="40"/>
    </row>
    <row r="672" spans="1:25" ht="13.95" customHeight="1">
      <c r="A672" s="23" t="s">
        <v>112</v>
      </c>
      <c r="B672" s="23" t="s">
        <v>226</v>
      </c>
      <c r="C672" s="23" t="s">
        <v>73</v>
      </c>
      <c r="D672" s="23" t="str">
        <f t="shared" si="13"/>
        <v>Autoimmune</v>
      </c>
      <c r="E672" s="32" t="s">
        <v>1578</v>
      </c>
      <c r="F672" s="23" t="s">
        <v>1579</v>
      </c>
      <c r="G672" s="69" t="s">
        <v>52</v>
      </c>
      <c r="H672" s="33">
        <v>31848007</v>
      </c>
      <c r="I672" s="33">
        <v>4135937</v>
      </c>
      <c r="J672" s="22" t="s">
        <v>1580</v>
      </c>
      <c r="K672" s="23" t="s">
        <v>1581</v>
      </c>
      <c r="L672" s="23" t="s">
        <v>1582</v>
      </c>
      <c r="M672" s="23"/>
      <c r="N672" s="22"/>
      <c r="O672" s="23"/>
      <c r="P672" s="23"/>
      <c r="Q672" s="23"/>
      <c r="R672" s="4"/>
      <c r="S672" s="4"/>
      <c r="T672" s="4"/>
      <c r="U672" s="1"/>
      <c r="V672" s="5">
        <f>+(U672/[1]Population!$C$2)*100000</f>
        <v>0</v>
      </c>
      <c r="W672" s="39"/>
      <c r="X672" s="22"/>
      <c r="Y672" s="41"/>
    </row>
    <row r="673" spans="1:25" ht="13.95" customHeight="1">
      <c r="A673" s="23" t="s">
        <v>112</v>
      </c>
      <c r="B673" s="23" t="s">
        <v>226</v>
      </c>
      <c r="C673" s="23" t="s">
        <v>73</v>
      </c>
      <c r="D673" s="23" t="str">
        <f t="shared" si="13"/>
        <v>Autoimmune</v>
      </c>
      <c r="E673" s="32" t="s">
        <v>1578</v>
      </c>
      <c r="F673" s="23" t="s">
        <v>1583</v>
      </c>
      <c r="G673" s="69" t="s">
        <v>52</v>
      </c>
      <c r="H673" s="33" t="s">
        <v>1584</v>
      </c>
      <c r="I673" s="33">
        <v>4027230</v>
      </c>
      <c r="J673" s="22" t="s">
        <v>1580</v>
      </c>
      <c r="K673" s="23" t="s">
        <v>1581</v>
      </c>
      <c r="L673" s="23" t="s">
        <v>1582</v>
      </c>
      <c r="M673" s="23"/>
      <c r="N673" s="22"/>
      <c r="O673" s="23" t="s">
        <v>1585</v>
      </c>
      <c r="P673" s="23"/>
      <c r="Q673" s="23"/>
      <c r="R673" s="4"/>
      <c r="S673" s="4">
        <f>+S703*0.05</f>
        <v>0</v>
      </c>
      <c r="T673" s="4">
        <f>+T703*0.05</f>
        <v>0</v>
      </c>
      <c r="U673" s="1">
        <f>+AVERAGE(S673:T673)</f>
        <v>0</v>
      </c>
      <c r="V673" s="5">
        <f>+(U673/[1]Population!$C$2)*100000</f>
        <v>0</v>
      </c>
      <c r="W673" s="39"/>
      <c r="X673" s="22"/>
      <c r="Y673" s="41"/>
    </row>
    <row r="674" spans="1:25" ht="13.95" customHeight="1">
      <c r="A674" s="23" t="s">
        <v>112</v>
      </c>
      <c r="B674" s="23" t="s">
        <v>226</v>
      </c>
      <c r="C674" s="23" t="s">
        <v>73</v>
      </c>
      <c r="D674" s="23" t="str">
        <f t="shared" si="13"/>
        <v>Autoimmune</v>
      </c>
      <c r="E674" s="32" t="s">
        <v>1578</v>
      </c>
      <c r="F674" s="23" t="s">
        <v>1586</v>
      </c>
      <c r="G674" s="69" t="s">
        <v>34</v>
      </c>
      <c r="H674" s="33" t="s">
        <v>1587</v>
      </c>
      <c r="I674" s="33"/>
      <c r="J674" s="22" t="s">
        <v>1580</v>
      </c>
      <c r="K674" s="23" t="s">
        <v>1581</v>
      </c>
      <c r="L674" s="23" t="s">
        <v>1582</v>
      </c>
      <c r="M674" s="23"/>
      <c r="N674" s="22"/>
      <c r="O674" s="23"/>
      <c r="P674" s="23"/>
      <c r="Q674" s="23"/>
      <c r="R674" s="4"/>
      <c r="S674" s="4"/>
      <c r="T674" s="4"/>
      <c r="U674" s="1"/>
      <c r="V674" s="5">
        <f>+(U674/[1]Population!$C$2)*100000</f>
        <v>0</v>
      </c>
      <c r="W674" s="39"/>
      <c r="X674" s="22"/>
      <c r="Y674" s="41"/>
    </row>
    <row r="675" spans="1:25" ht="13.95" customHeight="1">
      <c r="A675" s="23" t="s">
        <v>112</v>
      </c>
      <c r="B675" s="23" t="s">
        <v>226</v>
      </c>
      <c r="C675" s="23" t="s">
        <v>73</v>
      </c>
      <c r="D675" s="23" t="str">
        <f t="shared" si="13"/>
        <v>Autoimmune</v>
      </c>
      <c r="E675" s="32" t="s">
        <v>1578</v>
      </c>
      <c r="F675" s="23" t="s">
        <v>1588</v>
      </c>
      <c r="G675" s="69" t="s">
        <v>34</v>
      </c>
      <c r="H675" s="33" t="s">
        <v>1587</v>
      </c>
      <c r="I675" s="33"/>
      <c r="J675" s="22"/>
      <c r="K675" s="2"/>
      <c r="L675" s="2"/>
      <c r="M675" s="9"/>
      <c r="N675" s="22" t="s">
        <v>646</v>
      </c>
      <c r="O675" s="44"/>
      <c r="P675" s="23">
        <v>0.26</v>
      </c>
      <c r="Q675" s="23">
        <v>0.33</v>
      </c>
      <c r="R675" s="4">
        <v>100000</v>
      </c>
      <c r="S675" s="4"/>
      <c r="T675" s="4"/>
      <c r="U675" s="1"/>
      <c r="V675" s="5"/>
      <c r="W675" s="23"/>
      <c r="X675" s="22" t="s">
        <v>645</v>
      </c>
      <c r="Y675" s="40"/>
    </row>
    <row r="676" spans="1:25" ht="13.95" customHeight="1">
      <c r="A676" s="23" t="s">
        <v>112</v>
      </c>
      <c r="B676" s="23" t="s">
        <v>226</v>
      </c>
      <c r="C676" s="23" t="s">
        <v>73</v>
      </c>
      <c r="D676" s="23" t="str">
        <f t="shared" si="13"/>
        <v>Autoimmune</v>
      </c>
      <c r="E676" s="32" t="s">
        <v>1578</v>
      </c>
      <c r="F676" s="23" t="s">
        <v>1578</v>
      </c>
      <c r="G676" s="69" t="s">
        <v>25</v>
      </c>
      <c r="H676" s="33" t="s">
        <v>1587</v>
      </c>
      <c r="I676" s="33">
        <v>4185187</v>
      </c>
      <c r="J676" s="22" t="s">
        <v>1589</v>
      </c>
      <c r="K676" s="23" t="s">
        <v>1581</v>
      </c>
      <c r="L676" s="23" t="s">
        <v>1582</v>
      </c>
      <c r="M676" s="23"/>
      <c r="N676" s="22"/>
      <c r="O676" s="23" t="s">
        <v>1590</v>
      </c>
      <c r="P676" s="23"/>
      <c r="Q676" s="23"/>
      <c r="R676" s="4"/>
      <c r="S676" s="4">
        <f>+S712*0.7</f>
        <v>0</v>
      </c>
      <c r="T676" s="4">
        <f>+T712*0.8</f>
        <v>0</v>
      </c>
      <c r="U676" s="1">
        <f>+AVERAGE(S676:T676)</f>
        <v>0</v>
      </c>
      <c r="V676" s="5">
        <f>+(U676/[1]Population!$C$2)*100000</f>
        <v>0</v>
      </c>
      <c r="W676" s="39"/>
      <c r="X676" s="22"/>
      <c r="Y676" s="41"/>
    </row>
    <row r="677" spans="1:25" ht="13.95" customHeight="1">
      <c r="A677" s="23" t="s">
        <v>112</v>
      </c>
      <c r="B677" s="23" t="s">
        <v>226</v>
      </c>
      <c r="C677" s="23" t="s">
        <v>73</v>
      </c>
      <c r="D677" s="23" t="str">
        <f t="shared" si="13"/>
        <v>Autoimmune</v>
      </c>
      <c r="E677" s="32" t="s">
        <v>1578</v>
      </c>
      <c r="F677" s="23" t="s">
        <v>1591</v>
      </c>
      <c r="G677" s="69" t="s">
        <v>36</v>
      </c>
      <c r="H677" s="33" t="s">
        <v>1587</v>
      </c>
      <c r="I677" s="33"/>
      <c r="J677" s="22" t="s">
        <v>1580</v>
      </c>
      <c r="K677" s="23"/>
      <c r="L677" s="23"/>
      <c r="M677" s="23"/>
      <c r="N677" s="22"/>
      <c r="O677" s="23"/>
      <c r="P677" s="23"/>
      <c r="Q677" s="23"/>
      <c r="R677" s="4"/>
      <c r="S677" s="4"/>
      <c r="T677" s="4"/>
      <c r="U677" s="1"/>
      <c r="V677" s="5">
        <f>+(U677/[1]Population!$C$2)*100000</f>
        <v>0</v>
      </c>
      <c r="W677" s="39"/>
      <c r="X677" s="22"/>
      <c r="Y677" s="41"/>
    </row>
    <row r="678" spans="1:25" ht="13.95" customHeight="1">
      <c r="A678" s="23" t="s">
        <v>112</v>
      </c>
      <c r="B678" s="23" t="s">
        <v>226</v>
      </c>
      <c r="C678" s="23" t="s">
        <v>73</v>
      </c>
      <c r="D678" s="23" t="str">
        <f t="shared" si="13"/>
        <v>Autoimmune</v>
      </c>
      <c r="E678" s="32" t="s">
        <v>1578</v>
      </c>
      <c r="F678" s="23" t="s">
        <v>1592</v>
      </c>
      <c r="G678" s="69" t="s">
        <v>52</v>
      </c>
      <c r="H678" s="33">
        <v>298285004</v>
      </c>
      <c r="I678" s="33">
        <v>4185187</v>
      </c>
      <c r="J678" s="22" t="s">
        <v>1580</v>
      </c>
      <c r="K678" s="23" t="s">
        <v>1581</v>
      </c>
      <c r="L678" s="23" t="s">
        <v>1582</v>
      </c>
      <c r="M678" s="23"/>
      <c r="N678" s="22"/>
      <c r="O678" s="23" t="s">
        <v>1593</v>
      </c>
      <c r="P678" s="23"/>
      <c r="Q678" s="23"/>
      <c r="R678" s="4"/>
      <c r="S678" s="4">
        <f>+S710*0.2</f>
        <v>0</v>
      </c>
      <c r="T678" s="4">
        <f>+T710*0.3</f>
        <v>0</v>
      </c>
      <c r="U678" s="1">
        <f t="shared" ref="U678:U684" si="14">+AVERAGE(S678:T678)</f>
        <v>0</v>
      </c>
      <c r="V678" s="5">
        <f>+(U678/[1]Population!$C$2)*100000</f>
        <v>0</v>
      </c>
      <c r="W678" s="39"/>
      <c r="X678" s="22"/>
      <c r="Y678" s="41"/>
    </row>
    <row r="679" spans="1:25" ht="13.95" customHeight="1">
      <c r="A679" s="23" t="s">
        <v>72</v>
      </c>
      <c r="B679" s="23" t="s">
        <v>218</v>
      </c>
      <c r="C679" s="23" t="s">
        <v>73</v>
      </c>
      <c r="D679" s="23" t="str">
        <f t="shared" si="13"/>
        <v>Autoimmune</v>
      </c>
      <c r="E679" s="23" t="s">
        <v>1594</v>
      </c>
      <c r="F679" s="23" t="s">
        <v>1594</v>
      </c>
      <c r="G679" s="69" t="s">
        <v>25</v>
      </c>
      <c r="H679" s="33">
        <v>359789008</v>
      </c>
      <c r="I679" s="23">
        <v>440740</v>
      </c>
      <c r="J679" s="22" t="s">
        <v>1595</v>
      </c>
      <c r="K679" s="2" t="s">
        <v>1596</v>
      </c>
      <c r="L679" s="2" t="s">
        <v>1597</v>
      </c>
      <c r="M679" s="3" t="s">
        <v>78</v>
      </c>
      <c r="N679" s="22" t="s">
        <v>1600</v>
      </c>
      <c r="O679" s="44" t="s">
        <v>1598</v>
      </c>
      <c r="P679" s="23">
        <v>0.47</v>
      </c>
      <c r="Q679" s="23"/>
      <c r="R679" s="4">
        <v>100000</v>
      </c>
      <c r="S679" s="4">
        <f>+(P679/R679)*[1]Population!$C$2</f>
        <v>1566.51</v>
      </c>
      <c r="T679" s="4">
        <f>IF(ISBLANK(Q679),S679,+(Q679/R679)*[1]Population!$C$2)</f>
        <v>1566.51</v>
      </c>
      <c r="U679" s="1">
        <f t="shared" si="14"/>
        <v>1566.51</v>
      </c>
      <c r="V679" s="5">
        <f>+(U679/[1]Population!$C$2)*100000</f>
        <v>0.47</v>
      </c>
      <c r="W679" s="23"/>
      <c r="X679" s="22" t="s">
        <v>1599</v>
      </c>
      <c r="Y679" s="8" t="s">
        <v>1601</v>
      </c>
    </row>
    <row r="680" spans="1:25" ht="13.95" customHeight="1">
      <c r="A680" s="23" t="s">
        <v>72</v>
      </c>
      <c r="B680" s="23" t="s">
        <v>218</v>
      </c>
      <c r="C680" s="23" t="s">
        <v>73</v>
      </c>
      <c r="D680" s="23" t="str">
        <f t="shared" si="13"/>
        <v>Autoimmune</v>
      </c>
      <c r="E680" s="23" t="s">
        <v>1594</v>
      </c>
      <c r="F680" s="23" t="s">
        <v>1602</v>
      </c>
      <c r="G680" s="69" t="s">
        <v>36</v>
      </c>
      <c r="H680" s="33">
        <v>359789008</v>
      </c>
      <c r="I680" s="23">
        <v>440740</v>
      </c>
      <c r="J680" s="22"/>
      <c r="K680" s="2" t="s">
        <v>1596</v>
      </c>
      <c r="L680" s="2" t="s">
        <v>1597</v>
      </c>
      <c r="M680" s="3" t="s">
        <v>78</v>
      </c>
      <c r="N680" s="22" t="s">
        <v>1600</v>
      </c>
      <c r="O680" s="44" t="s">
        <v>1598</v>
      </c>
      <c r="P680" s="23">
        <v>0.47</v>
      </c>
      <c r="Q680" s="23"/>
      <c r="R680" s="4">
        <v>100000</v>
      </c>
      <c r="S680" s="4">
        <f>+(P680/R680)*[1]Population!$C$2</f>
        <v>1566.51</v>
      </c>
      <c r="T680" s="4">
        <f>IF(ISBLANK(Q680),S680,+(Q680/R680)*[1]Population!$C$2)</f>
        <v>1566.51</v>
      </c>
      <c r="U680" s="1">
        <f t="shared" si="14"/>
        <v>1566.51</v>
      </c>
      <c r="V680" s="5">
        <f>+(U680/[1]Population!$C$2)*100000</f>
        <v>0.47</v>
      </c>
      <c r="W680" s="23"/>
      <c r="X680" s="22" t="s">
        <v>1599</v>
      </c>
      <c r="Y680" s="8" t="s">
        <v>1601</v>
      </c>
    </row>
    <row r="681" spans="1:25" ht="13.95" customHeight="1">
      <c r="A681" s="23" t="s">
        <v>72</v>
      </c>
      <c r="B681" s="23" t="s">
        <v>218</v>
      </c>
      <c r="C681" s="22" t="s">
        <v>73</v>
      </c>
      <c r="D681" s="23" t="str">
        <f t="shared" si="13"/>
        <v>Autoimmune</v>
      </c>
      <c r="E681" s="32" t="s">
        <v>1603</v>
      </c>
      <c r="F681" s="23" t="s">
        <v>1604</v>
      </c>
      <c r="G681" s="69" t="s">
        <v>34</v>
      </c>
      <c r="H681" s="33">
        <v>400130008</v>
      </c>
      <c r="I681" s="23">
        <v>4290976</v>
      </c>
      <c r="J681" s="22"/>
      <c r="K681" s="2" t="s">
        <v>1605</v>
      </c>
      <c r="L681" s="2" t="s">
        <v>1276</v>
      </c>
      <c r="M681" s="3" t="s">
        <v>78</v>
      </c>
      <c r="N681" s="22" t="s">
        <v>1607</v>
      </c>
      <c r="O681" s="1" t="s">
        <v>1277</v>
      </c>
      <c r="P681" s="44">
        <v>161</v>
      </c>
      <c r="Q681" s="23">
        <v>254</v>
      </c>
      <c r="R681" s="4">
        <v>100000</v>
      </c>
      <c r="S681" s="4">
        <f>+(P681/R681)*[1]Population!$C$2*0.34</f>
        <v>182448.42</v>
      </c>
      <c r="T681" s="4">
        <f>+(Q681/R681)*[1]Population!$C$2*0.34</f>
        <v>287837.88</v>
      </c>
      <c r="U681" s="1">
        <f t="shared" si="14"/>
        <v>235143.15000000002</v>
      </c>
      <c r="V681" s="5">
        <f>+(U681/[1]Population!$C$2)*100000</f>
        <v>70.550000000000011</v>
      </c>
      <c r="W681" s="23"/>
      <c r="X681" s="22" t="s">
        <v>1606</v>
      </c>
      <c r="Y681" s="41"/>
    </row>
    <row r="682" spans="1:25" ht="13.95" customHeight="1">
      <c r="A682" s="23" t="s">
        <v>72</v>
      </c>
      <c r="B682" s="23" t="s">
        <v>218</v>
      </c>
      <c r="C682" s="23" t="s">
        <v>73</v>
      </c>
      <c r="D682" s="23" t="str">
        <f t="shared" si="13"/>
        <v>Autoimmune</v>
      </c>
      <c r="E682" s="32" t="s">
        <v>1603</v>
      </c>
      <c r="F682" s="23" t="s">
        <v>1603</v>
      </c>
      <c r="G682" s="69" t="s">
        <v>25</v>
      </c>
      <c r="H682" s="33">
        <v>400130008</v>
      </c>
      <c r="I682" s="23">
        <v>4290976</v>
      </c>
      <c r="J682" s="22" t="s">
        <v>1608</v>
      </c>
      <c r="K682" s="2" t="s">
        <v>1605</v>
      </c>
      <c r="L682" s="2" t="s">
        <v>1276</v>
      </c>
      <c r="M682" s="3" t="s">
        <v>78</v>
      </c>
      <c r="N682" s="22" t="s">
        <v>1607</v>
      </c>
      <c r="O682" s="1" t="s">
        <v>1277</v>
      </c>
      <c r="P682" s="44">
        <v>161</v>
      </c>
      <c r="Q682" s="23">
        <v>254</v>
      </c>
      <c r="R682" s="4">
        <v>100000</v>
      </c>
      <c r="S682" s="4">
        <f>+(P682/R682)*[1]Population!$C$2*0.34</f>
        <v>182448.42</v>
      </c>
      <c r="T682" s="4">
        <f>+(Q682/R682)*[1]Population!$C$2*0.34</f>
        <v>287837.88</v>
      </c>
      <c r="U682" s="1">
        <f t="shared" si="14"/>
        <v>235143.15000000002</v>
      </c>
      <c r="V682" s="5">
        <f>+(U682/[1]Population!$C$2)*100000</f>
        <v>70.550000000000011</v>
      </c>
      <c r="W682" s="23"/>
      <c r="X682" s="22" t="s">
        <v>1606</v>
      </c>
      <c r="Y682" s="41"/>
    </row>
    <row r="683" spans="1:25" ht="13.95" customHeight="1">
      <c r="A683" s="23" t="s">
        <v>72</v>
      </c>
      <c r="B683" s="23" t="s">
        <v>218</v>
      </c>
      <c r="C683" s="23" t="s">
        <v>73</v>
      </c>
      <c r="D683" s="23" t="str">
        <f t="shared" si="13"/>
        <v>Autoimmune</v>
      </c>
      <c r="E683" s="32" t="s">
        <v>1603</v>
      </c>
      <c r="F683" s="23" t="s">
        <v>1609</v>
      </c>
      <c r="G683" s="69" t="s">
        <v>36</v>
      </c>
      <c r="H683" s="33">
        <v>400130008</v>
      </c>
      <c r="I683" s="23">
        <v>4290976</v>
      </c>
      <c r="J683" s="22"/>
      <c r="K683" s="2" t="s">
        <v>1605</v>
      </c>
      <c r="L683" s="2" t="s">
        <v>1276</v>
      </c>
      <c r="M683" s="3" t="s">
        <v>78</v>
      </c>
      <c r="N683" s="22" t="s">
        <v>1607</v>
      </c>
      <c r="O683" s="1" t="s">
        <v>1277</v>
      </c>
      <c r="P683" s="44">
        <v>161</v>
      </c>
      <c r="Q683" s="23">
        <v>254</v>
      </c>
      <c r="R683" s="4">
        <v>100000</v>
      </c>
      <c r="S683" s="4">
        <f>+(P683/R683)*[1]Population!$C$2*0.34</f>
        <v>182448.42</v>
      </c>
      <c r="T683" s="4">
        <f>+(Q683/R683)*[1]Population!$C$2*0.34</f>
        <v>287837.88</v>
      </c>
      <c r="U683" s="1">
        <f t="shared" si="14"/>
        <v>235143.15000000002</v>
      </c>
      <c r="V683" s="5">
        <f>+(U683/[1]Population!$C$2)*100000</f>
        <v>70.550000000000011</v>
      </c>
      <c r="W683" s="23"/>
      <c r="X683" s="22" t="s">
        <v>1606</v>
      </c>
      <c r="Y683" s="41"/>
    </row>
    <row r="684" spans="1:25" ht="13.95" customHeight="1">
      <c r="A684" s="23" t="s">
        <v>72</v>
      </c>
      <c r="B684" s="23" t="s">
        <v>218</v>
      </c>
      <c r="C684" s="22" t="s">
        <v>73</v>
      </c>
      <c r="D684" s="23" t="str">
        <f t="shared" si="13"/>
        <v>Autoimmune</v>
      </c>
      <c r="E684" s="32" t="s">
        <v>1603</v>
      </c>
      <c r="F684" s="23" t="s">
        <v>1610</v>
      </c>
      <c r="G684" s="69" t="s">
        <v>36</v>
      </c>
      <c r="H684" s="33">
        <v>400130008</v>
      </c>
      <c r="I684" s="23">
        <v>4290976</v>
      </c>
      <c r="J684" s="22"/>
      <c r="K684" s="2" t="s">
        <v>1605</v>
      </c>
      <c r="L684" s="2" t="s">
        <v>1276</v>
      </c>
      <c r="M684" s="3" t="s">
        <v>78</v>
      </c>
      <c r="N684" s="22" t="s">
        <v>1607</v>
      </c>
      <c r="O684" s="1" t="s">
        <v>1277</v>
      </c>
      <c r="P684" s="44">
        <v>161</v>
      </c>
      <c r="Q684" s="23">
        <v>254</v>
      </c>
      <c r="R684" s="4">
        <v>100000</v>
      </c>
      <c r="S684" s="4">
        <f>+(P684/R684)*[1]Population!$C$2*0.34</f>
        <v>182448.42</v>
      </c>
      <c r="T684" s="4">
        <f>+(Q684/R684)*[1]Population!$C$2*0.34</f>
        <v>287837.88</v>
      </c>
      <c r="U684" s="1">
        <f t="shared" si="14"/>
        <v>235143.15000000002</v>
      </c>
      <c r="V684" s="5">
        <f>+(U684/[1]Population!$C$2)*100000</f>
        <v>70.550000000000011</v>
      </c>
      <c r="W684" s="23"/>
      <c r="X684" s="22" t="s">
        <v>1606</v>
      </c>
      <c r="Y684" s="41"/>
    </row>
    <row r="685" spans="1:25" ht="13.95" customHeight="1">
      <c r="A685" s="23" t="s">
        <v>72</v>
      </c>
      <c r="B685" s="23" t="s">
        <v>218</v>
      </c>
      <c r="C685" s="23" t="s">
        <v>73</v>
      </c>
      <c r="D685" s="23" t="str">
        <f t="shared" si="13"/>
        <v>Autoimmune</v>
      </c>
      <c r="E685" s="32" t="s">
        <v>1603</v>
      </c>
      <c r="F685" s="23" t="s">
        <v>1611</v>
      </c>
      <c r="G685" s="69" t="s">
        <v>36</v>
      </c>
      <c r="H685" s="33">
        <v>400130008</v>
      </c>
      <c r="I685" s="23"/>
      <c r="J685" s="23"/>
      <c r="K685" s="23"/>
      <c r="L685" s="23"/>
      <c r="M685" s="23"/>
      <c r="N685" s="22"/>
      <c r="O685" s="23"/>
      <c r="P685" s="23"/>
      <c r="Q685" s="23"/>
      <c r="R685" s="4"/>
      <c r="S685" s="23">
        <v>0</v>
      </c>
      <c r="T685" s="23">
        <v>0</v>
      </c>
      <c r="U685" s="23">
        <v>0</v>
      </c>
      <c r="V685" s="5">
        <v>0</v>
      </c>
      <c r="W685" s="39"/>
      <c r="X685" s="22"/>
      <c r="Y685" s="41"/>
    </row>
    <row r="686" spans="1:25" ht="13.95" customHeight="1">
      <c r="A686" s="23" t="s">
        <v>72</v>
      </c>
      <c r="B686" s="23" t="s">
        <v>218</v>
      </c>
      <c r="C686" s="23" t="s">
        <v>73</v>
      </c>
      <c r="D686" s="23" t="str">
        <f t="shared" si="13"/>
        <v>Autoimmune</v>
      </c>
      <c r="E686" s="32" t="s">
        <v>1603</v>
      </c>
      <c r="F686" s="23" t="s">
        <v>1612</v>
      </c>
      <c r="G686" s="69" t="s">
        <v>36</v>
      </c>
      <c r="H686" s="33">
        <v>400130008</v>
      </c>
      <c r="I686" s="23">
        <v>4290976</v>
      </c>
      <c r="J686" s="22"/>
      <c r="K686" s="2" t="s">
        <v>1605</v>
      </c>
      <c r="L686" s="2" t="s">
        <v>1276</v>
      </c>
      <c r="M686" s="3" t="s">
        <v>78</v>
      </c>
      <c r="N686" s="22" t="s">
        <v>1607</v>
      </c>
      <c r="O686" s="1" t="s">
        <v>1277</v>
      </c>
      <c r="P686" s="44">
        <v>161</v>
      </c>
      <c r="Q686" s="23">
        <v>254</v>
      </c>
      <c r="R686" s="4">
        <v>100000</v>
      </c>
      <c r="S686" s="4">
        <f>+(P686/R686)*[1]Population!$C$2*0.34</f>
        <v>182448.42</v>
      </c>
      <c r="T686" s="4">
        <f>+(Q686/R686)*[1]Population!$C$2*0.34</f>
        <v>287837.88</v>
      </c>
      <c r="U686" s="1">
        <f>+AVERAGE(S686:T686)</f>
        <v>235143.15000000002</v>
      </c>
      <c r="V686" s="5">
        <f>+(U686/[1]Population!$C$2)*100000</f>
        <v>70.550000000000011</v>
      </c>
      <c r="W686" s="23"/>
      <c r="X686" s="22" t="s">
        <v>1606</v>
      </c>
      <c r="Y686" s="41"/>
    </row>
    <row r="687" spans="1:25" ht="13.95" customHeight="1">
      <c r="A687" s="23" t="s">
        <v>49</v>
      </c>
      <c r="B687" s="23" t="s">
        <v>86</v>
      </c>
      <c r="C687" s="23" t="s">
        <v>86</v>
      </c>
      <c r="D687" s="23" t="str">
        <f t="shared" si="13"/>
        <v>Unconfirmed</v>
      </c>
      <c r="E687" s="32" t="s">
        <v>1613</v>
      </c>
      <c r="F687" s="23" t="s">
        <v>1614</v>
      </c>
      <c r="G687" s="69" t="s">
        <v>34</v>
      </c>
      <c r="H687" s="33">
        <v>95794005</v>
      </c>
      <c r="I687" s="23"/>
      <c r="J687" s="23"/>
      <c r="K687" s="23"/>
      <c r="L687" s="23"/>
      <c r="M687" s="23"/>
      <c r="N687" s="22"/>
      <c r="O687" s="23"/>
      <c r="P687" s="23"/>
      <c r="Q687" s="23"/>
      <c r="R687" s="4"/>
      <c r="S687" s="23">
        <v>0</v>
      </c>
      <c r="T687" s="23">
        <v>0</v>
      </c>
      <c r="U687" s="23">
        <v>0</v>
      </c>
      <c r="V687" s="5">
        <v>0</v>
      </c>
      <c r="W687" s="39"/>
      <c r="X687" s="22"/>
      <c r="Y687" s="41"/>
    </row>
    <row r="688" spans="1:25" ht="13.95" customHeight="1">
      <c r="A688" s="23" t="s">
        <v>49</v>
      </c>
      <c r="B688" s="23" t="s">
        <v>86</v>
      </c>
      <c r="C688" s="23" t="s">
        <v>86</v>
      </c>
      <c r="D688" s="23" t="str">
        <f t="shared" si="13"/>
        <v>Unconfirmed</v>
      </c>
      <c r="E688" s="32" t="s">
        <v>1613</v>
      </c>
      <c r="F688" s="23" t="s">
        <v>1613</v>
      </c>
      <c r="G688" s="69" t="s">
        <v>25</v>
      </c>
      <c r="H688" s="33">
        <v>95794005</v>
      </c>
      <c r="I688" s="23">
        <v>4317989</v>
      </c>
      <c r="J688" s="22" t="s">
        <v>1615</v>
      </c>
      <c r="K688" s="2" t="s">
        <v>1616</v>
      </c>
      <c r="L688" s="2" t="s">
        <v>1617</v>
      </c>
      <c r="M688" s="23" t="s">
        <v>78</v>
      </c>
      <c r="N688" s="22" t="s">
        <v>1619</v>
      </c>
      <c r="O688" s="23" t="s">
        <v>1485</v>
      </c>
      <c r="P688" s="23"/>
      <c r="Q688" s="23"/>
      <c r="R688" s="4">
        <v>0</v>
      </c>
      <c r="S688" s="4">
        <v>300</v>
      </c>
      <c r="T688" s="4">
        <v>300</v>
      </c>
      <c r="U688" s="1">
        <f>+AVERAGE(S688:T688)</f>
        <v>300</v>
      </c>
      <c r="V688" s="5">
        <f>+(U688/[1]Population!$C$2)*100000</f>
        <v>9.0009000900090008E-2</v>
      </c>
      <c r="W688" s="23"/>
      <c r="X688" s="22" t="s">
        <v>1618</v>
      </c>
      <c r="Y688" s="40"/>
    </row>
    <row r="689" spans="1:25" ht="13.95" customHeight="1">
      <c r="A689" s="23" t="s">
        <v>49</v>
      </c>
      <c r="B689" s="23" t="s">
        <v>86</v>
      </c>
      <c r="C689" s="23" t="s">
        <v>86</v>
      </c>
      <c r="D689" s="23" t="str">
        <f t="shared" si="13"/>
        <v>Unconfirmed</v>
      </c>
      <c r="E689" s="32" t="s">
        <v>1613</v>
      </c>
      <c r="F689" s="23" t="s">
        <v>1620</v>
      </c>
      <c r="G689" s="69" t="s">
        <v>36</v>
      </c>
      <c r="H689" s="33">
        <v>95794005</v>
      </c>
      <c r="I689" s="23"/>
      <c r="J689" s="23"/>
      <c r="K689" s="23"/>
      <c r="L689" s="23"/>
      <c r="M689" s="23"/>
      <c r="N689" s="22"/>
      <c r="O689" s="23"/>
      <c r="P689" s="23"/>
      <c r="Q689" s="23"/>
      <c r="R689" s="4"/>
      <c r="S689" s="23">
        <v>0</v>
      </c>
      <c r="T689" s="23">
        <v>0</v>
      </c>
      <c r="U689" s="23">
        <v>0</v>
      </c>
      <c r="V689" s="5">
        <v>0</v>
      </c>
      <c r="W689" s="39"/>
      <c r="X689" s="22"/>
      <c r="Y689" s="41"/>
    </row>
    <row r="690" spans="1:25" ht="13.95" customHeight="1">
      <c r="A690" s="23" t="s">
        <v>49</v>
      </c>
      <c r="B690" s="23" t="s">
        <v>86</v>
      </c>
      <c r="C690" s="23" t="s">
        <v>86</v>
      </c>
      <c r="D690" s="23" t="str">
        <f t="shared" si="13"/>
        <v>Unconfirmed</v>
      </c>
      <c r="E690" s="32" t="s">
        <v>1613</v>
      </c>
      <c r="F690" s="23" t="s">
        <v>1621</v>
      </c>
      <c r="G690" s="69" t="s">
        <v>36</v>
      </c>
      <c r="H690" s="33">
        <v>95794005</v>
      </c>
      <c r="I690" s="23"/>
      <c r="J690" s="23"/>
      <c r="K690" s="23"/>
      <c r="L690" s="23"/>
      <c r="M690" s="23"/>
      <c r="N690" s="22"/>
      <c r="O690" s="23"/>
      <c r="P690" s="23"/>
      <c r="Q690" s="23"/>
      <c r="R690" s="4"/>
      <c r="S690" s="23">
        <v>0</v>
      </c>
      <c r="T690" s="23">
        <v>0</v>
      </c>
      <c r="U690" s="23">
        <v>0</v>
      </c>
      <c r="V690" s="5">
        <v>0</v>
      </c>
      <c r="W690" s="39"/>
      <c r="X690" s="22"/>
      <c r="Y690" s="41"/>
    </row>
    <row r="691" spans="1:25" ht="13.95" customHeight="1">
      <c r="A691" s="23" t="s">
        <v>49</v>
      </c>
      <c r="B691" s="23" t="s">
        <v>86</v>
      </c>
      <c r="C691" s="23" t="s">
        <v>86</v>
      </c>
      <c r="D691" s="23" t="str">
        <f t="shared" si="13"/>
        <v>Unconfirmed</v>
      </c>
      <c r="E691" s="32" t="s">
        <v>1613</v>
      </c>
      <c r="F691" s="23" t="s">
        <v>1622</v>
      </c>
      <c r="G691" s="69" t="s">
        <v>36</v>
      </c>
      <c r="H691" s="33">
        <v>95794005</v>
      </c>
      <c r="I691" s="23"/>
      <c r="J691" s="23"/>
      <c r="K691" s="23"/>
      <c r="L691" s="23"/>
      <c r="M691" s="23"/>
      <c r="N691" s="22"/>
      <c r="O691" s="23"/>
      <c r="P691" s="23"/>
      <c r="Q691" s="23"/>
      <c r="R691" s="4"/>
      <c r="S691" s="23">
        <v>0</v>
      </c>
      <c r="T691" s="23">
        <v>0</v>
      </c>
      <c r="U691" s="23">
        <v>0</v>
      </c>
      <c r="V691" s="5">
        <v>0</v>
      </c>
      <c r="W691" s="39"/>
      <c r="X691" s="22"/>
      <c r="Y691" s="41"/>
    </row>
    <row r="692" spans="1:25" ht="13.95" customHeight="1">
      <c r="A692" s="23" t="s">
        <v>146</v>
      </c>
      <c r="B692" s="23" t="s">
        <v>22</v>
      </c>
      <c r="C692" s="23" t="s">
        <v>23</v>
      </c>
      <c r="D692" s="23" t="str">
        <f t="shared" si="13"/>
        <v>Autoimmune</v>
      </c>
      <c r="E692" s="32" t="s">
        <v>1623</v>
      </c>
      <c r="F692" s="23" t="s">
        <v>1623</v>
      </c>
      <c r="G692" s="69" t="s">
        <v>25</v>
      </c>
      <c r="H692" s="33">
        <v>16631009</v>
      </c>
      <c r="I692" s="23">
        <v>443904</v>
      </c>
      <c r="J692" s="22" t="s">
        <v>1624</v>
      </c>
      <c r="K692" s="2" t="s">
        <v>1625</v>
      </c>
      <c r="L692" s="2" t="s">
        <v>1626</v>
      </c>
      <c r="M692" s="3" t="s">
        <v>78</v>
      </c>
      <c r="N692" s="22" t="s">
        <v>1629</v>
      </c>
      <c r="O692" s="45" t="s">
        <v>1627</v>
      </c>
      <c r="P692" s="23">
        <v>2.46</v>
      </c>
      <c r="Q692" s="23"/>
      <c r="R692" s="4">
        <v>100000</v>
      </c>
      <c r="S692" s="4">
        <f>+(P692/R692)*[1]Population!$C$2</f>
        <v>8199.18</v>
      </c>
      <c r="T692" s="4">
        <f>IF(ISBLANK(Q692),S692,+(Q692/R692)*[1]Population!$C$2)</f>
        <v>8199.18</v>
      </c>
      <c r="U692" s="1">
        <f>+AVERAGE(S692:T692)</f>
        <v>8199.18</v>
      </c>
      <c r="V692" s="5">
        <f>+(U692/[1]Population!$C$2)*100000</f>
        <v>2.46</v>
      </c>
      <c r="W692" s="23"/>
      <c r="X692" s="22" t="s">
        <v>1628</v>
      </c>
      <c r="Y692" s="41"/>
    </row>
    <row r="693" spans="1:25" ht="13.95" customHeight="1">
      <c r="A693" s="23" t="s">
        <v>146</v>
      </c>
      <c r="B693" s="23" t="s">
        <v>22</v>
      </c>
      <c r="C693" s="23" t="s">
        <v>23</v>
      </c>
      <c r="D693" s="23" t="str">
        <f t="shared" si="13"/>
        <v>Autoimmune</v>
      </c>
      <c r="E693" s="32" t="s">
        <v>1623</v>
      </c>
      <c r="F693" s="23" t="s">
        <v>1630</v>
      </c>
      <c r="G693" s="69" t="s">
        <v>36</v>
      </c>
      <c r="H693" s="33">
        <v>16631009</v>
      </c>
      <c r="I693" s="23"/>
      <c r="J693" s="23"/>
      <c r="K693" s="23"/>
      <c r="L693" s="23"/>
      <c r="M693" s="23"/>
      <c r="N693" s="22"/>
      <c r="O693" s="23"/>
      <c r="P693" s="23"/>
      <c r="Q693" s="23"/>
      <c r="R693" s="4"/>
      <c r="S693" s="23">
        <v>0</v>
      </c>
      <c r="T693" s="23">
        <v>0</v>
      </c>
      <c r="U693" s="23">
        <v>0</v>
      </c>
      <c r="V693" s="5">
        <v>0</v>
      </c>
      <c r="W693" s="39"/>
      <c r="X693" s="22"/>
      <c r="Y693" s="41"/>
    </row>
    <row r="694" spans="1:25" ht="13.95" customHeight="1">
      <c r="A694" s="23" t="s">
        <v>281</v>
      </c>
      <c r="B694" s="23" t="s">
        <v>238</v>
      </c>
      <c r="C694" s="23" t="s">
        <v>73</v>
      </c>
      <c r="D694" s="23" t="str">
        <f t="shared" si="13"/>
        <v>Autoimmune</v>
      </c>
      <c r="E694" s="32" t="s">
        <v>896</v>
      </c>
      <c r="F694" s="23" t="s">
        <v>896</v>
      </c>
      <c r="G694" s="69" t="s">
        <v>25</v>
      </c>
      <c r="H694" s="33">
        <v>64766004</v>
      </c>
      <c r="I694" s="23">
        <v>81893</v>
      </c>
      <c r="J694" s="22" t="s">
        <v>1631</v>
      </c>
      <c r="K694" s="2" t="s">
        <v>564</v>
      </c>
      <c r="L694" s="2" t="s">
        <v>565</v>
      </c>
      <c r="M694" s="23" t="s">
        <v>78</v>
      </c>
      <c r="N694" s="22" t="s">
        <v>1632</v>
      </c>
      <c r="O694" s="67"/>
      <c r="P694" s="4">
        <v>490.50000000000006</v>
      </c>
      <c r="Q694" s="4">
        <v>630</v>
      </c>
      <c r="R694" s="4">
        <v>100000</v>
      </c>
      <c r="S694" s="4">
        <f>+(P694/R694)*[1]Population!$C$2</f>
        <v>1634836.5000000002</v>
      </c>
      <c r="T694" s="4">
        <f>IF(ISBLANK(Q694),S694,+(Q694/R694)*[1]Population!$C$2)</f>
        <v>2099790</v>
      </c>
      <c r="U694" s="1">
        <f>+AVERAGE(S694:T694)</f>
        <v>1867313.25</v>
      </c>
      <c r="V694" s="5">
        <f>+(U694/[1]Population!$C$2)*100000</f>
        <v>560.25</v>
      </c>
      <c r="W694" s="23"/>
      <c r="X694" s="22" t="s">
        <v>566</v>
      </c>
      <c r="Y694" s="40"/>
    </row>
    <row r="695" spans="1:25" ht="13.95" customHeight="1">
      <c r="A695" s="23" t="s">
        <v>112</v>
      </c>
      <c r="B695" s="23" t="s">
        <v>86</v>
      </c>
      <c r="C695" s="23" t="s">
        <v>73</v>
      </c>
      <c r="D695" s="23" t="str">
        <f t="shared" si="13"/>
        <v>Unconfirmed</v>
      </c>
      <c r="E695" s="32" t="s">
        <v>1633</v>
      </c>
      <c r="F695" s="23" t="s">
        <v>1634</v>
      </c>
      <c r="G695" s="69" t="s">
        <v>34</v>
      </c>
      <c r="H695" s="33">
        <v>239918008</v>
      </c>
      <c r="I695" s="23"/>
      <c r="J695" s="23"/>
      <c r="K695" s="23"/>
      <c r="L695" s="23"/>
      <c r="M695" s="23"/>
      <c r="N695" s="22"/>
      <c r="O695" s="23"/>
      <c r="P695" s="23"/>
      <c r="Q695" s="23"/>
      <c r="R695" s="4"/>
      <c r="S695" s="23">
        <v>0</v>
      </c>
      <c r="T695" s="23">
        <v>0</v>
      </c>
      <c r="U695" s="23">
        <v>0</v>
      </c>
      <c r="V695" s="5">
        <v>0</v>
      </c>
      <c r="W695" s="39"/>
      <c r="X695" s="22"/>
      <c r="Y695" s="41"/>
    </row>
    <row r="696" spans="1:25" ht="13.95" customHeight="1">
      <c r="A696" s="23" t="s">
        <v>112</v>
      </c>
      <c r="B696" s="23" t="s">
        <v>86</v>
      </c>
      <c r="C696" s="23" t="s">
        <v>73</v>
      </c>
      <c r="D696" s="23" t="str">
        <f t="shared" si="13"/>
        <v>Unconfirmed</v>
      </c>
      <c r="E696" s="32" t="s">
        <v>1633</v>
      </c>
      <c r="F696" s="23" t="s">
        <v>1633</v>
      </c>
      <c r="G696" s="69" t="s">
        <v>25</v>
      </c>
      <c r="H696" s="33">
        <v>239918008</v>
      </c>
      <c r="I696" s="23">
        <v>4344165</v>
      </c>
      <c r="J696" s="22" t="s">
        <v>1635</v>
      </c>
      <c r="K696" s="2" t="s">
        <v>1636</v>
      </c>
      <c r="L696" s="2" t="s">
        <v>1637</v>
      </c>
      <c r="M696" s="3" t="s">
        <v>29</v>
      </c>
      <c r="N696" s="22" t="s">
        <v>1639</v>
      </c>
      <c r="O696" s="1"/>
      <c r="P696" s="23">
        <v>14</v>
      </c>
      <c r="Q696" s="23">
        <v>140</v>
      </c>
      <c r="R696" s="4">
        <v>100000</v>
      </c>
      <c r="S696" s="4">
        <f>+(P696/R696)*[1]Population!$C$2</f>
        <v>46661.999999999993</v>
      </c>
      <c r="T696" s="4">
        <f>IF(ISBLANK(Q696),S696,+(Q696/R696)*[1]Population!$C$2)</f>
        <v>466620</v>
      </c>
      <c r="U696" s="1">
        <f>+AVERAGE(S696:T696)</f>
        <v>256641</v>
      </c>
      <c r="V696" s="5">
        <f>+(U696/[1]Population!$C$2)*100000</f>
        <v>77</v>
      </c>
      <c r="W696" s="23"/>
      <c r="X696" s="22" t="s">
        <v>1638</v>
      </c>
      <c r="Y696" s="41"/>
    </row>
    <row r="697" spans="1:25" ht="13.95" customHeight="1">
      <c r="A697" s="23" t="s">
        <v>112</v>
      </c>
      <c r="B697" s="23" t="s">
        <v>86</v>
      </c>
      <c r="C697" s="23" t="s">
        <v>73</v>
      </c>
      <c r="D697" s="23" t="str">
        <f t="shared" si="13"/>
        <v>Unconfirmed</v>
      </c>
      <c r="E697" s="32" t="s">
        <v>1633</v>
      </c>
      <c r="F697" s="23" t="s">
        <v>1640</v>
      </c>
      <c r="G697" s="69" t="s">
        <v>36</v>
      </c>
      <c r="H697" s="33">
        <v>239918008</v>
      </c>
      <c r="I697" s="23"/>
      <c r="J697" s="23"/>
      <c r="K697" s="23"/>
      <c r="L697" s="23"/>
      <c r="M697" s="23"/>
      <c r="N697" s="22"/>
      <c r="O697" s="23"/>
      <c r="P697" s="23"/>
      <c r="Q697" s="23"/>
      <c r="R697" s="4"/>
      <c r="S697" s="23">
        <v>0</v>
      </c>
      <c r="T697" s="23">
        <v>0</v>
      </c>
      <c r="U697" s="23">
        <v>0</v>
      </c>
      <c r="V697" s="5">
        <v>0</v>
      </c>
      <c r="W697" s="39"/>
      <c r="X697" s="22"/>
      <c r="Y697" s="41"/>
    </row>
    <row r="698" spans="1:25" ht="13.95" customHeight="1">
      <c r="A698" s="23" t="s">
        <v>72</v>
      </c>
      <c r="B698" s="23" t="s">
        <v>22</v>
      </c>
      <c r="C698" s="23" t="s">
        <v>73</v>
      </c>
      <c r="D698" s="23" t="str">
        <f t="shared" si="13"/>
        <v>Autoimmune</v>
      </c>
      <c r="E698" s="32" t="s">
        <v>1641</v>
      </c>
      <c r="F698" s="23" t="s">
        <v>1641</v>
      </c>
      <c r="G698" s="69" t="s">
        <v>25</v>
      </c>
      <c r="H698" s="33">
        <v>402656007</v>
      </c>
      <c r="I698" s="23">
        <v>4292532</v>
      </c>
      <c r="J698" s="22" t="s">
        <v>1642</v>
      </c>
      <c r="K698" s="23" t="s">
        <v>1643</v>
      </c>
      <c r="L698" s="10" t="s">
        <v>1644</v>
      </c>
      <c r="M698" s="23" t="s">
        <v>78</v>
      </c>
      <c r="N698" s="22"/>
      <c r="O698" s="23" t="s">
        <v>1645</v>
      </c>
      <c r="P698" s="23"/>
      <c r="Q698" s="23"/>
      <c r="R698" s="4"/>
      <c r="S698" s="4">
        <v>53328</v>
      </c>
      <c r="T698" s="4">
        <v>719928</v>
      </c>
      <c r="U698" s="1">
        <f>+AVERAGE(S698:T698)</f>
        <v>386628</v>
      </c>
      <c r="V698" s="5">
        <f>+(U698/[1]Population!$C$2)*100000</f>
        <v>116</v>
      </c>
      <c r="W698" s="39"/>
      <c r="X698" s="41" t="s">
        <v>1646</v>
      </c>
      <c r="Y698" s="41"/>
    </row>
    <row r="699" spans="1:25" ht="13.95" customHeight="1">
      <c r="A699" s="23" t="s">
        <v>49</v>
      </c>
      <c r="B699" s="23" t="s">
        <v>218</v>
      </c>
      <c r="C699" s="23" t="s">
        <v>73</v>
      </c>
      <c r="D699" s="23" t="str">
        <f t="shared" si="13"/>
        <v>Autoimmune</v>
      </c>
      <c r="E699" s="32" t="s">
        <v>1647</v>
      </c>
      <c r="F699" s="23" t="s">
        <v>1647</v>
      </c>
      <c r="G699" s="69" t="s">
        <v>25</v>
      </c>
      <c r="H699" s="33">
        <v>128473001</v>
      </c>
      <c r="I699" s="23">
        <v>4028363</v>
      </c>
      <c r="J699" s="22" t="s">
        <v>1648</v>
      </c>
      <c r="K699" s="2" t="s">
        <v>1649</v>
      </c>
      <c r="L699" s="2" t="s">
        <v>1650</v>
      </c>
      <c r="M699" s="3" t="s">
        <v>78</v>
      </c>
      <c r="N699" s="22" t="s">
        <v>1653</v>
      </c>
      <c r="O699" s="23" t="s">
        <v>1651</v>
      </c>
      <c r="P699" s="23">
        <v>103.2</v>
      </c>
      <c r="Q699" s="23"/>
      <c r="R699" s="4">
        <v>100000</v>
      </c>
      <c r="S699" s="4">
        <f>+(P699/R699)*[1]Population!$C$2</f>
        <v>343965.6</v>
      </c>
      <c r="T699" s="4">
        <f>IF(ISBLANK(Q699),S699,+(Q699/R699)*[1]Population!$C$2)</f>
        <v>343965.6</v>
      </c>
      <c r="U699" s="1">
        <f>+AVERAGE(S699:T699)</f>
        <v>343965.6</v>
      </c>
      <c r="V699" s="5">
        <f>+(U699/[1]Population!$C$2)*100000</f>
        <v>103.19999999999999</v>
      </c>
      <c r="W699" s="23"/>
      <c r="X699" s="22" t="s">
        <v>1652</v>
      </c>
      <c r="Y699" s="41"/>
    </row>
    <row r="700" spans="1:25" ht="13.95" customHeight="1">
      <c r="A700" s="23" t="s">
        <v>49</v>
      </c>
      <c r="B700" s="23" t="s">
        <v>218</v>
      </c>
      <c r="C700" s="23" t="s">
        <v>73</v>
      </c>
      <c r="D700" s="23" t="str">
        <f t="shared" si="13"/>
        <v>Autoimmune</v>
      </c>
      <c r="E700" s="32" t="s">
        <v>1647</v>
      </c>
      <c r="F700" s="23" t="s">
        <v>1654</v>
      </c>
      <c r="G700" s="69" t="s">
        <v>36</v>
      </c>
      <c r="H700" s="33">
        <v>128473001</v>
      </c>
      <c r="I700" s="23"/>
      <c r="J700" s="23"/>
      <c r="K700" s="23"/>
      <c r="L700" s="23"/>
      <c r="M700" s="23"/>
      <c r="N700" s="22"/>
      <c r="O700" s="23"/>
      <c r="P700" s="23"/>
      <c r="Q700" s="23"/>
      <c r="R700" s="4"/>
      <c r="S700" s="23">
        <v>0</v>
      </c>
      <c r="T700" s="23">
        <v>0</v>
      </c>
      <c r="U700" s="23">
        <v>0</v>
      </c>
      <c r="V700" s="5">
        <v>0</v>
      </c>
      <c r="W700" s="39"/>
      <c r="X700" s="22"/>
      <c r="Y700" s="41"/>
    </row>
    <row r="701" spans="1:25" ht="13.95" customHeight="1">
      <c r="A701" s="23" t="s">
        <v>49</v>
      </c>
      <c r="B701" s="23" t="s">
        <v>218</v>
      </c>
      <c r="C701" s="23" t="s">
        <v>73</v>
      </c>
      <c r="D701" s="23" t="str">
        <f t="shared" si="13"/>
        <v>Autoimmune</v>
      </c>
      <c r="E701" s="32" t="s">
        <v>1647</v>
      </c>
      <c r="F701" s="23" t="s">
        <v>1655</v>
      </c>
      <c r="G701" s="69" t="s">
        <v>36</v>
      </c>
      <c r="H701" s="33">
        <v>128473001</v>
      </c>
      <c r="I701" s="23"/>
      <c r="J701" s="23"/>
      <c r="K701" s="23"/>
      <c r="L701" s="23"/>
      <c r="M701" s="23"/>
      <c r="N701" s="22"/>
      <c r="O701" s="23"/>
      <c r="P701" s="23"/>
      <c r="Q701" s="23"/>
      <c r="R701" s="4"/>
      <c r="S701" s="23">
        <v>0</v>
      </c>
      <c r="T701" s="23">
        <v>0</v>
      </c>
      <c r="U701" s="23">
        <v>0</v>
      </c>
      <c r="V701" s="5">
        <v>0</v>
      </c>
      <c r="W701" s="39"/>
      <c r="X701" s="22"/>
      <c r="Y701" s="41"/>
    </row>
    <row r="702" spans="1:25" ht="13.95" customHeight="1">
      <c r="A702" s="23" t="s">
        <v>21</v>
      </c>
      <c r="B702" s="23" t="s">
        <v>22</v>
      </c>
      <c r="C702" s="23" t="s">
        <v>73</v>
      </c>
      <c r="D702" s="23" t="str">
        <f t="shared" si="13"/>
        <v>Autoimmune</v>
      </c>
      <c r="E702" s="32" t="s">
        <v>1656</v>
      </c>
      <c r="F702" s="23" t="s">
        <v>1656</v>
      </c>
      <c r="G702" s="69" t="s">
        <v>25</v>
      </c>
      <c r="H702" s="33">
        <v>56727007</v>
      </c>
      <c r="I702" s="23">
        <v>138502</v>
      </c>
      <c r="J702" s="22" t="s">
        <v>1657</v>
      </c>
      <c r="K702" s="2" t="s">
        <v>1658</v>
      </c>
      <c r="L702" s="2" t="s">
        <v>1659</v>
      </c>
      <c r="M702" s="3" t="s">
        <v>78</v>
      </c>
      <c r="N702" s="22" t="s">
        <v>1661</v>
      </c>
      <c r="O702" s="23"/>
      <c r="P702" s="23">
        <v>100</v>
      </c>
      <c r="Q702" s="23">
        <v>200</v>
      </c>
      <c r="R702" s="4">
        <v>100000</v>
      </c>
      <c r="S702" s="4">
        <f>+(P702/R702)*[1]Population!$C$2</f>
        <v>333300</v>
      </c>
      <c r="T702" s="4">
        <f>IF(ISBLANK(Q702),S702,+(Q702/R702)*[1]Population!$C$2)</f>
        <v>666600</v>
      </c>
      <c r="U702" s="1">
        <f>+AVERAGE(S702:T702)</f>
        <v>499950</v>
      </c>
      <c r="V702" s="5">
        <f>+(U702/[1]Population!$C$2)*100000</f>
        <v>150</v>
      </c>
      <c r="W702" s="23"/>
      <c r="X702" s="22" t="s">
        <v>1660</v>
      </c>
      <c r="Y702" s="8" t="s">
        <v>1662</v>
      </c>
    </row>
    <row r="703" spans="1:25" ht="13.95" customHeight="1">
      <c r="A703" s="23" t="s">
        <v>21</v>
      </c>
      <c r="B703" s="23" t="s">
        <v>22</v>
      </c>
      <c r="C703" s="23" t="s">
        <v>73</v>
      </c>
      <c r="D703" s="23" t="str">
        <f t="shared" si="13"/>
        <v>Autoimmune</v>
      </c>
      <c r="E703" s="32" t="s">
        <v>1656</v>
      </c>
      <c r="F703" s="23" t="s">
        <v>1663</v>
      </c>
      <c r="G703" s="69" t="s">
        <v>36</v>
      </c>
      <c r="H703" s="33">
        <v>56727007</v>
      </c>
      <c r="I703" s="23"/>
      <c r="J703" s="23"/>
      <c r="K703" s="23"/>
      <c r="L703" s="23"/>
      <c r="M703" s="23"/>
      <c r="N703" s="22"/>
      <c r="O703" s="23"/>
      <c r="P703" s="23"/>
      <c r="Q703" s="23"/>
      <c r="R703" s="4"/>
      <c r="S703" s="23">
        <v>0</v>
      </c>
      <c r="T703" s="23">
        <v>0</v>
      </c>
      <c r="U703" s="23">
        <v>0</v>
      </c>
      <c r="V703" s="5">
        <v>0</v>
      </c>
      <c r="W703" s="39"/>
      <c r="X703" s="22"/>
      <c r="Y703" s="41"/>
    </row>
    <row r="704" spans="1:25" ht="13.95" customHeight="1">
      <c r="A704" s="23" t="s">
        <v>72</v>
      </c>
      <c r="B704" s="23" t="s">
        <v>22</v>
      </c>
      <c r="C704" s="23" t="s">
        <v>73</v>
      </c>
      <c r="D704" s="23" t="str">
        <f t="shared" si="13"/>
        <v>Autoimmune</v>
      </c>
      <c r="E704" s="32" t="s">
        <v>1664</v>
      </c>
      <c r="F704" s="23" t="s">
        <v>1664</v>
      </c>
      <c r="G704" s="69" t="s">
        <v>25</v>
      </c>
      <c r="H704" s="33">
        <v>193497004</v>
      </c>
      <c r="I704" s="23">
        <v>4108968</v>
      </c>
      <c r="J704" s="22" t="s">
        <v>1665</v>
      </c>
      <c r="K704" s="10" t="s">
        <v>1666</v>
      </c>
      <c r="L704" s="2" t="s">
        <v>1667</v>
      </c>
      <c r="M704" s="3" t="s">
        <v>29</v>
      </c>
      <c r="N704" s="22" t="s">
        <v>1668</v>
      </c>
      <c r="O704" s="1"/>
      <c r="P704" s="23">
        <v>1.5</v>
      </c>
      <c r="Q704" s="23">
        <v>6</v>
      </c>
      <c r="R704" s="4">
        <v>1000000</v>
      </c>
      <c r="S704" s="4">
        <f>+(P704/R704)*[1]Population!$C$2</f>
        <v>499.95</v>
      </c>
      <c r="T704" s="4">
        <f>IF(ISBLANK(Q704),S704,+(Q704/R704)*[1]Population!$C$2)</f>
        <v>1999.8</v>
      </c>
      <c r="U704" s="1">
        <f>+AVERAGE(S704:T704)</f>
        <v>1249.875</v>
      </c>
      <c r="V704" s="5">
        <f>+(U704/[1]Population!$C$2)*100000</f>
        <v>0.375</v>
      </c>
      <c r="W704" s="39"/>
      <c r="X704" s="22"/>
      <c r="Y704" s="22" t="s">
        <v>1669</v>
      </c>
    </row>
    <row r="705" spans="1:25" ht="13.95" customHeight="1">
      <c r="A705" s="23" t="s">
        <v>38</v>
      </c>
      <c r="B705" s="23" t="s">
        <v>22</v>
      </c>
      <c r="C705" s="23" t="s">
        <v>73</v>
      </c>
      <c r="D705" s="23" t="str">
        <f t="shared" si="13"/>
        <v>Autoimmune</v>
      </c>
      <c r="E705" s="32" t="s">
        <v>1670</v>
      </c>
      <c r="F705" s="23" t="s">
        <v>1670</v>
      </c>
      <c r="G705" s="69" t="s">
        <v>25</v>
      </c>
      <c r="H705" s="33">
        <v>3978000</v>
      </c>
      <c r="I705" s="23">
        <v>4219853</v>
      </c>
      <c r="J705" s="22" t="s">
        <v>1671</v>
      </c>
      <c r="K705" s="2" t="s">
        <v>385</v>
      </c>
      <c r="L705" s="2" t="s">
        <v>386</v>
      </c>
      <c r="M705" s="9" t="s">
        <v>78</v>
      </c>
      <c r="N705" s="22" t="s">
        <v>1673</v>
      </c>
      <c r="O705" s="4"/>
      <c r="P705" s="23">
        <v>0.11</v>
      </c>
      <c r="Q705" s="23">
        <v>0.13</v>
      </c>
      <c r="R705" s="4">
        <v>1000</v>
      </c>
      <c r="S705" s="4">
        <f>+(P705/R705)*[1]Population!$C$2</f>
        <v>36663</v>
      </c>
      <c r="T705" s="4">
        <f>IF(ISBLANK(Q705),S705,+(Q705/R705)*[1]Population!$C$2)</f>
        <v>43329.000000000007</v>
      </c>
      <c r="U705" s="1">
        <f>+AVERAGE(S705:T705)</f>
        <v>39996</v>
      </c>
      <c r="V705" s="5">
        <f>+(U705/[1]Population!$C$2)*100000</f>
        <v>12</v>
      </c>
      <c r="W705" s="23"/>
      <c r="X705" s="22" t="s">
        <v>1672</v>
      </c>
      <c r="Y705" s="41"/>
    </row>
    <row r="706" spans="1:25" ht="13.95" customHeight="1">
      <c r="A706" s="23" t="s">
        <v>38</v>
      </c>
      <c r="B706" s="23" t="s">
        <v>22</v>
      </c>
      <c r="C706" s="23" t="s">
        <v>73</v>
      </c>
      <c r="D706" s="23" t="str">
        <f t="shared" si="13"/>
        <v>Autoimmune</v>
      </c>
      <c r="E706" s="32" t="s">
        <v>1670</v>
      </c>
      <c r="F706" s="23" t="s">
        <v>1674</v>
      </c>
      <c r="G706" s="69" t="s">
        <v>36</v>
      </c>
      <c r="H706" s="33">
        <v>3978000</v>
      </c>
      <c r="I706" s="23"/>
      <c r="J706" s="23"/>
      <c r="K706" s="23"/>
      <c r="L706" s="23"/>
      <c r="M706" s="23"/>
      <c r="N706" s="22"/>
      <c r="O706" s="23"/>
      <c r="P706" s="23"/>
      <c r="Q706" s="23"/>
      <c r="R706" s="4"/>
      <c r="S706" s="23">
        <v>0</v>
      </c>
      <c r="T706" s="23">
        <v>0</v>
      </c>
      <c r="U706" s="23">
        <v>0</v>
      </c>
      <c r="V706" s="5">
        <v>0</v>
      </c>
      <c r="W706" s="39"/>
      <c r="X706" s="22"/>
      <c r="Y706" s="41"/>
    </row>
    <row r="707" spans="1:25" ht="13.95" customHeight="1">
      <c r="A707" s="23" t="s">
        <v>38</v>
      </c>
      <c r="B707" s="23" t="s">
        <v>22</v>
      </c>
      <c r="C707" s="23" t="s">
        <v>73</v>
      </c>
      <c r="D707" s="23" t="str">
        <f t="shared" si="13"/>
        <v>Autoimmune</v>
      </c>
      <c r="E707" s="32" t="s">
        <v>1670</v>
      </c>
      <c r="F707" s="23" t="s">
        <v>1675</v>
      </c>
      <c r="G707" s="69" t="s">
        <v>36</v>
      </c>
      <c r="H707" s="33">
        <v>3978000</v>
      </c>
      <c r="I707" s="23"/>
      <c r="J707" s="23"/>
      <c r="K707" s="23"/>
      <c r="L707" s="23"/>
      <c r="M707" s="23"/>
      <c r="N707" s="22"/>
      <c r="O707" s="23"/>
      <c r="P707" s="23"/>
      <c r="Q707" s="23"/>
      <c r="R707" s="4"/>
      <c r="S707" s="23">
        <v>0</v>
      </c>
      <c r="T707" s="23">
        <v>0</v>
      </c>
      <c r="U707" s="23">
        <v>0</v>
      </c>
      <c r="V707" s="5">
        <v>0</v>
      </c>
      <c r="W707" s="39"/>
      <c r="X707" s="22"/>
      <c r="Y707" s="41"/>
    </row>
    <row r="708" spans="1:25" ht="13.95" customHeight="1">
      <c r="A708" s="23" t="s">
        <v>38</v>
      </c>
      <c r="B708" s="23" t="s">
        <v>22</v>
      </c>
      <c r="C708" s="23" t="s">
        <v>73</v>
      </c>
      <c r="D708" s="23" t="str">
        <f t="shared" si="13"/>
        <v>Autoimmune</v>
      </c>
      <c r="E708" s="32" t="s">
        <v>1670</v>
      </c>
      <c r="F708" s="23" t="s">
        <v>1676</v>
      </c>
      <c r="G708" s="69" t="s">
        <v>36</v>
      </c>
      <c r="H708" s="33">
        <v>3978000</v>
      </c>
      <c r="I708" s="23"/>
      <c r="J708" s="23"/>
      <c r="K708" s="23"/>
      <c r="L708" s="23"/>
      <c r="M708" s="23"/>
      <c r="N708" s="22"/>
      <c r="O708" s="23"/>
      <c r="P708" s="23"/>
      <c r="Q708" s="23"/>
      <c r="R708" s="4"/>
      <c r="S708" s="23">
        <v>0</v>
      </c>
      <c r="T708" s="23">
        <v>0</v>
      </c>
      <c r="U708" s="23">
        <v>0</v>
      </c>
      <c r="V708" s="5">
        <v>0</v>
      </c>
      <c r="W708" s="39"/>
      <c r="X708" s="22"/>
      <c r="Y708" s="41"/>
    </row>
    <row r="709" spans="1:25" ht="13.95" customHeight="1">
      <c r="A709" s="23" t="s">
        <v>38</v>
      </c>
      <c r="B709" s="23" t="s">
        <v>22</v>
      </c>
      <c r="C709" s="23" t="s">
        <v>73</v>
      </c>
      <c r="D709" s="23" t="str">
        <f t="shared" si="13"/>
        <v>Autoimmune</v>
      </c>
      <c r="E709" s="32" t="s">
        <v>1670</v>
      </c>
      <c r="F709" s="23" t="s">
        <v>1677</v>
      </c>
      <c r="G709" s="69" t="s">
        <v>36</v>
      </c>
      <c r="H709" s="33">
        <v>3978000</v>
      </c>
      <c r="I709" s="23"/>
      <c r="J709" s="23"/>
      <c r="K709" s="23"/>
      <c r="L709" s="23"/>
      <c r="M709" s="23"/>
      <c r="N709" s="22"/>
      <c r="O709" s="23"/>
      <c r="P709" s="23"/>
      <c r="Q709" s="23"/>
      <c r="R709" s="4"/>
      <c r="S709" s="23">
        <v>0</v>
      </c>
      <c r="T709" s="23">
        <v>0</v>
      </c>
      <c r="U709" s="23">
        <v>0</v>
      </c>
      <c r="V709" s="5">
        <v>0</v>
      </c>
      <c r="W709" s="39"/>
      <c r="X709" s="22"/>
      <c r="Y709" s="41"/>
    </row>
    <row r="712" spans="1:25" ht="13.95" customHeight="1">
      <c r="A712" t="s">
        <v>1688</v>
      </c>
    </row>
    <row r="713" spans="1:25" ht="13.95" customHeight="1">
      <c r="A713" t="s">
        <v>1689</v>
      </c>
    </row>
    <row r="714" spans="1:25" ht="13.95" customHeight="1">
      <c r="A714" t="s">
        <v>1690</v>
      </c>
    </row>
    <row r="715" spans="1:25" ht="13.95" customHeight="1">
      <c r="A715" t="s">
        <v>1691</v>
      </c>
    </row>
  </sheetData>
  <mergeCells count="1">
    <mergeCell ref="K2:V2"/>
  </mergeCells>
  <hyperlinks>
    <hyperlink ref="K605" r:id="rId1" xr:uid="{26199414-53AA-4D8C-A733-61A1E646C395}"/>
    <hyperlink ref="K265" r:id="rId2" xr:uid="{2BCBC591-9830-45BB-8888-4DF881E72ABA}"/>
    <hyperlink ref="K631" r:id="rId3" xr:uid="{8CF2D00C-9CFE-4418-84D3-B266CA08E59E}"/>
    <hyperlink ref="K559" r:id="rId4" xr:uid="{95330102-0D44-432E-A89B-B018F15C5AA1}"/>
    <hyperlink ref="K471" r:id="rId5" location=":~:text=anti%2DHu%20syndrome-,Introduction,per%20million%20children%20(2)." xr:uid="{B69412AC-FF66-4E6A-98D7-7AE992A3F2E6}"/>
    <hyperlink ref="K428" r:id="rId6" xr:uid="{54E19275-B0D5-449D-BC88-7309F05218BD}"/>
    <hyperlink ref="K407" r:id="rId7" xr:uid="{008B94EE-CBDD-4941-91E1-40076EE27865}"/>
    <hyperlink ref="K399" r:id="rId8" xr:uid="{572456FF-50F7-4CC4-8F1C-70E3C0BF237B}"/>
    <hyperlink ref="K392" r:id="rId9" xr:uid="{5D717430-5D7B-4E87-A4F1-64E023808148}"/>
    <hyperlink ref="K387" r:id="rId10" xr:uid="{399A9A09-AA47-4AD4-85DE-31F9AFDD8347}"/>
    <hyperlink ref="K646" r:id="rId11" xr:uid="{82316674-A432-4D83-952F-E20F3A13F01F}"/>
    <hyperlink ref="K280" r:id="rId12" xr:uid="{AB92566A-E38B-4738-AA74-FF2B723B9CB7}"/>
    <hyperlink ref="K463" r:id="rId13" xr:uid="{8A2CEA69-E9D5-4183-A362-B23E1C468F1E}"/>
    <hyperlink ref="K286" r:id="rId14" xr:uid="{EB4F4AEF-809C-4E42-A791-37A9CB53183C}"/>
    <hyperlink ref="K261" r:id="rId15" xr:uid="{0FE1B8F4-83E0-4A15-9580-B0FBBE0D30C2}"/>
    <hyperlink ref="K234" r:id="rId16" xr:uid="{6778E27C-D389-4EB4-AF0D-72ED22CBE2E2}"/>
    <hyperlink ref="K224" r:id="rId17" xr:uid="{DD853D4C-1908-4885-B437-2068674D5614}"/>
    <hyperlink ref="K68" r:id="rId18" xr:uid="{A6896717-EC8B-4133-AB3D-3482B038947F}"/>
    <hyperlink ref="K35" r:id="rId19" xr:uid="{FAAA680A-ABB8-49BF-A85E-64CA1310CBB0}"/>
    <hyperlink ref="K283" r:id="rId20" xr:uid="{AA67BE9D-56A2-4F84-94B3-513C749EEF2B}"/>
    <hyperlink ref="K31" r:id="rId21" xr:uid="{3B2DE271-B428-4366-9417-DD6A99AF6895}"/>
    <hyperlink ref="K74" r:id="rId22" xr:uid="{FD4143E6-4CBF-4E4F-8912-14F78F27DBE5}"/>
    <hyperlink ref="K112" r:id="rId23" xr:uid="{9C0B7D75-65A4-478B-87B2-BDC01CE789F7}"/>
    <hyperlink ref="K242" r:id="rId24" xr:uid="{A88CBB66-6599-41D3-AA2B-88A161687ED9}"/>
    <hyperlink ref="K564" r:id="rId25" xr:uid="{C3F31BB2-C9F4-40AA-9402-626F7B1C0FC5}"/>
    <hyperlink ref="K21" r:id="rId26" xr:uid="{0932CD5C-1FD8-4FF8-BF2A-DBDFF028F31B}"/>
    <hyperlink ref="K658" r:id="rId27" xr:uid="{61B7A30C-7398-4A4F-B2C2-4EEF3B0B078A}"/>
    <hyperlink ref="K705" r:id="rId28" xr:uid="{357C3CC1-827A-4C42-B0E7-53A508D79BAD}"/>
    <hyperlink ref="L150" r:id="rId29" display="https://pubmed.ncbi.nlm.nih.gov/?sort=date&amp;term=Scheer+D&amp;cauthor_id=31004158" xr:uid="{FD99FC2E-A8BC-4A1A-B911-0F81751E7A6A}"/>
    <hyperlink ref="K569" r:id="rId30" xr:uid="{90C1343E-F606-4360-88F0-EFAF69F009B2}"/>
    <hyperlink ref="K699" r:id="rId31" xr:uid="{AC396971-A0F5-46D2-ADD7-CE04429264B8}"/>
    <hyperlink ref="K348" r:id="rId32" xr:uid="{21FC82F1-7064-414C-A78A-57F7A69C228C}"/>
    <hyperlink ref="K327" r:id="rId33" xr:uid="{59DB98A7-75F5-4E6C-951E-7DBA7A574D34}"/>
    <hyperlink ref="K223" r:id="rId34" xr:uid="{3A3686F7-35A3-4B16-A2AF-8C45F1B4DDC3}"/>
    <hyperlink ref="K298" r:id="rId35" xr:uid="{DD04C143-AAFE-4E8C-B15F-89F1EBE41A52}"/>
    <hyperlink ref="K199" r:id="rId36" xr:uid="{5A583622-70A0-4A73-83BF-4BB2C9B51361}"/>
    <hyperlink ref="L217" r:id="rId37" display="https://pubmed.ncbi.nlm.nih.gov/?sort=date&amp;term=Di+Raimondo+C&amp;cauthor_id=33040350" xr:uid="{8026E944-BC26-4A89-B45C-8F51CFF59562}"/>
    <hyperlink ref="K217" r:id="rId38" xr:uid="{8FD0C3A9-EF68-45E8-8CF7-FA6371A0D882}"/>
    <hyperlink ref="K245" r:id="rId39" xr:uid="{2F0C237C-0D49-47C7-A3F9-60F13E5E98C6}"/>
    <hyperlink ref="K624" r:id="rId40" xr:uid="{36667FA5-EA16-4798-B259-D3F0A0ADF348}"/>
    <hyperlink ref="K594" r:id="rId41" xr:uid="{73278063-658A-4C14-A5C1-C658416C0C70}"/>
    <hyperlink ref="K591" r:id="rId42" xr:uid="{F377761E-2E5C-4910-A857-35EC047E2107}"/>
    <hyperlink ref="K573" r:id="rId43" xr:uid="{DEA69BFA-8126-43FE-A26F-6E8B9B676E83}"/>
    <hyperlink ref="K13" r:id="rId44" xr:uid="{700D3DFC-73DA-4172-8510-030FEF725E3D}"/>
    <hyperlink ref="K86" r:id="rId45" xr:uid="{0E75E22E-9D72-47F2-A139-07CBAC0E4CFB}"/>
    <hyperlink ref="K105" r:id="rId46" xr:uid="{9485E86A-860A-4E48-A078-31C5E698ABD3}"/>
    <hyperlink ref="K10" r:id="rId47" xr:uid="{0D58B144-6E9E-4FC4-9C4F-B1340BB092F8}"/>
    <hyperlink ref="K75" r:id="rId48" xr:uid="{E17D77B1-0386-4B93-AA38-0A6593DC923E}"/>
    <hyperlink ref="K482" r:id="rId49" xr:uid="{3FC69698-40E4-404F-9FAF-B263FADDB3E9}"/>
    <hyperlink ref="K4" r:id="rId50" xr:uid="{188B906B-80A4-428C-97F4-F0B1422A72A6}"/>
    <hyperlink ref="K377" r:id="rId51" xr:uid="{F07D10B4-6428-48CF-826A-FFE38E1E3FB8}"/>
    <hyperlink ref="K264" r:id="rId52" xr:uid="{DE69AC09-FD84-476A-85BF-61C948845279}"/>
    <hyperlink ref="K61" r:id="rId53" xr:uid="{F4404C0D-C1A4-4749-8232-8E939E86DD9E}"/>
    <hyperlink ref="K113" r:id="rId54" xr:uid="{3D19E68C-228F-4F6B-AA0C-EDEEFF9E93C5}"/>
    <hyperlink ref="K253" r:id="rId55" xr:uid="{FDC41147-1F31-414A-9BC1-078246686A38}"/>
    <hyperlink ref="K120" r:id="rId56" xr:uid="{9E54190F-964C-4AE4-A6D9-64B24F00C654}"/>
    <hyperlink ref="K122" r:id="rId57" xr:uid="{5DF24401-74C5-42EB-9E89-5751D2AE6399}"/>
    <hyperlink ref="K269" r:id="rId58" xr:uid="{05D85084-3D89-4344-AA94-040A8E68FA8B}"/>
    <hyperlink ref="K267" r:id="rId59" xr:uid="{552C4A82-23B8-4F34-A127-E9D5E8AAB464}"/>
    <hyperlink ref="K638" r:id="rId60" xr:uid="{1F69831E-1585-4029-9ED2-21C2FB14BECD}"/>
    <hyperlink ref="K53" r:id="rId61" xr:uid="{AEE06A55-DBFA-4E8D-BF26-9E569F47B9FF}"/>
    <hyperlink ref="K556" r:id="rId62" xr:uid="{CD3A06B1-8D61-46FC-871E-523BADCD9C79}"/>
    <hyperlink ref="K655" r:id="rId63" xr:uid="{A4FA4462-B102-4D7B-97F4-CCCECB960DBD}"/>
    <hyperlink ref="K300" r:id="rId64" xr:uid="{BAD7EAC2-7D8E-41F3-8475-AB5908904B73}"/>
    <hyperlink ref="K665" r:id="rId65" xr:uid="{8F972958-E633-479E-9681-722C8CCCB0A4}"/>
    <hyperlink ref="K704" r:id="rId66" xr:uid="{E2525BA1-BE6B-4252-97ED-18EE32F26B81}"/>
    <hyperlink ref="L37" r:id="rId67" display="https://pubmed.ncbi.nlm.nih.gov/?term=Mukherjee+S&amp;cauthor_id=34535010" xr:uid="{DBDED692-58B5-44C1-A274-310B05C8698C}"/>
    <hyperlink ref="K37" r:id="rId68" xr:uid="{0F9B69FD-5977-4ED6-9082-5A37D267D7C3}"/>
    <hyperlink ref="K90" r:id="rId69" xr:uid="{2D1D8C91-E281-4BC8-8DB2-41CF42B0C4C1}"/>
    <hyperlink ref="K643" r:id="rId70" xr:uid="{20539716-7015-4196-95CC-C056E4FF9D76}"/>
    <hyperlink ref="K427" r:id="rId71" xr:uid="{D3EA3E71-1E6D-404E-A26A-2410FB57523D}"/>
    <hyperlink ref="K398" r:id="rId72" xr:uid="{6260B83C-45F5-4E75-93B9-562768403FFF}"/>
    <hyperlink ref="K24" r:id="rId73" xr:uid="{EEDE465E-F1D9-43F8-B9F3-134EED8751B0}"/>
    <hyperlink ref="K64" r:id="rId74" xr:uid="{0FC490F2-8ADD-47CF-AB99-FDF4F3064414}"/>
    <hyperlink ref="K186" r:id="rId75" xr:uid="{38A4E954-5268-4157-9C73-9DB1C420226F}"/>
    <hyperlink ref="K319" r:id="rId76" xr:uid="{01578393-F210-430A-8DE3-7FFF1341282E}"/>
    <hyperlink ref="K324" r:id="rId77" xr:uid="{92A8BCE9-EA79-4540-AB44-F784B92DA9F3}"/>
    <hyperlink ref="K109" r:id="rId78" xr:uid="{279A5EC4-2D17-462B-8991-E6E3A1AC65E9}"/>
    <hyperlink ref="K318" r:id="rId79" xr:uid="{CF7A4763-F9BF-416E-A200-2C81A777092E}"/>
    <hyperlink ref="K321" r:id="rId80" xr:uid="{269D43F2-C878-40C4-9101-A6D1B3F2DEC1}"/>
    <hyperlink ref="K483" r:id="rId81" xr:uid="{931EBFC9-08B8-48BD-84FF-4DEB2412714F}"/>
    <hyperlink ref="K602" r:id="rId82" xr:uid="{B8AF46E0-1B32-403E-A123-3FB968FC0B2A}"/>
    <hyperlink ref="K595" r:id="rId83" xr:uid="{0F20A8A5-D638-4080-9807-D5A47D78C4A2}"/>
    <hyperlink ref="K597" r:id="rId84" xr:uid="{020112BC-1222-4C8F-BFB0-2E1A83E65716}"/>
    <hyperlink ref="K12" r:id="rId85" xr:uid="{E3CB6002-91E1-4DE0-8B39-E042C646E63A}"/>
    <hyperlink ref="K11" r:id="rId86" xr:uid="{8DC46DC2-790C-4570-A018-3C1206B50D55}"/>
    <hyperlink ref="K465" r:id="rId87" xr:uid="{ED86BB0C-4BFD-4B0C-A79E-F3F0199D77E0}"/>
    <hyperlink ref="K347" r:id="rId88" xr:uid="{5AF15D01-F3B4-4FE9-A650-A43C7F991585}"/>
    <hyperlink ref="K352" r:id="rId89" xr:uid="{8BB3FED0-D918-445F-B795-E4D5828DFF58}"/>
    <hyperlink ref="K647" r:id="rId90" xr:uid="{227121DE-7D85-4301-B40F-769DAE93581B}"/>
    <hyperlink ref="K649" r:id="rId91" xr:uid="{36A4B05C-8D83-4EDB-AA7F-A38BB5BEFBC7}"/>
    <hyperlink ref="K277" r:id="rId92" xr:uid="{00C5402E-B27E-4CCF-82E3-2A1A6BD3E701}"/>
    <hyperlink ref="K278" r:id="rId93" xr:uid="{920B3B6C-E7F8-4364-B32F-92B2F8875A00}"/>
    <hyperlink ref="K408" r:id="rId94" xr:uid="{99421065-2B13-4405-96EE-343D5FEE6459}"/>
    <hyperlink ref="K25" r:id="rId95" xr:uid="{7FFE1118-03AA-4026-8307-E0FE3DD5CD3F}"/>
    <hyperlink ref="K661" r:id="rId96" xr:uid="{57521B74-8C7D-4324-A7BA-D9BA25C5E5C4}"/>
    <hyperlink ref="K77" r:id="rId97" xr:uid="{C30478C7-9441-4FF1-A7C8-A6E818CD3E60}"/>
    <hyperlink ref="K566" r:id="rId98" xr:uid="{01822DCB-61FF-4EF7-852B-88F124B67128}"/>
    <hyperlink ref="K439" r:id="rId99" xr:uid="{A20CFA72-9B40-4A28-B3ED-5A343C5CBB64}"/>
    <hyperlink ref="K232" r:id="rId100" xr:uid="{56DBB503-3CC5-4EA6-AEA5-16A6E93BBA70}"/>
    <hyperlink ref="K393" r:id="rId101" xr:uid="{526BD3FC-C79F-4F8B-9D95-2DC3325D5473}"/>
    <hyperlink ref="K288" r:id="rId102" xr:uid="{BAF792EB-AAE8-4A71-972A-0091C952CB89}"/>
    <hyperlink ref="K81" r:id="rId103" xr:uid="{77A6F4E2-2AAA-441A-9651-47D4DEFD2581}"/>
    <hyperlink ref="L39" r:id="rId104" display="https://pubmed.ncbi.nlm.nih.gov/?term=Mukherjee+S&amp;cauthor_id=34535010" xr:uid="{A8F579D8-79BC-4EDC-A5F2-F5B584118484}"/>
    <hyperlink ref="K39" r:id="rId105" xr:uid="{C09FDD7F-CE02-4E4B-B487-F3D2735E859F}"/>
    <hyperlink ref="K641" r:id="rId106" xr:uid="{0187C372-AD6E-4DA1-A41B-545EE735BDA4}"/>
    <hyperlink ref="K437" r:id="rId107" xr:uid="{69F17354-3BC7-49BB-88FC-BBE29DA36CE3}"/>
    <hyperlink ref="K642" r:id="rId108" xr:uid="{00C4CD83-E4E6-4468-A42C-95E215A132F3}"/>
    <hyperlink ref="K259" r:id="rId109" xr:uid="{E47AF38A-41DF-4B4B-B9AB-B0E2510A5259}"/>
    <hyperlink ref="K93" r:id="rId110" xr:uid="{0055B3FF-AE9E-4412-BAEA-B802CDE66E6E}"/>
    <hyperlink ref="K639" r:id="rId111" xr:uid="{84E31CEB-3BB0-42B4-808F-980486442ED5}"/>
    <hyperlink ref="K206" r:id="rId112" xr:uid="{B6150345-2E7F-46D3-AC62-7D5E43FA4793}"/>
    <hyperlink ref="K664" r:id="rId113" xr:uid="{987E2BC9-5D73-43FC-BE34-FC57E2AC1FFB}"/>
    <hyperlink ref="K129" r:id="rId114" xr:uid="{AC309102-176E-406B-9D27-8952C64E08F2}"/>
    <hyperlink ref="K282" r:id="rId115" xr:uid="{3E2E5481-1264-476A-A04C-A84522D490CC}"/>
    <hyperlink ref="K276" r:id="rId116" xr:uid="{ACECAABC-A556-44B7-AFD8-B1D2B5FDAC1A}"/>
    <hyperlink ref="K637" r:id="rId117" xr:uid="{8AD9D0CE-4099-425C-BCC1-87228BDB3FF8}"/>
    <hyperlink ref="L244" r:id="rId118" xr:uid="{08322038-B4E6-449E-B494-DC6ECBA2776D}"/>
    <hyperlink ref="K33" r:id="rId119" xr:uid="{073B0BED-CE7D-4A2C-A662-3C865B82A290}"/>
    <hyperlink ref="L33" r:id="rId120" xr:uid="{630D1C48-6EC2-42E2-A05A-6DC1141DDE3B}"/>
    <hyperlink ref="L178" r:id="rId121" xr:uid="{63CAC913-66CB-4472-A80B-546950B78A2A}"/>
    <hyperlink ref="K125" r:id="rId122" xr:uid="{AB9AA567-D47A-4D03-B90A-011C5801BC0B}"/>
    <hyperlink ref="L698" r:id="rId123" xr:uid="{F62A6007-4877-4454-BF33-FF661A731074}"/>
    <hyperlink ref="K230" r:id="rId124" xr:uid="{30895053-D110-4EEC-A371-221E4C29CE76}"/>
    <hyperlink ref="I584" r:id="rId125" display="https://databrowser.researchallofus.org/ehr/conditions/4143972" xr:uid="{075325D7-4F15-4C2B-93C0-D5A8F86EFFA9}"/>
    <hyperlink ref="K279" r:id="rId126" xr:uid="{AC49E727-CDCD-468F-9619-704396DFD912}"/>
    <hyperlink ref="O267" r:id="rId127" display="https://www.ncbi.nlm.nih.gov/pmc/articles/PMC2717015/" xr:uid="{6196DD4C-3ADF-4D98-9D09-2E440809DA4B}"/>
    <hyperlink ref="O269" r:id="rId128" display="https://www.ncbi.nlm.nih.gov/pmc/articles/PMC2717015/" xr:uid="{210DE8ED-E669-4C67-8F83-A4C0ACE25B5F}"/>
    <hyperlink ref="O259" r:id="rId129" display="https://pubmed.ncbi.nlm.nih.gov/16870099/" xr:uid="{18FE3C64-FFCA-4942-9CD2-8CCF3B16AF67}"/>
    <hyperlink ref="O261" r:id="rId130" display="https://pubmed.ncbi.nlm.nih.gov/16870099/" xr:uid="{939890E7-D19B-4609-B1CA-F21103E9E09D}"/>
    <hyperlink ref="O649" r:id="rId131" location="bib4" display="https://www.ncbi.nlm.nih.gov/pmc/articles/PMC4901018/ - bib4" xr:uid="{6E02067C-CF59-47CA-8476-7EDE1031F15A}"/>
    <hyperlink ref="O647" r:id="rId132" location="bib4" display="https://www.ncbi.nlm.nih.gov/pmc/articles/PMC4901018/ - bib4" xr:uid="{A0F91D13-90C9-4664-9FCA-B0535EC2F0AF}"/>
    <hyperlink ref="O646" r:id="rId133" location="bib4" display="https://www.ncbi.nlm.nih.gov/pmc/articles/PMC4901018/ - bib4" xr:uid="{0D738CE6-261B-4FE3-B92F-9173786482C7}"/>
    <hyperlink ref="O324" r:id="rId134" location="R4" display="https://www.ncbi.nlm.nih.gov/pmc/articles/PMC5771249/ - R4" xr:uid="{E65FD329-F992-41E8-AA53-5790F273AE08}"/>
    <hyperlink ref="O321" r:id="rId135" location="R4" display="https://www.ncbi.nlm.nih.gov/pmc/articles/PMC5771249/ - R4" xr:uid="{3E37DA01-0A3E-48EE-A104-DB907F97CABE}"/>
    <hyperlink ref="O327" r:id="rId136" location="R4" display="https://www.ncbi.nlm.nih.gov/pmc/articles/PMC5771249/ - R4" xr:uid="{83BE9CEA-7AF6-4754-95C8-A2C20F09D184}"/>
    <hyperlink ref="O319" r:id="rId137" location="R4" display="https://www.ncbi.nlm.nih.gov/pmc/articles/PMC5771249/ - R4" xr:uid="{22AF5C65-469B-4F7A-BABF-6DC3CFE5CA3E}"/>
    <hyperlink ref="O318" r:id="rId138" location="R4" display="https://www.ncbi.nlm.nih.gov/pmc/articles/PMC5771249/ - R4" xr:uid="{60CA2657-E3B2-40D5-AC59-44A733C411BB}"/>
    <hyperlink ref="W597" r:id="rId139" xr:uid="{40E07A2A-E2DA-4353-BF05-936E051B749B}"/>
    <hyperlink ref="W595" r:id="rId140" xr:uid="{016FA05B-DDD6-4480-A630-5F55A578B67A}"/>
    <hyperlink ref="W602" r:id="rId141" xr:uid="{1DCA513E-D1EA-4634-BE91-D9A4178537B5}"/>
    <hyperlink ref="W594" r:id="rId142" xr:uid="{7AD7AE12-31D9-4642-A8AB-9F5714A3FC81}"/>
    <hyperlink ref="Y13" r:id="rId143" xr:uid="{CE0AACD1-EB8E-4D3D-AA74-24A4C255A865}"/>
    <hyperlink ref="Y702" r:id="rId144" xr:uid="{156CDA0A-E446-4A32-B0A1-6ECBDB0279D1}"/>
    <hyperlink ref="L151" r:id="rId145" display="https://pubmed.ncbi.nlm.nih.gov/?sort=date&amp;term=Scheer+D&amp;cauthor_id=31004158" xr:uid="{78F668C7-4D69-4E9C-9CCE-D37153EF8D7B}"/>
    <hyperlink ref="K91" r:id="rId146" xr:uid="{DEC78C17-7623-4322-8FBF-47AD00884B9B}"/>
    <hyperlink ref="L575" r:id="rId147" display="https://pubmed.ncbi.nlm.nih.gov/?term=Nakazawa+H&amp;cauthor_id=35522950" xr:uid="{8691C194-DC60-4335-BA75-3830E098A8E9}"/>
    <hyperlink ref="I571" r:id="rId148" display="https://databrowser.researchallofus.org/ehr/conditions/81931" xr:uid="{C880BFBB-AC1C-4E7A-A4FC-0D8C5BCD9856}"/>
    <hyperlink ref="K385" r:id="rId149" xr:uid="{9CE61B75-D867-402A-A572-B01C6D6E4CD7}"/>
    <hyperlink ref="K263" r:id="rId150" xr:uid="{E99AB799-FBCA-4F3D-9E3B-1C9AC315C866}"/>
  </hyperlinks>
  <pageMargins left="0.7" right="0.7" top="0.75" bottom="0.75" header="0.3" footer="0.3"/>
  <pageSetup orientation="portrait" r:id="rId151"/>
  <drawing r:id="rId15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B30A2-B72D-42C0-8E05-1C236F92DA52}">
  <dimension ref="A1:B9"/>
  <sheetViews>
    <sheetView workbookViewId="0">
      <selection sqref="A1:XFD1048576"/>
    </sheetView>
  </sheetViews>
  <sheetFormatPr defaultRowHeight="13.8"/>
  <sheetData>
    <row r="1" spans="1:2">
      <c r="A1" t="s">
        <v>1678</v>
      </c>
      <c r="B1" t="s">
        <v>1679</v>
      </c>
    </row>
    <row r="2" spans="1:2">
      <c r="A2" t="s">
        <v>25</v>
      </c>
      <c r="B2" t="s">
        <v>1680</v>
      </c>
    </row>
    <row r="3" spans="1:2">
      <c r="A3" t="s">
        <v>36</v>
      </c>
      <c r="B3" t="s">
        <v>1681</v>
      </c>
    </row>
    <row r="4" spans="1:2">
      <c r="A4" t="s">
        <v>236</v>
      </c>
      <c r="B4" t="s">
        <v>1682</v>
      </c>
    </row>
    <row r="5" spans="1:2">
      <c r="A5" t="s">
        <v>162</v>
      </c>
      <c r="B5" t="s">
        <v>1683</v>
      </c>
    </row>
    <row r="6" spans="1:2">
      <c r="A6" t="s">
        <v>52</v>
      </c>
      <c r="B6" t="s">
        <v>1684</v>
      </c>
    </row>
    <row r="7" spans="1:2">
      <c r="A7" t="s">
        <v>123</v>
      </c>
      <c r="B7" t="s">
        <v>1685</v>
      </c>
    </row>
    <row r="8" spans="1:2">
      <c r="A8" t="s">
        <v>109</v>
      </c>
      <c r="B8" t="s">
        <v>1686</v>
      </c>
    </row>
    <row r="9" spans="1:2">
      <c r="A9" t="s">
        <v>1190</v>
      </c>
      <c r="B9" t="s">
        <v>1687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List of Diseases</vt:lpstr>
      <vt:lpstr>Synonym 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Abend</dc:creator>
  <cp:lastModifiedBy>Aaron Abend</cp:lastModifiedBy>
  <dcterms:created xsi:type="dcterms:W3CDTF">2026-01-25T13:57:25Z</dcterms:created>
  <dcterms:modified xsi:type="dcterms:W3CDTF">2026-02-10T18:26:35Z</dcterms:modified>
</cp:coreProperties>
</file>